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B37459D-6013-44C3-A051-93711ED78D2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1_26_JUIL" sheetId="1" r:id="rId1"/>
    <sheet name="S2_27_JUIL-02_AOUT" sheetId="2" r:id="rId2"/>
    <sheet name="S3_03-09_AOUT" sheetId="3" r:id="rId3"/>
    <sheet name="S4_10-16_AOUT" sheetId="4" r:id="rId4"/>
    <sheet name="S5_17-23_AOUT" sheetId="5" r:id="rId5"/>
    <sheet name="S6_24-25_AOUT" sheetId="6" r:id="rId6"/>
    <sheet name="TOTAL_MOIS" sheetId="7" r:id="rId7"/>
    <sheet name="Paye Saber MOI" sheetId="8" r:id="rId8"/>
    <sheet name="Paye Saber MOD" sheetId="9" r:id="rId9"/>
    <sheet name="PARAMETRES_REGIMES" sheetId="10" r:id="rId10"/>
    <sheet name="SOURCE_POINTAGE" sheetId="11" r:id="rId11"/>
    <sheet name="CONTROLE_26_29" sheetId="12" r:id="rId12"/>
    <sheet name="CONTROLE_30_07" sheetId="13" r:id="rId13"/>
    <sheet name="CONTROLE_31_07" sheetId="14" r:id="rId14"/>
    <sheet name="CONTROLE_31_07_CALCUL" sheetId="15" r:id="rId15"/>
  </sheets>
  <definedNames>
    <definedName name="_xlnm._FilterDatabase" localSheetId="1" hidden="1">'S2_27_JUIL-02_AOUT'!$A$2:$W$113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5" i="9" l="1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S113" i="7"/>
  <c r="S112" i="7"/>
  <c r="S111" i="7"/>
  <c r="S110" i="7"/>
  <c r="S109" i="7"/>
  <c r="S108" i="7"/>
  <c r="S107" i="7"/>
  <c r="S106" i="7"/>
  <c r="S105" i="7"/>
  <c r="S104" i="7"/>
  <c r="S103" i="7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9" i="7"/>
  <c r="S8" i="7"/>
  <c r="S7" i="7"/>
  <c r="S6" i="7"/>
  <c r="S5" i="7"/>
  <c r="S4" i="7"/>
  <c r="S3" i="7"/>
  <c r="Q113" i="6"/>
  <c r="O113" i="6"/>
  <c r="N113" i="6"/>
  <c r="M113" i="6"/>
  <c r="L113" i="6"/>
  <c r="K113" i="6"/>
  <c r="J113" i="6"/>
  <c r="I113" i="6"/>
  <c r="H113" i="6"/>
  <c r="Q112" i="6"/>
  <c r="O112" i="6"/>
  <c r="N112" i="6"/>
  <c r="M112" i="6"/>
  <c r="L112" i="6"/>
  <c r="I112" i="6"/>
  <c r="H112" i="6"/>
  <c r="K112" i="6" s="1"/>
  <c r="Q111" i="6"/>
  <c r="O111" i="6"/>
  <c r="N111" i="6"/>
  <c r="M111" i="6"/>
  <c r="L111" i="6"/>
  <c r="K111" i="6"/>
  <c r="J111" i="6"/>
  <c r="P111" i="6" s="1"/>
  <c r="K111" i="7" s="1"/>
  <c r="I111" i="6"/>
  <c r="H111" i="6"/>
  <c r="Q110" i="6"/>
  <c r="O110" i="6"/>
  <c r="N110" i="6"/>
  <c r="M110" i="6"/>
  <c r="L110" i="6"/>
  <c r="I110" i="6"/>
  <c r="H110" i="6"/>
  <c r="K110" i="6" s="1"/>
  <c r="Q109" i="6"/>
  <c r="O109" i="6"/>
  <c r="N109" i="6"/>
  <c r="M109" i="6"/>
  <c r="L109" i="6"/>
  <c r="K109" i="6"/>
  <c r="J109" i="6"/>
  <c r="P109" i="6" s="1"/>
  <c r="K109" i="7" s="1"/>
  <c r="I109" i="6"/>
  <c r="H109" i="6"/>
  <c r="Q108" i="6"/>
  <c r="O108" i="6"/>
  <c r="N108" i="6"/>
  <c r="M108" i="6"/>
  <c r="L108" i="6"/>
  <c r="I108" i="6"/>
  <c r="H108" i="6"/>
  <c r="K108" i="6" s="1"/>
  <c r="Q107" i="6"/>
  <c r="O107" i="6"/>
  <c r="N107" i="6"/>
  <c r="M107" i="6"/>
  <c r="L107" i="6"/>
  <c r="K107" i="6"/>
  <c r="J107" i="6"/>
  <c r="P107" i="6" s="1"/>
  <c r="K107" i="7" s="1"/>
  <c r="I107" i="6"/>
  <c r="H107" i="6"/>
  <c r="Q106" i="6"/>
  <c r="O106" i="6"/>
  <c r="N106" i="6"/>
  <c r="M106" i="6"/>
  <c r="L106" i="6"/>
  <c r="I106" i="6"/>
  <c r="H106" i="6"/>
  <c r="K106" i="6" s="1"/>
  <c r="Q105" i="6"/>
  <c r="O105" i="6"/>
  <c r="N105" i="6"/>
  <c r="M105" i="6"/>
  <c r="L105" i="6"/>
  <c r="K105" i="6"/>
  <c r="J105" i="6"/>
  <c r="P105" i="6" s="1"/>
  <c r="K105" i="7" s="1"/>
  <c r="I105" i="6"/>
  <c r="H105" i="6"/>
  <c r="Q104" i="6"/>
  <c r="O104" i="6"/>
  <c r="N104" i="6"/>
  <c r="M104" i="6"/>
  <c r="L104" i="6"/>
  <c r="I104" i="6"/>
  <c r="H104" i="6"/>
  <c r="K104" i="6" s="1"/>
  <c r="Q103" i="6"/>
  <c r="O103" i="6"/>
  <c r="N103" i="6"/>
  <c r="M103" i="6"/>
  <c r="L103" i="6"/>
  <c r="K103" i="6"/>
  <c r="J103" i="6"/>
  <c r="P103" i="6" s="1"/>
  <c r="K103" i="7" s="1"/>
  <c r="I103" i="6"/>
  <c r="H103" i="6"/>
  <c r="Q102" i="6"/>
  <c r="O102" i="6"/>
  <c r="N102" i="6"/>
  <c r="M102" i="6"/>
  <c r="L102" i="6"/>
  <c r="I102" i="6"/>
  <c r="H102" i="6"/>
  <c r="K102" i="6" s="1"/>
  <c r="Q101" i="6"/>
  <c r="O101" i="6"/>
  <c r="N101" i="6"/>
  <c r="M101" i="6"/>
  <c r="L101" i="6"/>
  <c r="K101" i="6"/>
  <c r="J101" i="6"/>
  <c r="P101" i="6" s="1"/>
  <c r="K101" i="7" s="1"/>
  <c r="I101" i="6"/>
  <c r="H101" i="6"/>
  <c r="Q100" i="6"/>
  <c r="O100" i="6"/>
  <c r="N100" i="6"/>
  <c r="M100" i="6"/>
  <c r="L100" i="6"/>
  <c r="I100" i="6"/>
  <c r="H100" i="6"/>
  <c r="K100" i="6" s="1"/>
  <c r="Q99" i="6"/>
  <c r="O99" i="6"/>
  <c r="N99" i="6"/>
  <c r="M99" i="6"/>
  <c r="L99" i="6"/>
  <c r="K99" i="6"/>
  <c r="J99" i="6"/>
  <c r="P99" i="6" s="1"/>
  <c r="I99" i="6"/>
  <c r="H99" i="6"/>
  <c r="Q98" i="6"/>
  <c r="O98" i="6"/>
  <c r="N98" i="6"/>
  <c r="M98" i="6"/>
  <c r="L98" i="6"/>
  <c r="I98" i="6"/>
  <c r="H98" i="6"/>
  <c r="K98" i="6" s="1"/>
  <c r="Q97" i="6"/>
  <c r="O97" i="6"/>
  <c r="N97" i="6"/>
  <c r="M97" i="6"/>
  <c r="L97" i="6"/>
  <c r="K97" i="6"/>
  <c r="J97" i="6"/>
  <c r="P97" i="6" s="1"/>
  <c r="K97" i="7" s="1"/>
  <c r="I97" i="6"/>
  <c r="H97" i="6"/>
  <c r="Q96" i="6"/>
  <c r="O96" i="6"/>
  <c r="N96" i="6"/>
  <c r="M96" i="6"/>
  <c r="L96" i="6"/>
  <c r="I96" i="6"/>
  <c r="H96" i="6"/>
  <c r="K96" i="6" s="1"/>
  <c r="Q95" i="6"/>
  <c r="O95" i="6"/>
  <c r="N95" i="6"/>
  <c r="M95" i="6"/>
  <c r="L95" i="6"/>
  <c r="K95" i="6"/>
  <c r="J95" i="6"/>
  <c r="P95" i="6" s="1"/>
  <c r="K95" i="7" s="1"/>
  <c r="I95" i="6"/>
  <c r="H95" i="6"/>
  <c r="Q94" i="6"/>
  <c r="O94" i="6"/>
  <c r="N94" i="6"/>
  <c r="M94" i="6"/>
  <c r="L94" i="6"/>
  <c r="I94" i="6"/>
  <c r="H94" i="6"/>
  <c r="K94" i="6" s="1"/>
  <c r="Q93" i="6"/>
  <c r="O93" i="6"/>
  <c r="N93" i="6"/>
  <c r="M93" i="6"/>
  <c r="L93" i="6"/>
  <c r="K93" i="6"/>
  <c r="J93" i="6"/>
  <c r="P93" i="6" s="1"/>
  <c r="K93" i="7" s="1"/>
  <c r="I93" i="6"/>
  <c r="H93" i="6"/>
  <c r="Q92" i="6"/>
  <c r="O92" i="6"/>
  <c r="N92" i="6"/>
  <c r="M92" i="6"/>
  <c r="L92" i="6"/>
  <c r="I92" i="6"/>
  <c r="H92" i="6"/>
  <c r="K92" i="6" s="1"/>
  <c r="Q91" i="6"/>
  <c r="O91" i="6"/>
  <c r="N91" i="6"/>
  <c r="M91" i="6"/>
  <c r="L91" i="6"/>
  <c r="K91" i="6"/>
  <c r="J91" i="6"/>
  <c r="P91" i="6" s="1"/>
  <c r="K91" i="7" s="1"/>
  <c r="I91" i="6"/>
  <c r="H91" i="6"/>
  <c r="Q90" i="6"/>
  <c r="O90" i="6"/>
  <c r="N90" i="6"/>
  <c r="M90" i="6"/>
  <c r="L90" i="6"/>
  <c r="I90" i="6"/>
  <c r="H90" i="6"/>
  <c r="K90" i="6" s="1"/>
  <c r="Q89" i="6"/>
  <c r="O89" i="6"/>
  <c r="N89" i="6"/>
  <c r="M89" i="6"/>
  <c r="L89" i="6"/>
  <c r="K89" i="6"/>
  <c r="J89" i="6"/>
  <c r="P89" i="6" s="1"/>
  <c r="K89" i="7" s="1"/>
  <c r="I89" i="6"/>
  <c r="H89" i="6"/>
  <c r="Q88" i="6"/>
  <c r="O88" i="6"/>
  <c r="N88" i="6"/>
  <c r="M88" i="6"/>
  <c r="L88" i="6"/>
  <c r="I88" i="6"/>
  <c r="H88" i="6"/>
  <c r="K88" i="6" s="1"/>
  <c r="Q87" i="6"/>
  <c r="O87" i="6"/>
  <c r="N87" i="6"/>
  <c r="M87" i="6"/>
  <c r="L87" i="6"/>
  <c r="K87" i="6"/>
  <c r="J87" i="6"/>
  <c r="P87" i="6" s="1"/>
  <c r="K87" i="7" s="1"/>
  <c r="I87" i="6"/>
  <c r="H87" i="6"/>
  <c r="Q86" i="6"/>
  <c r="O86" i="6"/>
  <c r="N86" i="6"/>
  <c r="M86" i="6"/>
  <c r="L86" i="6"/>
  <c r="I86" i="6"/>
  <c r="H86" i="6"/>
  <c r="K86" i="6" s="1"/>
  <c r="Q85" i="6"/>
  <c r="O85" i="6"/>
  <c r="N85" i="6"/>
  <c r="M85" i="6"/>
  <c r="L85" i="6"/>
  <c r="K85" i="6"/>
  <c r="J85" i="6"/>
  <c r="P85" i="6" s="1"/>
  <c r="K85" i="7" s="1"/>
  <c r="I85" i="6"/>
  <c r="H85" i="6"/>
  <c r="Q84" i="6"/>
  <c r="O84" i="6"/>
  <c r="N84" i="6"/>
  <c r="M84" i="6"/>
  <c r="L84" i="6"/>
  <c r="I84" i="6"/>
  <c r="H84" i="6"/>
  <c r="K84" i="6" s="1"/>
  <c r="Q83" i="6"/>
  <c r="O83" i="6"/>
  <c r="N83" i="6"/>
  <c r="M83" i="6"/>
  <c r="L83" i="6"/>
  <c r="K83" i="6"/>
  <c r="J83" i="6"/>
  <c r="P83" i="6" s="1"/>
  <c r="K83" i="7" s="1"/>
  <c r="I83" i="6"/>
  <c r="H83" i="6"/>
  <c r="Q82" i="6"/>
  <c r="O82" i="6"/>
  <c r="N82" i="6"/>
  <c r="M82" i="6"/>
  <c r="L82" i="6"/>
  <c r="I82" i="6"/>
  <c r="H82" i="6"/>
  <c r="K82" i="6" s="1"/>
  <c r="Q81" i="6"/>
  <c r="O81" i="6"/>
  <c r="N81" i="6"/>
  <c r="M81" i="6"/>
  <c r="L81" i="6"/>
  <c r="K81" i="6"/>
  <c r="J81" i="6"/>
  <c r="P81" i="6" s="1"/>
  <c r="I81" i="6"/>
  <c r="H81" i="6"/>
  <c r="Q80" i="6"/>
  <c r="O80" i="6"/>
  <c r="N80" i="6"/>
  <c r="M80" i="6"/>
  <c r="L80" i="6"/>
  <c r="I80" i="6"/>
  <c r="H80" i="6"/>
  <c r="K80" i="6" s="1"/>
  <c r="Q79" i="6"/>
  <c r="O79" i="6"/>
  <c r="N79" i="6"/>
  <c r="M79" i="6"/>
  <c r="L79" i="6"/>
  <c r="K79" i="6"/>
  <c r="J79" i="6"/>
  <c r="P79" i="6" s="1"/>
  <c r="K79" i="7" s="1"/>
  <c r="I79" i="6"/>
  <c r="H79" i="6"/>
  <c r="Q78" i="6"/>
  <c r="O78" i="6"/>
  <c r="N78" i="6"/>
  <c r="M78" i="6"/>
  <c r="L78" i="6"/>
  <c r="I78" i="6"/>
  <c r="H78" i="6"/>
  <c r="K78" i="6" s="1"/>
  <c r="Q77" i="6"/>
  <c r="O77" i="6"/>
  <c r="N77" i="6"/>
  <c r="M77" i="6"/>
  <c r="L77" i="6"/>
  <c r="K77" i="6"/>
  <c r="J77" i="6"/>
  <c r="P77" i="6" s="1"/>
  <c r="I77" i="6"/>
  <c r="H77" i="6"/>
  <c r="Q76" i="6"/>
  <c r="O76" i="6"/>
  <c r="N76" i="6"/>
  <c r="M76" i="6"/>
  <c r="L76" i="6"/>
  <c r="I76" i="6"/>
  <c r="H76" i="6"/>
  <c r="K76" i="6" s="1"/>
  <c r="Q75" i="6"/>
  <c r="O75" i="6"/>
  <c r="N75" i="6"/>
  <c r="M75" i="6"/>
  <c r="L75" i="6"/>
  <c r="K75" i="6"/>
  <c r="J75" i="6"/>
  <c r="P75" i="6" s="1"/>
  <c r="K75" i="7" s="1"/>
  <c r="I75" i="6"/>
  <c r="H75" i="6"/>
  <c r="Q74" i="6"/>
  <c r="O74" i="6"/>
  <c r="N74" i="6"/>
  <c r="M74" i="6"/>
  <c r="L74" i="6"/>
  <c r="I74" i="6"/>
  <c r="H74" i="6"/>
  <c r="K74" i="6" s="1"/>
  <c r="Q73" i="6"/>
  <c r="O73" i="6"/>
  <c r="N73" i="6"/>
  <c r="M73" i="6"/>
  <c r="L73" i="6"/>
  <c r="K73" i="6"/>
  <c r="J73" i="6"/>
  <c r="P73" i="6" s="1"/>
  <c r="K73" i="7" s="1"/>
  <c r="I73" i="6"/>
  <c r="H73" i="6"/>
  <c r="Q72" i="6"/>
  <c r="O72" i="6"/>
  <c r="N72" i="6"/>
  <c r="M72" i="6"/>
  <c r="L72" i="6"/>
  <c r="I72" i="6"/>
  <c r="H72" i="6"/>
  <c r="K72" i="6" s="1"/>
  <c r="Q71" i="6"/>
  <c r="O71" i="6"/>
  <c r="N71" i="6"/>
  <c r="M71" i="6"/>
  <c r="L71" i="6"/>
  <c r="K71" i="6"/>
  <c r="J71" i="6"/>
  <c r="P71" i="6" s="1"/>
  <c r="K71" i="7" s="1"/>
  <c r="I71" i="6"/>
  <c r="H71" i="6"/>
  <c r="Q70" i="6"/>
  <c r="O70" i="6"/>
  <c r="N70" i="6"/>
  <c r="M70" i="6"/>
  <c r="L70" i="6"/>
  <c r="I70" i="6"/>
  <c r="H70" i="6"/>
  <c r="K70" i="6" s="1"/>
  <c r="Q69" i="6"/>
  <c r="O69" i="6"/>
  <c r="N69" i="6"/>
  <c r="M69" i="6"/>
  <c r="L69" i="6"/>
  <c r="K69" i="6"/>
  <c r="J69" i="6"/>
  <c r="P69" i="6" s="1"/>
  <c r="K69" i="7" s="1"/>
  <c r="I69" i="6"/>
  <c r="H69" i="6"/>
  <c r="Q68" i="6"/>
  <c r="O68" i="6"/>
  <c r="N68" i="6"/>
  <c r="M68" i="6"/>
  <c r="L68" i="6"/>
  <c r="I68" i="6"/>
  <c r="H68" i="6"/>
  <c r="K68" i="6" s="1"/>
  <c r="Q67" i="6"/>
  <c r="O67" i="6"/>
  <c r="N67" i="6"/>
  <c r="M67" i="6"/>
  <c r="L67" i="6"/>
  <c r="K67" i="6"/>
  <c r="J67" i="6"/>
  <c r="P67" i="6" s="1"/>
  <c r="K67" i="7" s="1"/>
  <c r="I67" i="6"/>
  <c r="H67" i="6"/>
  <c r="Q66" i="6"/>
  <c r="O66" i="6"/>
  <c r="N66" i="6"/>
  <c r="M66" i="6"/>
  <c r="L66" i="6"/>
  <c r="I66" i="6"/>
  <c r="H66" i="6"/>
  <c r="K66" i="6" s="1"/>
  <c r="Q65" i="6"/>
  <c r="O65" i="6"/>
  <c r="N65" i="6"/>
  <c r="M65" i="6"/>
  <c r="L65" i="6"/>
  <c r="K65" i="6"/>
  <c r="J65" i="6"/>
  <c r="P65" i="6" s="1"/>
  <c r="K65" i="7" s="1"/>
  <c r="I65" i="6"/>
  <c r="H65" i="6"/>
  <c r="Q64" i="6"/>
  <c r="O64" i="6"/>
  <c r="N64" i="6"/>
  <c r="M64" i="6"/>
  <c r="L64" i="6"/>
  <c r="I64" i="6"/>
  <c r="H64" i="6"/>
  <c r="K64" i="6" s="1"/>
  <c r="Q63" i="6"/>
  <c r="O63" i="6"/>
  <c r="N63" i="6"/>
  <c r="M63" i="6"/>
  <c r="L63" i="6"/>
  <c r="K63" i="6"/>
  <c r="J63" i="6"/>
  <c r="P63" i="6" s="1"/>
  <c r="K63" i="7" s="1"/>
  <c r="I63" i="6"/>
  <c r="H63" i="6"/>
  <c r="Q62" i="6"/>
  <c r="O62" i="6"/>
  <c r="N62" i="6"/>
  <c r="M62" i="6"/>
  <c r="L62" i="6"/>
  <c r="I62" i="6"/>
  <c r="H62" i="6"/>
  <c r="K62" i="6" s="1"/>
  <c r="Q61" i="6"/>
  <c r="O61" i="6"/>
  <c r="N61" i="6"/>
  <c r="M61" i="6"/>
  <c r="L61" i="6"/>
  <c r="K61" i="6"/>
  <c r="J61" i="6"/>
  <c r="P61" i="6" s="1"/>
  <c r="K61" i="7" s="1"/>
  <c r="I61" i="6"/>
  <c r="H61" i="6"/>
  <c r="Q60" i="6"/>
  <c r="O60" i="6"/>
  <c r="N60" i="6"/>
  <c r="M60" i="6"/>
  <c r="L60" i="6"/>
  <c r="I60" i="6"/>
  <c r="H60" i="6"/>
  <c r="K60" i="6" s="1"/>
  <c r="Q59" i="6"/>
  <c r="O59" i="6"/>
  <c r="N59" i="6"/>
  <c r="M59" i="6"/>
  <c r="L59" i="6"/>
  <c r="K59" i="6"/>
  <c r="J59" i="6"/>
  <c r="P59" i="6" s="1"/>
  <c r="K59" i="7" s="1"/>
  <c r="I59" i="6"/>
  <c r="H59" i="6"/>
  <c r="Q58" i="6"/>
  <c r="O58" i="6"/>
  <c r="N58" i="6"/>
  <c r="M58" i="6"/>
  <c r="L58" i="6"/>
  <c r="I58" i="6"/>
  <c r="H58" i="6"/>
  <c r="K58" i="6" s="1"/>
  <c r="Q57" i="6"/>
  <c r="O57" i="6"/>
  <c r="N57" i="6"/>
  <c r="M57" i="6"/>
  <c r="L57" i="6"/>
  <c r="K57" i="6"/>
  <c r="J57" i="6"/>
  <c r="P57" i="6" s="1"/>
  <c r="K57" i="7" s="1"/>
  <c r="I57" i="6"/>
  <c r="H57" i="6"/>
  <c r="Q56" i="6"/>
  <c r="O56" i="6"/>
  <c r="N56" i="6"/>
  <c r="M56" i="6"/>
  <c r="L56" i="6"/>
  <c r="I56" i="6"/>
  <c r="H56" i="6"/>
  <c r="K56" i="6" s="1"/>
  <c r="Q55" i="6"/>
  <c r="O55" i="6"/>
  <c r="N55" i="6"/>
  <c r="M55" i="6"/>
  <c r="L55" i="6"/>
  <c r="K55" i="6"/>
  <c r="J55" i="6"/>
  <c r="P55" i="6" s="1"/>
  <c r="K55" i="7" s="1"/>
  <c r="I55" i="6"/>
  <c r="H55" i="6"/>
  <c r="Q54" i="6"/>
  <c r="O54" i="6"/>
  <c r="N54" i="6"/>
  <c r="M54" i="6"/>
  <c r="L54" i="6"/>
  <c r="I54" i="6"/>
  <c r="H54" i="6"/>
  <c r="K54" i="6" s="1"/>
  <c r="Q53" i="6"/>
  <c r="O53" i="6"/>
  <c r="N53" i="6"/>
  <c r="M53" i="6"/>
  <c r="L53" i="6"/>
  <c r="K53" i="6"/>
  <c r="J53" i="6"/>
  <c r="P53" i="6" s="1"/>
  <c r="K53" i="7" s="1"/>
  <c r="I53" i="6"/>
  <c r="H53" i="6"/>
  <c r="Q52" i="6"/>
  <c r="O52" i="6"/>
  <c r="N52" i="6"/>
  <c r="M52" i="6"/>
  <c r="L52" i="6"/>
  <c r="I52" i="6"/>
  <c r="H52" i="6"/>
  <c r="K52" i="6" s="1"/>
  <c r="Q51" i="6"/>
  <c r="O51" i="6"/>
  <c r="N51" i="6"/>
  <c r="M51" i="6"/>
  <c r="L51" i="6"/>
  <c r="K51" i="6"/>
  <c r="J51" i="6"/>
  <c r="P51" i="6" s="1"/>
  <c r="K51" i="7" s="1"/>
  <c r="I51" i="6"/>
  <c r="H51" i="6"/>
  <c r="Q50" i="6"/>
  <c r="O50" i="6"/>
  <c r="N50" i="6"/>
  <c r="M50" i="6"/>
  <c r="L50" i="6"/>
  <c r="I50" i="6"/>
  <c r="H50" i="6"/>
  <c r="K50" i="6" s="1"/>
  <c r="Q49" i="6"/>
  <c r="O49" i="6"/>
  <c r="N49" i="6"/>
  <c r="M49" i="6"/>
  <c r="L49" i="6"/>
  <c r="K49" i="6"/>
  <c r="J49" i="6"/>
  <c r="P49" i="6" s="1"/>
  <c r="K49" i="7" s="1"/>
  <c r="I49" i="6"/>
  <c r="H49" i="6"/>
  <c r="Q48" i="6"/>
  <c r="O48" i="6"/>
  <c r="N48" i="6"/>
  <c r="M48" i="6"/>
  <c r="L48" i="6"/>
  <c r="I48" i="6"/>
  <c r="H48" i="6"/>
  <c r="K48" i="6" s="1"/>
  <c r="Q47" i="6"/>
  <c r="O47" i="6"/>
  <c r="N47" i="6"/>
  <c r="M47" i="6"/>
  <c r="L47" i="6"/>
  <c r="K47" i="6"/>
  <c r="J47" i="6"/>
  <c r="P47" i="6" s="1"/>
  <c r="K47" i="7" s="1"/>
  <c r="I47" i="6"/>
  <c r="H47" i="6"/>
  <c r="Q46" i="6"/>
  <c r="O46" i="6"/>
  <c r="N46" i="6"/>
  <c r="M46" i="6"/>
  <c r="L46" i="6"/>
  <c r="I46" i="6"/>
  <c r="H46" i="6"/>
  <c r="K46" i="6" s="1"/>
  <c r="Q45" i="6"/>
  <c r="O45" i="6"/>
  <c r="N45" i="6"/>
  <c r="M45" i="6"/>
  <c r="L45" i="6"/>
  <c r="K45" i="6"/>
  <c r="J45" i="6"/>
  <c r="P45" i="6" s="1"/>
  <c r="K45" i="7" s="1"/>
  <c r="I45" i="6"/>
  <c r="H45" i="6"/>
  <c r="Q44" i="6"/>
  <c r="O44" i="6"/>
  <c r="N44" i="6"/>
  <c r="M44" i="6"/>
  <c r="L44" i="6"/>
  <c r="I44" i="6"/>
  <c r="H44" i="6"/>
  <c r="K44" i="6" s="1"/>
  <c r="Q43" i="6"/>
  <c r="O43" i="6"/>
  <c r="N43" i="6"/>
  <c r="M43" i="6"/>
  <c r="L43" i="6"/>
  <c r="K43" i="6"/>
  <c r="J43" i="6"/>
  <c r="P43" i="6" s="1"/>
  <c r="K43" i="7" s="1"/>
  <c r="I43" i="6"/>
  <c r="H43" i="6"/>
  <c r="Q42" i="6"/>
  <c r="O42" i="6"/>
  <c r="N42" i="6"/>
  <c r="M42" i="6"/>
  <c r="L42" i="6"/>
  <c r="I42" i="6"/>
  <c r="H42" i="6"/>
  <c r="K42" i="6" s="1"/>
  <c r="Q41" i="6"/>
  <c r="O41" i="6"/>
  <c r="N41" i="6"/>
  <c r="M41" i="6"/>
  <c r="L41" i="6"/>
  <c r="K41" i="6"/>
  <c r="J41" i="6"/>
  <c r="P41" i="6" s="1"/>
  <c r="K41" i="7" s="1"/>
  <c r="I41" i="6"/>
  <c r="H41" i="6"/>
  <c r="Q40" i="6"/>
  <c r="O40" i="6"/>
  <c r="N40" i="6"/>
  <c r="M40" i="6"/>
  <c r="L40" i="6"/>
  <c r="I40" i="6"/>
  <c r="H40" i="6"/>
  <c r="K40" i="6" s="1"/>
  <c r="Q39" i="6"/>
  <c r="O39" i="6"/>
  <c r="N39" i="6"/>
  <c r="M39" i="6"/>
  <c r="L39" i="6"/>
  <c r="K39" i="6"/>
  <c r="J39" i="6"/>
  <c r="P39" i="6" s="1"/>
  <c r="I39" i="6"/>
  <c r="H39" i="6"/>
  <c r="Q38" i="6"/>
  <c r="O38" i="6"/>
  <c r="N38" i="6"/>
  <c r="M38" i="6"/>
  <c r="L38" i="6"/>
  <c r="I38" i="6"/>
  <c r="H38" i="6"/>
  <c r="K38" i="6" s="1"/>
  <c r="Q37" i="6"/>
  <c r="O37" i="6"/>
  <c r="N37" i="6"/>
  <c r="M37" i="6"/>
  <c r="L37" i="6"/>
  <c r="K37" i="6"/>
  <c r="J37" i="6"/>
  <c r="P37" i="6" s="1"/>
  <c r="K37" i="7" s="1"/>
  <c r="I37" i="6"/>
  <c r="H37" i="6"/>
  <c r="Q36" i="6"/>
  <c r="O36" i="6"/>
  <c r="N36" i="6"/>
  <c r="M36" i="6"/>
  <c r="L36" i="6"/>
  <c r="I36" i="6"/>
  <c r="H36" i="6"/>
  <c r="K36" i="6" s="1"/>
  <c r="Q35" i="6"/>
  <c r="O35" i="6"/>
  <c r="N35" i="6"/>
  <c r="M35" i="6"/>
  <c r="L35" i="6"/>
  <c r="K35" i="6"/>
  <c r="J35" i="6"/>
  <c r="P35" i="6" s="1"/>
  <c r="K35" i="7" s="1"/>
  <c r="I35" i="6"/>
  <c r="H35" i="6"/>
  <c r="Q34" i="6"/>
  <c r="O34" i="6"/>
  <c r="N34" i="6"/>
  <c r="M34" i="6"/>
  <c r="L34" i="6"/>
  <c r="I34" i="6"/>
  <c r="H34" i="6"/>
  <c r="K34" i="6" s="1"/>
  <c r="Q33" i="6"/>
  <c r="O33" i="6"/>
  <c r="N33" i="6"/>
  <c r="M33" i="6"/>
  <c r="L33" i="6"/>
  <c r="K33" i="6"/>
  <c r="J33" i="6"/>
  <c r="P33" i="6" s="1"/>
  <c r="K33" i="7" s="1"/>
  <c r="I33" i="6"/>
  <c r="H33" i="6"/>
  <c r="Q32" i="6"/>
  <c r="O32" i="6"/>
  <c r="N32" i="6"/>
  <c r="M32" i="6"/>
  <c r="L32" i="6"/>
  <c r="I32" i="6"/>
  <c r="H32" i="6"/>
  <c r="K32" i="6" s="1"/>
  <c r="Q31" i="6"/>
  <c r="O31" i="6"/>
  <c r="N31" i="6"/>
  <c r="M31" i="6"/>
  <c r="L31" i="6"/>
  <c r="K31" i="6"/>
  <c r="J31" i="6"/>
  <c r="P31" i="6" s="1"/>
  <c r="K31" i="7" s="1"/>
  <c r="I31" i="6"/>
  <c r="H31" i="6"/>
  <c r="Q30" i="6"/>
  <c r="O30" i="6"/>
  <c r="N30" i="6"/>
  <c r="M30" i="6"/>
  <c r="L30" i="6"/>
  <c r="I30" i="6"/>
  <c r="H30" i="6"/>
  <c r="K30" i="6" s="1"/>
  <c r="Q29" i="6"/>
  <c r="O29" i="6"/>
  <c r="N29" i="6"/>
  <c r="M29" i="6"/>
  <c r="L29" i="6"/>
  <c r="K29" i="6"/>
  <c r="J29" i="6"/>
  <c r="P29" i="6" s="1"/>
  <c r="K29" i="7" s="1"/>
  <c r="I29" i="6"/>
  <c r="H29" i="6"/>
  <c r="Q28" i="6"/>
  <c r="O28" i="6"/>
  <c r="N28" i="6"/>
  <c r="M28" i="6"/>
  <c r="L28" i="6"/>
  <c r="I28" i="6"/>
  <c r="H28" i="6"/>
  <c r="K28" i="6" s="1"/>
  <c r="Q27" i="6"/>
  <c r="O27" i="6"/>
  <c r="N27" i="6"/>
  <c r="M27" i="6"/>
  <c r="L27" i="6"/>
  <c r="K27" i="6"/>
  <c r="J27" i="6"/>
  <c r="P27" i="6" s="1"/>
  <c r="K27" i="7" s="1"/>
  <c r="I27" i="6"/>
  <c r="H27" i="6"/>
  <c r="Q26" i="6"/>
  <c r="O26" i="6"/>
  <c r="N26" i="6"/>
  <c r="M26" i="6"/>
  <c r="L26" i="6"/>
  <c r="I26" i="6"/>
  <c r="H26" i="6"/>
  <c r="K26" i="6" s="1"/>
  <c r="Q25" i="6"/>
  <c r="O25" i="6"/>
  <c r="N25" i="6"/>
  <c r="M25" i="6"/>
  <c r="L25" i="6"/>
  <c r="K25" i="6"/>
  <c r="J25" i="6"/>
  <c r="P25" i="6" s="1"/>
  <c r="K25" i="7" s="1"/>
  <c r="I25" i="6"/>
  <c r="H25" i="6"/>
  <c r="Q24" i="6"/>
  <c r="O24" i="6"/>
  <c r="N24" i="6"/>
  <c r="M24" i="6"/>
  <c r="L24" i="6"/>
  <c r="I24" i="6"/>
  <c r="H24" i="6"/>
  <c r="K24" i="6" s="1"/>
  <c r="Q23" i="6"/>
  <c r="O23" i="6"/>
  <c r="N23" i="6"/>
  <c r="M23" i="6"/>
  <c r="L23" i="6"/>
  <c r="K23" i="6"/>
  <c r="J23" i="6"/>
  <c r="P23" i="6" s="1"/>
  <c r="K23" i="7" s="1"/>
  <c r="I23" i="6"/>
  <c r="H23" i="6"/>
  <c r="Q22" i="6"/>
  <c r="O22" i="6"/>
  <c r="N22" i="6"/>
  <c r="M22" i="6"/>
  <c r="L22" i="6"/>
  <c r="I22" i="6"/>
  <c r="H22" i="6"/>
  <c r="K22" i="6" s="1"/>
  <c r="Q21" i="6"/>
  <c r="O21" i="6"/>
  <c r="N21" i="6"/>
  <c r="M21" i="6"/>
  <c r="L21" i="6"/>
  <c r="K21" i="6"/>
  <c r="J21" i="6"/>
  <c r="P21" i="6" s="1"/>
  <c r="K21" i="7" s="1"/>
  <c r="I21" i="6"/>
  <c r="H21" i="6"/>
  <c r="Q20" i="6"/>
  <c r="O20" i="6"/>
  <c r="N20" i="6"/>
  <c r="M20" i="6"/>
  <c r="L20" i="6"/>
  <c r="I20" i="6"/>
  <c r="H20" i="6"/>
  <c r="K20" i="6" s="1"/>
  <c r="Q19" i="6"/>
  <c r="O19" i="6"/>
  <c r="N19" i="6"/>
  <c r="M19" i="6"/>
  <c r="L19" i="6"/>
  <c r="K19" i="6"/>
  <c r="J19" i="6"/>
  <c r="P19" i="6" s="1"/>
  <c r="K19" i="7" s="1"/>
  <c r="I19" i="6"/>
  <c r="H19" i="6"/>
  <c r="Q18" i="6"/>
  <c r="O18" i="6"/>
  <c r="N18" i="6"/>
  <c r="M18" i="6"/>
  <c r="L18" i="6"/>
  <c r="I18" i="6"/>
  <c r="H18" i="6"/>
  <c r="K18" i="6" s="1"/>
  <c r="Q17" i="6"/>
  <c r="O17" i="6"/>
  <c r="N17" i="6"/>
  <c r="M17" i="6"/>
  <c r="L17" i="6"/>
  <c r="K17" i="6"/>
  <c r="J17" i="6"/>
  <c r="P17" i="6" s="1"/>
  <c r="K17" i="7" s="1"/>
  <c r="I17" i="6"/>
  <c r="H17" i="6"/>
  <c r="Q16" i="6"/>
  <c r="O16" i="6"/>
  <c r="N16" i="6"/>
  <c r="M16" i="6"/>
  <c r="L16" i="6"/>
  <c r="I16" i="6"/>
  <c r="H16" i="6"/>
  <c r="K16" i="6" s="1"/>
  <c r="Q15" i="6"/>
  <c r="O15" i="6"/>
  <c r="N15" i="6"/>
  <c r="M15" i="6"/>
  <c r="L15" i="6"/>
  <c r="K15" i="6"/>
  <c r="J15" i="6"/>
  <c r="P15" i="6" s="1"/>
  <c r="K15" i="7" s="1"/>
  <c r="I15" i="6"/>
  <c r="H15" i="6"/>
  <c r="Q14" i="6"/>
  <c r="O14" i="6"/>
  <c r="N14" i="6"/>
  <c r="M14" i="6"/>
  <c r="L14" i="6"/>
  <c r="I14" i="6"/>
  <c r="H14" i="6"/>
  <c r="K14" i="6" s="1"/>
  <c r="Q13" i="6"/>
  <c r="O13" i="6"/>
  <c r="N13" i="6"/>
  <c r="M13" i="6"/>
  <c r="L13" i="6"/>
  <c r="K13" i="6"/>
  <c r="J13" i="6"/>
  <c r="P13" i="6" s="1"/>
  <c r="K13" i="7" s="1"/>
  <c r="I13" i="6"/>
  <c r="H13" i="6"/>
  <c r="Q12" i="6"/>
  <c r="O12" i="6"/>
  <c r="N12" i="6"/>
  <c r="M12" i="6"/>
  <c r="L12" i="6"/>
  <c r="I12" i="6"/>
  <c r="H12" i="6"/>
  <c r="K12" i="6" s="1"/>
  <c r="Q11" i="6"/>
  <c r="O11" i="6"/>
  <c r="N11" i="6"/>
  <c r="M11" i="6"/>
  <c r="L11" i="6"/>
  <c r="K11" i="6"/>
  <c r="J11" i="6"/>
  <c r="P11" i="6" s="1"/>
  <c r="K11" i="7" s="1"/>
  <c r="I11" i="6"/>
  <c r="H11" i="6"/>
  <c r="Q10" i="6"/>
  <c r="O10" i="6"/>
  <c r="N10" i="6"/>
  <c r="M10" i="6"/>
  <c r="L10" i="6"/>
  <c r="I10" i="6"/>
  <c r="H10" i="6"/>
  <c r="K10" i="6" s="1"/>
  <c r="Q9" i="6"/>
  <c r="O9" i="6"/>
  <c r="N9" i="6"/>
  <c r="M9" i="6"/>
  <c r="L9" i="6"/>
  <c r="K9" i="6"/>
  <c r="J9" i="6"/>
  <c r="P9" i="6" s="1"/>
  <c r="K9" i="7" s="1"/>
  <c r="I9" i="6"/>
  <c r="H9" i="6"/>
  <c r="Q8" i="6"/>
  <c r="O8" i="6"/>
  <c r="N8" i="6"/>
  <c r="M8" i="6"/>
  <c r="L8" i="6"/>
  <c r="I8" i="6"/>
  <c r="H8" i="6"/>
  <c r="K8" i="6" s="1"/>
  <c r="Q7" i="6"/>
  <c r="O7" i="6"/>
  <c r="N7" i="6"/>
  <c r="M7" i="6"/>
  <c r="L7" i="6"/>
  <c r="K7" i="6"/>
  <c r="J7" i="6"/>
  <c r="P7" i="6" s="1"/>
  <c r="K7" i="7" s="1"/>
  <c r="I7" i="6"/>
  <c r="H7" i="6"/>
  <c r="Q6" i="6"/>
  <c r="O6" i="6"/>
  <c r="N6" i="6"/>
  <c r="M6" i="6"/>
  <c r="L6" i="6"/>
  <c r="I6" i="6"/>
  <c r="H6" i="6"/>
  <c r="K6" i="6" s="1"/>
  <c r="Q5" i="6"/>
  <c r="O5" i="6"/>
  <c r="N5" i="6"/>
  <c r="M5" i="6"/>
  <c r="L5" i="6"/>
  <c r="K5" i="6"/>
  <c r="J5" i="6"/>
  <c r="P5" i="6" s="1"/>
  <c r="K5" i="7" s="1"/>
  <c r="I5" i="6"/>
  <c r="H5" i="6"/>
  <c r="Q4" i="6"/>
  <c r="O4" i="6"/>
  <c r="N4" i="6"/>
  <c r="M4" i="6"/>
  <c r="L4" i="6"/>
  <c r="I4" i="6"/>
  <c r="H4" i="6"/>
  <c r="K4" i="6" s="1"/>
  <c r="Q3" i="6"/>
  <c r="O3" i="6"/>
  <c r="N3" i="6"/>
  <c r="M3" i="6"/>
  <c r="L3" i="6"/>
  <c r="K3" i="6"/>
  <c r="J3" i="6"/>
  <c r="P3" i="6" s="1"/>
  <c r="K3" i="7" s="1"/>
  <c r="I3" i="6"/>
  <c r="H3" i="6"/>
  <c r="V113" i="5"/>
  <c r="T113" i="5"/>
  <c r="S113" i="5"/>
  <c r="R113" i="5"/>
  <c r="Q113" i="5"/>
  <c r="N113" i="5"/>
  <c r="M113" i="5"/>
  <c r="P113" i="5" s="1"/>
  <c r="V112" i="5"/>
  <c r="T112" i="5"/>
  <c r="S112" i="5"/>
  <c r="R112" i="5"/>
  <c r="Q112" i="5"/>
  <c r="P112" i="5"/>
  <c r="O112" i="5"/>
  <c r="U112" i="5" s="1"/>
  <c r="J112" i="7" s="1"/>
  <c r="N112" i="5"/>
  <c r="M112" i="5"/>
  <c r="V111" i="5"/>
  <c r="T111" i="5"/>
  <c r="S111" i="5"/>
  <c r="R111" i="5"/>
  <c r="Q111" i="5"/>
  <c r="N111" i="5"/>
  <c r="M111" i="5"/>
  <c r="P111" i="5" s="1"/>
  <c r="V110" i="5"/>
  <c r="T110" i="5"/>
  <c r="S110" i="5"/>
  <c r="R110" i="5"/>
  <c r="Q110" i="5"/>
  <c r="P110" i="5"/>
  <c r="O110" i="5"/>
  <c r="U110" i="5" s="1"/>
  <c r="J110" i="7" s="1"/>
  <c r="N110" i="5"/>
  <c r="M110" i="5"/>
  <c r="V109" i="5"/>
  <c r="T109" i="5"/>
  <c r="S109" i="5"/>
  <c r="R109" i="5"/>
  <c r="Q109" i="5"/>
  <c r="N109" i="5"/>
  <c r="M109" i="5"/>
  <c r="P109" i="5" s="1"/>
  <c r="V108" i="5"/>
  <c r="T108" i="5"/>
  <c r="S108" i="5"/>
  <c r="R108" i="5"/>
  <c r="Q108" i="5"/>
  <c r="P108" i="5"/>
  <c r="O108" i="5"/>
  <c r="U108" i="5" s="1"/>
  <c r="J108" i="7" s="1"/>
  <c r="N108" i="5"/>
  <c r="M108" i="5"/>
  <c r="V107" i="5"/>
  <c r="T107" i="5"/>
  <c r="S107" i="5"/>
  <c r="R107" i="5"/>
  <c r="Q107" i="5"/>
  <c r="N107" i="5"/>
  <c r="M107" i="5"/>
  <c r="P107" i="5" s="1"/>
  <c r="V106" i="5"/>
  <c r="T106" i="5"/>
  <c r="S106" i="5"/>
  <c r="R106" i="5"/>
  <c r="Q106" i="5"/>
  <c r="P106" i="5"/>
  <c r="O106" i="5"/>
  <c r="U106" i="5" s="1"/>
  <c r="J106" i="7" s="1"/>
  <c r="N106" i="5"/>
  <c r="M106" i="5"/>
  <c r="V105" i="5"/>
  <c r="T105" i="5"/>
  <c r="S105" i="5"/>
  <c r="R105" i="5"/>
  <c r="Q105" i="5"/>
  <c r="N105" i="5"/>
  <c r="M105" i="5"/>
  <c r="P105" i="5" s="1"/>
  <c r="V104" i="5"/>
  <c r="T104" i="5"/>
  <c r="S104" i="5"/>
  <c r="R104" i="5"/>
  <c r="Q104" i="5"/>
  <c r="P104" i="5"/>
  <c r="O104" i="5"/>
  <c r="U104" i="5" s="1"/>
  <c r="J104" i="7" s="1"/>
  <c r="N104" i="5"/>
  <c r="M104" i="5"/>
  <c r="V103" i="5"/>
  <c r="T103" i="5"/>
  <c r="S103" i="5"/>
  <c r="R103" i="5"/>
  <c r="Q103" i="5"/>
  <c r="N103" i="5"/>
  <c r="M103" i="5"/>
  <c r="P103" i="5" s="1"/>
  <c r="V102" i="5"/>
  <c r="T102" i="5"/>
  <c r="S102" i="5"/>
  <c r="R102" i="5"/>
  <c r="Q102" i="5"/>
  <c r="P102" i="5"/>
  <c r="O102" i="5"/>
  <c r="U102" i="5" s="1"/>
  <c r="J102" i="7" s="1"/>
  <c r="N102" i="5"/>
  <c r="M102" i="5"/>
  <c r="V101" i="5"/>
  <c r="T101" i="5"/>
  <c r="S101" i="5"/>
  <c r="R101" i="5"/>
  <c r="Q101" i="5"/>
  <c r="N101" i="5"/>
  <c r="M101" i="5"/>
  <c r="P101" i="5" s="1"/>
  <c r="V100" i="5"/>
  <c r="T100" i="5"/>
  <c r="S100" i="5"/>
  <c r="R100" i="5"/>
  <c r="Q100" i="5"/>
  <c r="P100" i="5"/>
  <c r="O100" i="5"/>
  <c r="U100" i="5" s="1"/>
  <c r="J100" i="7" s="1"/>
  <c r="N100" i="5"/>
  <c r="M100" i="5"/>
  <c r="V99" i="5"/>
  <c r="T99" i="5"/>
  <c r="S99" i="5"/>
  <c r="R99" i="5"/>
  <c r="Q99" i="5"/>
  <c r="N99" i="5"/>
  <c r="M99" i="5"/>
  <c r="P99" i="5" s="1"/>
  <c r="V98" i="5"/>
  <c r="T98" i="5"/>
  <c r="S98" i="5"/>
  <c r="R98" i="5"/>
  <c r="Q98" i="5"/>
  <c r="P98" i="5"/>
  <c r="O98" i="5"/>
  <c r="U98" i="5" s="1"/>
  <c r="J98" i="7" s="1"/>
  <c r="N98" i="5"/>
  <c r="M98" i="5"/>
  <c r="V97" i="5"/>
  <c r="T97" i="5"/>
  <c r="S97" i="5"/>
  <c r="R97" i="5"/>
  <c r="Q97" i="5"/>
  <c r="N97" i="5"/>
  <c r="M97" i="5"/>
  <c r="P97" i="5" s="1"/>
  <c r="V96" i="5"/>
  <c r="T96" i="5"/>
  <c r="S96" i="5"/>
  <c r="R96" i="5"/>
  <c r="Q96" i="5"/>
  <c r="P96" i="5"/>
  <c r="O96" i="5"/>
  <c r="U96" i="5" s="1"/>
  <c r="J96" i="7" s="1"/>
  <c r="N96" i="5"/>
  <c r="M96" i="5"/>
  <c r="V95" i="5"/>
  <c r="T95" i="5"/>
  <c r="S95" i="5"/>
  <c r="R95" i="5"/>
  <c r="Q95" i="5"/>
  <c r="N95" i="5"/>
  <c r="M95" i="5"/>
  <c r="P95" i="5" s="1"/>
  <c r="V94" i="5"/>
  <c r="T94" i="5"/>
  <c r="S94" i="5"/>
  <c r="R94" i="5"/>
  <c r="Q94" i="5"/>
  <c r="P94" i="5"/>
  <c r="O94" i="5"/>
  <c r="U94" i="5" s="1"/>
  <c r="J94" i="7" s="1"/>
  <c r="N94" i="5"/>
  <c r="M94" i="5"/>
  <c r="V93" i="5"/>
  <c r="T93" i="5"/>
  <c r="S93" i="5"/>
  <c r="R93" i="5"/>
  <c r="Q93" i="5"/>
  <c r="N93" i="5"/>
  <c r="M93" i="5"/>
  <c r="P93" i="5" s="1"/>
  <c r="V92" i="5"/>
  <c r="T92" i="5"/>
  <c r="S92" i="5"/>
  <c r="R92" i="5"/>
  <c r="Q92" i="5"/>
  <c r="P92" i="5"/>
  <c r="O92" i="5"/>
  <c r="U92" i="5" s="1"/>
  <c r="J92" i="7" s="1"/>
  <c r="N92" i="5"/>
  <c r="M92" i="5"/>
  <c r="V91" i="5"/>
  <c r="T91" i="5"/>
  <c r="S91" i="5"/>
  <c r="R91" i="5"/>
  <c r="Q91" i="5"/>
  <c r="N91" i="5"/>
  <c r="M91" i="5"/>
  <c r="P91" i="5" s="1"/>
  <c r="V90" i="5"/>
  <c r="T90" i="5"/>
  <c r="S90" i="5"/>
  <c r="R90" i="5"/>
  <c r="Q90" i="5"/>
  <c r="P90" i="5"/>
  <c r="O90" i="5"/>
  <c r="U90" i="5" s="1"/>
  <c r="J90" i="7" s="1"/>
  <c r="N90" i="5"/>
  <c r="M90" i="5"/>
  <c r="V89" i="5"/>
  <c r="T89" i="5"/>
  <c r="S89" i="5"/>
  <c r="R89" i="5"/>
  <c r="Q89" i="5"/>
  <c r="N89" i="5"/>
  <c r="M89" i="5"/>
  <c r="P89" i="5" s="1"/>
  <c r="V88" i="5"/>
  <c r="T88" i="5"/>
  <c r="S88" i="5"/>
  <c r="R88" i="5"/>
  <c r="Q88" i="5"/>
  <c r="P88" i="5"/>
  <c r="O88" i="5"/>
  <c r="U88" i="5" s="1"/>
  <c r="J88" i="7" s="1"/>
  <c r="N88" i="5"/>
  <c r="M88" i="5"/>
  <c r="V87" i="5"/>
  <c r="T87" i="5"/>
  <c r="S87" i="5"/>
  <c r="R87" i="5"/>
  <c r="Q87" i="5"/>
  <c r="N87" i="5"/>
  <c r="M87" i="5"/>
  <c r="P87" i="5" s="1"/>
  <c r="V86" i="5"/>
  <c r="T86" i="5"/>
  <c r="S86" i="5"/>
  <c r="R86" i="5"/>
  <c r="Q86" i="5"/>
  <c r="P86" i="5"/>
  <c r="O86" i="5"/>
  <c r="U86" i="5" s="1"/>
  <c r="J86" i="7" s="1"/>
  <c r="N86" i="5"/>
  <c r="M86" i="5"/>
  <c r="V85" i="5"/>
  <c r="T85" i="5"/>
  <c r="S85" i="5"/>
  <c r="R85" i="5"/>
  <c r="Q85" i="5"/>
  <c r="N85" i="5"/>
  <c r="M85" i="5"/>
  <c r="P85" i="5" s="1"/>
  <c r="V84" i="5"/>
  <c r="T84" i="5"/>
  <c r="S84" i="5"/>
  <c r="R84" i="5"/>
  <c r="Q84" i="5"/>
  <c r="P84" i="5"/>
  <c r="O84" i="5"/>
  <c r="U84" i="5" s="1"/>
  <c r="J84" i="7" s="1"/>
  <c r="N84" i="5"/>
  <c r="M84" i="5"/>
  <c r="V83" i="5"/>
  <c r="T83" i="5"/>
  <c r="S83" i="5"/>
  <c r="R83" i="5"/>
  <c r="Q83" i="5"/>
  <c r="N83" i="5"/>
  <c r="M83" i="5"/>
  <c r="P83" i="5" s="1"/>
  <c r="V82" i="5"/>
  <c r="T82" i="5"/>
  <c r="S82" i="5"/>
  <c r="R82" i="5"/>
  <c r="Q82" i="5"/>
  <c r="P82" i="5"/>
  <c r="O82" i="5"/>
  <c r="U82" i="5" s="1"/>
  <c r="J82" i="7" s="1"/>
  <c r="N82" i="5"/>
  <c r="M82" i="5"/>
  <c r="V81" i="5"/>
  <c r="T81" i="5"/>
  <c r="S81" i="5"/>
  <c r="R81" i="5"/>
  <c r="Q81" i="5"/>
  <c r="N81" i="5"/>
  <c r="M81" i="5"/>
  <c r="P81" i="5" s="1"/>
  <c r="V80" i="5"/>
  <c r="T80" i="5"/>
  <c r="S80" i="5"/>
  <c r="R80" i="5"/>
  <c r="Q80" i="5"/>
  <c r="P80" i="5"/>
  <c r="O80" i="5"/>
  <c r="U80" i="5" s="1"/>
  <c r="J80" i="7" s="1"/>
  <c r="N80" i="5"/>
  <c r="M80" i="5"/>
  <c r="V79" i="5"/>
  <c r="T79" i="5"/>
  <c r="S79" i="5"/>
  <c r="R79" i="5"/>
  <c r="Q79" i="5"/>
  <c r="N79" i="5"/>
  <c r="M79" i="5"/>
  <c r="P79" i="5" s="1"/>
  <c r="V78" i="5"/>
  <c r="T78" i="5"/>
  <c r="S78" i="5"/>
  <c r="R78" i="5"/>
  <c r="Q78" i="5"/>
  <c r="P78" i="5"/>
  <c r="O78" i="5"/>
  <c r="U78" i="5" s="1"/>
  <c r="J78" i="7" s="1"/>
  <c r="N78" i="5"/>
  <c r="M78" i="5"/>
  <c r="V77" i="5"/>
  <c r="T77" i="5"/>
  <c r="S77" i="5"/>
  <c r="R77" i="5"/>
  <c r="Q77" i="5"/>
  <c r="N77" i="5"/>
  <c r="M77" i="5"/>
  <c r="P77" i="5" s="1"/>
  <c r="V76" i="5"/>
  <c r="T76" i="5"/>
  <c r="S76" i="5"/>
  <c r="R76" i="5"/>
  <c r="Q76" i="5"/>
  <c r="P76" i="5"/>
  <c r="O76" i="5"/>
  <c r="U76" i="5" s="1"/>
  <c r="J76" i="7" s="1"/>
  <c r="N76" i="5"/>
  <c r="M76" i="5"/>
  <c r="V75" i="5"/>
  <c r="T75" i="5"/>
  <c r="S75" i="5"/>
  <c r="R75" i="5"/>
  <c r="Q75" i="5"/>
  <c r="N75" i="5"/>
  <c r="M75" i="5"/>
  <c r="P75" i="5" s="1"/>
  <c r="V74" i="5"/>
  <c r="T74" i="5"/>
  <c r="S74" i="5"/>
  <c r="R74" i="5"/>
  <c r="Q74" i="5"/>
  <c r="P74" i="5"/>
  <c r="O74" i="5"/>
  <c r="U74" i="5" s="1"/>
  <c r="J74" i="7" s="1"/>
  <c r="N74" i="5"/>
  <c r="M74" i="5"/>
  <c r="V73" i="5"/>
  <c r="T73" i="5"/>
  <c r="S73" i="5"/>
  <c r="R73" i="5"/>
  <c r="Q73" i="5"/>
  <c r="N73" i="5"/>
  <c r="M73" i="5"/>
  <c r="P73" i="5" s="1"/>
  <c r="V72" i="5"/>
  <c r="T72" i="5"/>
  <c r="S72" i="5"/>
  <c r="R72" i="5"/>
  <c r="Q72" i="5"/>
  <c r="P72" i="5"/>
  <c r="O72" i="5"/>
  <c r="U72" i="5" s="1"/>
  <c r="J72" i="7" s="1"/>
  <c r="N72" i="5"/>
  <c r="M72" i="5"/>
  <c r="V71" i="5"/>
  <c r="T71" i="5"/>
  <c r="S71" i="5"/>
  <c r="R71" i="5"/>
  <c r="Q71" i="5"/>
  <c r="N71" i="5"/>
  <c r="M71" i="5"/>
  <c r="P71" i="5" s="1"/>
  <c r="V70" i="5"/>
  <c r="T70" i="5"/>
  <c r="S70" i="5"/>
  <c r="R70" i="5"/>
  <c r="Q70" i="5"/>
  <c r="P70" i="5"/>
  <c r="O70" i="5"/>
  <c r="U70" i="5" s="1"/>
  <c r="J70" i="7" s="1"/>
  <c r="N70" i="5"/>
  <c r="M70" i="5"/>
  <c r="V69" i="5"/>
  <c r="T69" i="5"/>
  <c r="S69" i="5"/>
  <c r="R69" i="5"/>
  <c r="Q69" i="5"/>
  <c r="N69" i="5"/>
  <c r="M69" i="5"/>
  <c r="P69" i="5" s="1"/>
  <c r="V68" i="5"/>
  <c r="T68" i="5"/>
  <c r="S68" i="5"/>
  <c r="R68" i="5"/>
  <c r="Q68" i="5"/>
  <c r="P68" i="5"/>
  <c r="O68" i="5"/>
  <c r="U68" i="5" s="1"/>
  <c r="J68" i="7" s="1"/>
  <c r="N68" i="5"/>
  <c r="M68" i="5"/>
  <c r="V67" i="5"/>
  <c r="T67" i="5"/>
  <c r="S67" i="5"/>
  <c r="R67" i="5"/>
  <c r="Q67" i="5"/>
  <c r="N67" i="5"/>
  <c r="M67" i="5"/>
  <c r="P67" i="5" s="1"/>
  <c r="V66" i="5"/>
  <c r="T66" i="5"/>
  <c r="S66" i="5"/>
  <c r="R66" i="5"/>
  <c r="Q66" i="5"/>
  <c r="P66" i="5"/>
  <c r="O66" i="5"/>
  <c r="U66" i="5" s="1"/>
  <c r="J66" i="7" s="1"/>
  <c r="N66" i="5"/>
  <c r="M66" i="5"/>
  <c r="V65" i="5"/>
  <c r="T65" i="5"/>
  <c r="S65" i="5"/>
  <c r="R65" i="5"/>
  <c r="Q65" i="5"/>
  <c r="N65" i="5"/>
  <c r="M65" i="5"/>
  <c r="P65" i="5" s="1"/>
  <c r="V64" i="5"/>
  <c r="T64" i="5"/>
  <c r="S64" i="5"/>
  <c r="R64" i="5"/>
  <c r="Q64" i="5"/>
  <c r="P64" i="5"/>
  <c r="O64" i="5"/>
  <c r="U64" i="5" s="1"/>
  <c r="J64" i="7" s="1"/>
  <c r="N64" i="5"/>
  <c r="M64" i="5"/>
  <c r="V63" i="5"/>
  <c r="T63" i="5"/>
  <c r="S63" i="5"/>
  <c r="R63" i="5"/>
  <c r="Q63" i="5"/>
  <c r="N63" i="5"/>
  <c r="M63" i="5"/>
  <c r="P63" i="5" s="1"/>
  <c r="V62" i="5"/>
  <c r="T62" i="5"/>
  <c r="S62" i="5"/>
  <c r="R62" i="5"/>
  <c r="Q62" i="5"/>
  <c r="P62" i="5"/>
  <c r="O62" i="5"/>
  <c r="U62" i="5" s="1"/>
  <c r="J62" i="7" s="1"/>
  <c r="N62" i="5"/>
  <c r="M62" i="5"/>
  <c r="V61" i="5"/>
  <c r="T61" i="5"/>
  <c r="S61" i="5"/>
  <c r="R61" i="5"/>
  <c r="Q61" i="5"/>
  <c r="N61" i="5"/>
  <c r="M61" i="5"/>
  <c r="P61" i="5" s="1"/>
  <c r="V60" i="5"/>
  <c r="T60" i="5"/>
  <c r="S60" i="5"/>
  <c r="R60" i="5"/>
  <c r="Q60" i="5"/>
  <c r="P60" i="5"/>
  <c r="O60" i="5"/>
  <c r="U60" i="5" s="1"/>
  <c r="N60" i="5"/>
  <c r="M60" i="5"/>
  <c r="V59" i="5"/>
  <c r="T59" i="5"/>
  <c r="S59" i="5"/>
  <c r="R59" i="5"/>
  <c r="Q59" i="5"/>
  <c r="N59" i="5"/>
  <c r="M59" i="5"/>
  <c r="P59" i="5" s="1"/>
  <c r="V58" i="5"/>
  <c r="T58" i="5"/>
  <c r="S58" i="5"/>
  <c r="R58" i="5"/>
  <c r="Q58" i="5"/>
  <c r="P58" i="5"/>
  <c r="O58" i="5"/>
  <c r="U58" i="5" s="1"/>
  <c r="J58" i="7" s="1"/>
  <c r="N58" i="5"/>
  <c r="M58" i="5"/>
  <c r="V57" i="5"/>
  <c r="T57" i="5"/>
  <c r="S57" i="5"/>
  <c r="R57" i="5"/>
  <c r="Q57" i="5"/>
  <c r="N57" i="5"/>
  <c r="M57" i="5"/>
  <c r="P57" i="5" s="1"/>
  <c r="V56" i="5"/>
  <c r="T56" i="5"/>
  <c r="S56" i="5"/>
  <c r="R56" i="5"/>
  <c r="Q56" i="5"/>
  <c r="P56" i="5"/>
  <c r="O56" i="5"/>
  <c r="U56" i="5" s="1"/>
  <c r="J56" i="7" s="1"/>
  <c r="N56" i="5"/>
  <c r="M56" i="5"/>
  <c r="V55" i="5"/>
  <c r="T55" i="5"/>
  <c r="S55" i="5"/>
  <c r="R55" i="5"/>
  <c r="Q55" i="5"/>
  <c r="N55" i="5"/>
  <c r="M55" i="5"/>
  <c r="P55" i="5" s="1"/>
  <c r="V54" i="5"/>
  <c r="T54" i="5"/>
  <c r="S54" i="5"/>
  <c r="R54" i="5"/>
  <c r="Q54" i="5"/>
  <c r="P54" i="5"/>
  <c r="O54" i="5"/>
  <c r="U54" i="5" s="1"/>
  <c r="J54" i="7" s="1"/>
  <c r="N54" i="5"/>
  <c r="M54" i="5"/>
  <c r="V53" i="5"/>
  <c r="T53" i="5"/>
  <c r="S53" i="5"/>
  <c r="R53" i="5"/>
  <c r="Q53" i="5"/>
  <c r="N53" i="5"/>
  <c r="M53" i="5"/>
  <c r="P53" i="5" s="1"/>
  <c r="V52" i="5"/>
  <c r="T52" i="5"/>
  <c r="S52" i="5"/>
  <c r="R52" i="5"/>
  <c r="Q52" i="5"/>
  <c r="P52" i="5"/>
  <c r="O52" i="5"/>
  <c r="U52" i="5" s="1"/>
  <c r="N52" i="5"/>
  <c r="M52" i="5"/>
  <c r="V51" i="5"/>
  <c r="T51" i="5"/>
  <c r="S51" i="5"/>
  <c r="R51" i="5"/>
  <c r="Q51" i="5"/>
  <c r="N51" i="5"/>
  <c r="M51" i="5"/>
  <c r="P51" i="5" s="1"/>
  <c r="V50" i="5"/>
  <c r="T50" i="5"/>
  <c r="S50" i="5"/>
  <c r="R50" i="5"/>
  <c r="Q50" i="5"/>
  <c r="P50" i="5"/>
  <c r="O50" i="5"/>
  <c r="U50" i="5" s="1"/>
  <c r="J50" i="7" s="1"/>
  <c r="N50" i="5"/>
  <c r="M50" i="5"/>
  <c r="V49" i="5"/>
  <c r="T49" i="5"/>
  <c r="S49" i="5"/>
  <c r="R49" i="5"/>
  <c r="Q49" i="5"/>
  <c r="N49" i="5"/>
  <c r="M49" i="5"/>
  <c r="P49" i="5" s="1"/>
  <c r="V48" i="5"/>
  <c r="T48" i="5"/>
  <c r="S48" i="5"/>
  <c r="R48" i="5"/>
  <c r="Q48" i="5"/>
  <c r="P48" i="5"/>
  <c r="O48" i="5"/>
  <c r="U48" i="5" s="1"/>
  <c r="J48" i="7" s="1"/>
  <c r="N48" i="5"/>
  <c r="M48" i="5"/>
  <c r="V47" i="5"/>
  <c r="T47" i="5"/>
  <c r="S47" i="5"/>
  <c r="R47" i="5"/>
  <c r="Q47" i="5"/>
  <c r="N47" i="5"/>
  <c r="M47" i="5"/>
  <c r="P47" i="5" s="1"/>
  <c r="V46" i="5"/>
  <c r="T46" i="5"/>
  <c r="S46" i="5"/>
  <c r="R46" i="5"/>
  <c r="Q46" i="5"/>
  <c r="P46" i="5"/>
  <c r="O46" i="5"/>
  <c r="U46" i="5" s="1"/>
  <c r="J46" i="7" s="1"/>
  <c r="N46" i="5"/>
  <c r="M46" i="5"/>
  <c r="V45" i="5"/>
  <c r="T45" i="5"/>
  <c r="S45" i="5"/>
  <c r="R45" i="5"/>
  <c r="Q45" i="5"/>
  <c r="N45" i="5"/>
  <c r="M45" i="5"/>
  <c r="P45" i="5" s="1"/>
  <c r="V44" i="5"/>
  <c r="T44" i="5"/>
  <c r="S44" i="5"/>
  <c r="R44" i="5"/>
  <c r="Q44" i="5"/>
  <c r="P44" i="5"/>
  <c r="O44" i="5"/>
  <c r="U44" i="5" s="1"/>
  <c r="J44" i="7" s="1"/>
  <c r="N44" i="5"/>
  <c r="M44" i="5"/>
  <c r="V43" i="5"/>
  <c r="T43" i="5"/>
  <c r="S43" i="5"/>
  <c r="R43" i="5"/>
  <c r="Q43" i="5"/>
  <c r="N43" i="5"/>
  <c r="M43" i="5"/>
  <c r="P43" i="5" s="1"/>
  <c r="V42" i="5"/>
  <c r="T42" i="5"/>
  <c r="S42" i="5"/>
  <c r="R42" i="5"/>
  <c r="Q42" i="5"/>
  <c r="P42" i="5"/>
  <c r="O42" i="5"/>
  <c r="U42" i="5" s="1"/>
  <c r="J42" i="7" s="1"/>
  <c r="N42" i="5"/>
  <c r="M42" i="5"/>
  <c r="V41" i="5"/>
  <c r="T41" i="5"/>
  <c r="S41" i="5"/>
  <c r="R41" i="5"/>
  <c r="Q41" i="5"/>
  <c r="N41" i="5"/>
  <c r="M41" i="5"/>
  <c r="P41" i="5" s="1"/>
  <c r="V40" i="5"/>
  <c r="T40" i="5"/>
  <c r="S40" i="5"/>
  <c r="R40" i="5"/>
  <c r="Q40" i="5"/>
  <c r="P40" i="5"/>
  <c r="O40" i="5"/>
  <c r="U40" i="5" s="1"/>
  <c r="J40" i="7" s="1"/>
  <c r="N40" i="5"/>
  <c r="M40" i="5"/>
  <c r="V39" i="5"/>
  <c r="T39" i="5"/>
  <c r="S39" i="5"/>
  <c r="R39" i="5"/>
  <c r="Q39" i="5"/>
  <c r="N39" i="5"/>
  <c r="M39" i="5"/>
  <c r="P39" i="5" s="1"/>
  <c r="V38" i="5"/>
  <c r="T38" i="5"/>
  <c r="S38" i="5"/>
  <c r="R38" i="5"/>
  <c r="Q38" i="5"/>
  <c r="P38" i="5"/>
  <c r="O38" i="5"/>
  <c r="U38" i="5" s="1"/>
  <c r="J38" i="7" s="1"/>
  <c r="N38" i="5"/>
  <c r="M38" i="5"/>
  <c r="V37" i="5"/>
  <c r="T37" i="5"/>
  <c r="S37" i="5"/>
  <c r="R37" i="5"/>
  <c r="Q37" i="5"/>
  <c r="N37" i="5"/>
  <c r="M37" i="5"/>
  <c r="P37" i="5" s="1"/>
  <c r="V36" i="5"/>
  <c r="T36" i="5"/>
  <c r="S36" i="5"/>
  <c r="R36" i="5"/>
  <c r="Q36" i="5"/>
  <c r="P36" i="5"/>
  <c r="O36" i="5"/>
  <c r="U36" i="5" s="1"/>
  <c r="J36" i="7" s="1"/>
  <c r="N36" i="5"/>
  <c r="M36" i="5"/>
  <c r="V35" i="5"/>
  <c r="T35" i="5"/>
  <c r="S35" i="5"/>
  <c r="R35" i="5"/>
  <c r="Q35" i="5"/>
  <c r="N35" i="5"/>
  <c r="M35" i="5"/>
  <c r="P35" i="5" s="1"/>
  <c r="V34" i="5"/>
  <c r="T34" i="5"/>
  <c r="S34" i="5"/>
  <c r="R34" i="5"/>
  <c r="Q34" i="5"/>
  <c r="P34" i="5"/>
  <c r="O34" i="5"/>
  <c r="U34" i="5" s="1"/>
  <c r="J34" i="7" s="1"/>
  <c r="N34" i="5"/>
  <c r="M34" i="5"/>
  <c r="V33" i="5"/>
  <c r="T33" i="5"/>
  <c r="S33" i="5"/>
  <c r="R33" i="5"/>
  <c r="Q33" i="5"/>
  <c r="N33" i="5"/>
  <c r="M33" i="5"/>
  <c r="P33" i="5" s="1"/>
  <c r="V32" i="5"/>
  <c r="T32" i="5"/>
  <c r="S32" i="5"/>
  <c r="R32" i="5"/>
  <c r="Q32" i="5"/>
  <c r="P32" i="5"/>
  <c r="O32" i="5"/>
  <c r="U32" i="5" s="1"/>
  <c r="J32" i="7" s="1"/>
  <c r="N32" i="5"/>
  <c r="M32" i="5"/>
  <c r="V31" i="5"/>
  <c r="T31" i="5"/>
  <c r="S31" i="5"/>
  <c r="R31" i="5"/>
  <c r="Q31" i="5"/>
  <c r="N31" i="5"/>
  <c r="M31" i="5"/>
  <c r="P31" i="5" s="1"/>
  <c r="V30" i="5"/>
  <c r="T30" i="5"/>
  <c r="S30" i="5"/>
  <c r="R30" i="5"/>
  <c r="Q30" i="5"/>
  <c r="P30" i="5"/>
  <c r="O30" i="5"/>
  <c r="U30" i="5" s="1"/>
  <c r="J30" i="7" s="1"/>
  <c r="N30" i="5"/>
  <c r="M30" i="5"/>
  <c r="V29" i="5"/>
  <c r="T29" i="5"/>
  <c r="S29" i="5"/>
  <c r="R29" i="5"/>
  <c r="Q29" i="5"/>
  <c r="N29" i="5"/>
  <c r="M29" i="5"/>
  <c r="P29" i="5" s="1"/>
  <c r="V28" i="5"/>
  <c r="T28" i="5"/>
  <c r="S28" i="5"/>
  <c r="R28" i="5"/>
  <c r="Q28" i="5"/>
  <c r="P28" i="5"/>
  <c r="O28" i="5"/>
  <c r="U28" i="5" s="1"/>
  <c r="J28" i="7" s="1"/>
  <c r="N28" i="5"/>
  <c r="M28" i="5"/>
  <c r="V27" i="5"/>
  <c r="T27" i="5"/>
  <c r="S27" i="5"/>
  <c r="R27" i="5"/>
  <c r="Q27" i="5"/>
  <c r="N27" i="5"/>
  <c r="M27" i="5"/>
  <c r="P27" i="5" s="1"/>
  <c r="V26" i="5"/>
  <c r="T26" i="5"/>
  <c r="S26" i="5"/>
  <c r="R26" i="5"/>
  <c r="Q26" i="5"/>
  <c r="P26" i="5"/>
  <c r="O26" i="5"/>
  <c r="U26" i="5" s="1"/>
  <c r="J26" i="7" s="1"/>
  <c r="N26" i="5"/>
  <c r="M26" i="5"/>
  <c r="V25" i="5"/>
  <c r="T25" i="5"/>
  <c r="S25" i="5"/>
  <c r="R25" i="5"/>
  <c r="Q25" i="5"/>
  <c r="N25" i="5"/>
  <c r="M25" i="5"/>
  <c r="P25" i="5" s="1"/>
  <c r="V24" i="5"/>
  <c r="T24" i="5"/>
  <c r="S24" i="5"/>
  <c r="R24" i="5"/>
  <c r="Q24" i="5"/>
  <c r="P24" i="5"/>
  <c r="O24" i="5"/>
  <c r="U24" i="5" s="1"/>
  <c r="J24" i="7" s="1"/>
  <c r="N24" i="5"/>
  <c r="M24" i="5"/>
  <c r="V23" i="5"/>
  <c r="T23" i="5"/>
  <c r="S23" i="5"/>
  <c r="R23" i="5"/>
  <c r="Q23" i="5"/>
  <c r="N23" i="5"/>
  <c r="M23" i="5"/>
  <c r="P23" i="5" s="1"/>
  <c r="V22" i="5"/>
  <c r="T22" i="5"/>
  <c r="S22" i="5"/>
  <c r="R22" i="5"/>
  <c r="Q22" i="5"/>
  <c r="P22" i="5"/>
  <c r="O22" i="5"/>
  <c r="U22" i="5" s="1"/>
  <c r="J22" i="7" s="1"/>
  <c r="N22" i="5"/>
  <c r="M22" i="5"/>
  <c r="V21" i="5"/>
  <c r="T21" i="5"/>
  <c r="S21" i="5"/>
  <c r="R21" i="5"/>
  <c r="Q21" i="5"/>
  <c r="N21" i="5"/>
  <c r="M21" i="5"/>
  <c r="P21" i="5" s="1"/>
  <c r="V20" i="5"/>
  <c r="T20" i="5"/>
  <c r="S20" i="5"/>
  <c r="R20" i="5"/>
  <c r="Q20" i="5"/>
  <c r="P20" i="5"/>
  <c r="O20" i="5"/>
  <c r="U20" i="5" s="1"/>
  <c r="J20" i="7" s="1"/>
  <c r="N20" i="5"/>
  <c r="M20" i="5"/>
  <c r="V19" i="5"/>
  <c r="T19" i="5"/>
  <c r="S19" i="5"/>
  <c r="R19" i="5"/>
  <c r="Q19" i="5"/>
  <c r="N19" i="5"/>
  <c r="M19" i="5"/>
  <c r="P19" i="5" s="1"/>
  <c r="V18" i="5"/>
  <c r="T18" i="5"/>
  <c r="S18" i="5"/>
  <c r="R18" i="5"/>
  <c r="Q18" i="5"/>
  <c r="P18" i="5"/>
  <c r="O18" i="5"/>
  <c r="U18" i="5" s="1"/>
  <c r="J18" i="7" s="1"/>
  <c r="N18" i="5"/>
  <c r="M18" i="5"/>
  <c r="V17" i="5"/>
  <c r="T17" i="5"/>
  <c r="S17" i="5"/>
  <c r="R17" i="5"/>
  <c r="Q17" i="5"/>
  <c r="N17" i="5"/>
  <c r="M17" i="5"/>
  <c r="P17" i="5" s="1"/>
  <c r="V16" i="5"/>
  <c r="T16" i="5"/>
  <c r="S16" i="5"/>
  <c r="R16" i="5"/>
  <c r="Q16" i="5"/>
  <c r="P16" i="5"/>
  <c r="O16" i="5"/>
  <c r="U16" i="5" s="1"/>
  <c r="J16" i="7" s="1"/>
  <c r="N16" i="5"/>
  <c r="M16" i="5"/>
  <c r="V15" i="5"/>
  <c r="T15" i="5"/>
  <c r="S15" i="5"/>
  <c r="R15" i="5"/>
  <c r="Q15" i="5"/>
  <c r="N15" i="5"/>
  <c r="M15" i="5"/>
  <c r="P15" i="5" s="1"/>
  <c r="V14" i="5"/>
  <c r="T14" i="5"/>
  <c r="S14" i="5"/>
  <c r="R14" i="5"/>
  <c r="Q14" i="5"/>
  <c r="P14" i="5"/>
  <c r="O14" i="5"/>
  <c r="U14" i="5" s="1"/>
  <c r="J14" i="7" s="1"/>
  <c r="N14" i="5"/>
  <c r="M14" i="5"/>
  <c r="V13" i="5"/>
  <c r="T13" i="5"/>
  <c r="S13" i="5"/>
  <c r="R13" i="5"/>
  <c r="Q13" i="5"/>
  <c r="N13" i="5"/>
  <c r="M13" i="5"/>
  <c r="P13" i="5" s="1"/>
  <c r="V12" i="5"/>
  <c r="T12" i="5"/>
  <c r="S12" i="5"/>
  <c r="R12" i="5"/>
  <c r="Q12" i="5"/>
  <c r="P12" i="5"/>
  <c r="O12" i="5"/>
  <c r="U12" i="5" s="1"/>
  <c r="J12" i="7" s="1"/>
  <c r="N12" i="5"/>
  <c r="M12" i="5"/>
  <c r="V11" i="5"/>
  <c r="T11" i="5"/>
  <c r="S11" i="5"/>
  <c r="R11" i="5"/>
  <c r="Q11" i="5"/>
  <c r="N11" i="5"/>
  <c r="M11" i="5"/>
  <c r="P11" i="5" s="1"/>
  <c r="V10" i="5"/>
  <c r="T10" i="5"/>
  <c r="S10" i="5"/>
  <c r="R10" i="5"/>
  <c r="Q10" i="5"/>
  <c r="P10" i="5"/>
  <c r="O10" i="5"/>
  <c r="U10" i="5" s="1"/>
  <c r="J10" i="7" s="1"/>
  <c r="N10" i="5"/>
  <c r="M10" i="5"/>
  <c r="V9" i="5"/>
  <c r="T9" i="5"/>
  <c r="S9" i="5"/>
  <c r="R9" i="5"/>
  <c r="Q9" i="5"/>
  <c r="N9" i="5"/>
  <c r="M9" i="5"/>
  <c r="P9" i="5" s="1"/>
  <c r="V8" i="5"/>
  <c r="T8" i="5"/>
  <c r="S8" i="5"/>
  <c r="R8" i="5"/>
  <c r="Q8" i="5"/>
  <c r="P8" i="5"/>
  <c r="O8" i="5"/>
  <c r="U8" i="5" s="1"/>
  <c r="J8" i="7" s="1"/>
  <c r="N8" i="5"/>
  <c r="M8" i="5"/>
  <c r="V7" i="5"/>
  <c r="T7" i="5"/>
  <c r="S7" i="5"/>
  <c r="R7" i="5"/>
  <c r="Q7" i="5"/>
  <c r="N7" i="5"/>
  <c r="M7" i="5"/>
  <c r="P7" i="5" s="1"/>
  <c r="V6" i="5"/>
  <c r="T6" i="5"/>
  <c r="S6" i="5"/>
  <c r="R6" i="5"/>
  <c r="Q6" i="5"/>
  <c r="P6" i="5"/>
  <c r="O6" i="5"/>
  <c r="U6" i="5" s="1"/>
  <c r="J6" i="7" s="1"/>
  <c r="N6" i="5"/>
  <c r="M6" i="5"/>
  <c r="V5" i="5"/>
  <c r="T5" i="5"/>
  <c r="S5" i="5"/>
  <c r="R5" i="5"/>
  <c r="Q5" i="5"/>
  <c r="N5" i="5"/>
  <c r="M5" i="5"/>
  <c r="P5" i="5" s="1"/>
  <c r="V4" i="5"/>
  <c r="T4" i="5"/>
  <c r="S4" i="5"/>
  <c r="R4" i="5"/>
  <c r="Q4" i="5"/>
  <c r="P4" i="5"/>
  <c r="O4" i="5"/>
  <c r="U4" i="5" s="1"/>
  <c r="J4" i="7" s="1"/>
  <c r="N4" i="5"/>
  <c r="M4" i="5"/>
  <c r="V3" i="5"/>
  <c r="T3" i="5"/>
  <c r="S3" i="5"/>
  <c r="R3" i="5"/>
  <c r="Q3" i="5"/>
  <c r="N3" i="5"/>
  <c r="M3" i="5"/>
  <c r="P3" i="5" s="1"/>
  <c r="V113" i="4"/>
  <c r="T113" i="4"/>
  <c r="S113" i="4"/>
  <c r="R113" i="4"/>
  <c r="Q113" i="4"/>
  <c r="P113" i="4"/>
  <c r="O113" i="4"/>
  <c r="U113" i="4" s="1"/>
  <c r="I113" i="7" s="1"/>
  <c r="N113" i="4"/>
  <c r="M113" i="4"/>
  <c r="V112" i="4"/>
  <c r="T112" i="4"/>
  <c r="S112" i="4"/>
  <c r="R112" i="4"/>
  <c r="Q112" i="4"/>
  <c r="N112" i="4"/>
  <c r="M112" i="4"/>
  <c r="P112" i="4" s="1"/>
  <c r="V111" i="4"/>
  <c r="T111" i="4"/>
  <c r="S111" i="4"/>
  <c r="R111" i="4"/>
  <c r="Q111" i="4"/>
  <c r="P111" i="4"/>
  <c r="O111" i="4"/>
  <c r="U111" i="4" s="1"/>
  <c r="I111" i="7" s="1"/>
  <c r="N111" i="4"/>
  <c r="M111" i="4"/>
  <c r="V110" i="4"/>
  <c r="T110" i="4"/>
  <c r="S110" i="4"/>
  <c r="R110" i="4"/>
  <c r="Q110" i="4"/>
  <c r="N110" i="4"/>
  <c r="M110" i="4"/>
  <c r="P110" i="4" s="1"/>
  <c r="V109" i="4"/>
  <c r="T109" i="4"/>
  <c r="S109" i="4"/>
  <c r="R109" i="4"/>
  <c r="Q109" i="4"/>
  <c r="P109" i="4"/>
  <c r="O109" i="4"/>
  <c r="U109" i="4" s="1"/>
  <c r="I109" i="7" s="1"/>
  <c r="N109" i="4"/>
  <c r="M109" i="4"/>
  <c r="V108" i="4"/>
  <c r="T108" i="4"/>
  <c r="S108" i="4"/>
  <c r="R108" i="4"/>
  <c r="Q108" i="4"/>
  <c r="N108" i="4"/>
  <c r="M108" i="4"/>
  <c r="P108" i="4" s="1"/>
  <c r="V107" i="4"/>
  <c r="T107" i="4"/>
  <c r="S107" i="4"/>
  <c r="R107" i="4"/>
  <c r="Q107" i="4"/>
  <c r="P107" i="4"/>
  <c r="O107" i="4"/>
  <c r="U107" i="4" s="1"/>
  <c r="I107" i="7" s="1"/>
  <c r="N107" i="4"/>
  <c r="M107" i="4"/>
  <c r="V106" i="4"/>
  <c r="T106" i="4"/>
  <c r="S106" i="4"/>
  <c r="R106" i="4"/>
  <c r="Q106" i="4"/>
  <c r="N106" i="4"/>
  <c r="M106" i="4"/>
  <c r="P106" i="4" s="1"/>
  <c r="V105" i="4"/>
  <c r="T105" i="4"/>
  <c r="S105" i="4"/>
  <c r="R105" i="4"/>
  <c r="Q105" i="4"/>
  <c r="P105" i="4"/>
  <c r="O105" i="4"/>
  <c r="U105" i="4" s="1"/>
  <c r="I105" i="7" s="1"/>
  <c r="N105" i="4"/>
  <c r="M105" i="4"/>
  <c r="V104" i="4"/>
  <c r="T104" i="4"/>
  <c r="S104" i="4"/>
  <c r="R104" i="4"/>
  <c r="Q104" i="4"/>
  <c r="N104" i="4"/>
  <c r="M104" i="4"/>
  <c r="P104" i="4" s="1"/>
  <c r="V103" i="4"/>
  <c r="T103" i="4"/>
  <c r="S103" i="4"/>
  <c r="R103" i="4"/>
  <c r="Q103" i="4"/>
  <c r="P103" i="4"/>
  <c r="O103" i="4"/>
  <c r="U103" i="4" s="1"/>
  <c r="I103" i="7" s="1"/>
  <c r="N103" i="4"/>
  <c r="M103" i="4"/>
  <c r="V102" i="4"/>
  <c r="T102" i="4"/>
  <c r="S102" i="4"/>
  <c r="R102" i="4"/>
  <c r="Q102" i="4"/>
  <c r="N102" i="4"/>
  <c r="M102" i="4"/>
  <c r="P102" i="4" s="1"/>
  <c r="V101" i="4"/>
  <c r="T101" i="4"/>
  <c r="S101" i="4"/>
  <c r="R101" i="4"/>
  <c r="Q101" i="4"/>
  <c r="P101" i="4"/>
  <c r="O101" i="4"/>
  <c r="U101" i="4" s="1"/>
  <c r="I101" i="7" s="1"/>
  <c r="N101" i="4"/>
  <c r="M101" i="4"/>
  <c r="V100" i="4"/>
  <c r="T100" i="4"/>
  <c r="S100" i="4"/>
  <c r="R100" i="4"/>
  <c r="Q100" i="4"/>
  <c r="N100" i="4"/>
  <c r="M100" i="4"/>
  <c r="P100" i="4" s="1"/>
  <c r="V99" i="4"/>
  <c r="T99" i="4"/>
  <c r="S99" i="4"/>
  <c r="R99" i="4"/>
  <c r="Q99" i="4"/>
  <c r="P99" i="4"/>
  <c r="O99" i="4"/>
  <c r="U99" i="4" s="1"/>
  <c r="N99" i="4"/>
  <c r="M99" i="4"/>
  <c r="V98" i="4"/>
  <c r="T98" i="4"/>
  <c r="S98" i="4"/>
  <c r="R98" i="4"/>
  <c r="Q98" i="4"/>
  <c r="N98" i="4"/>
  <c r="M98" i="4"/>
  <c r="P98" i="4" s="1"/>
  <c r="V97" i="4"/>
  <c r="T97" i="4"/>
  <c r="S97" i="4"/>
  <c r="R97" i="4"/>
  <c r="Q97" i="4"/>
  <c r="P97" i="4"/>
  <c r="O97" i="4"/>
  <c r="U97" i="4" s="1"/>
  <c r="I97" i="7" s="1"/>
  <c r="N97" i="4"/>
  <c r="M97" i="4"/>
  <c r="V96" i="4"/>
  <c r="T96" i="4"/>
  <c r="S96" i="4"/>
  <c r="R96" i="4"/>
  <c r="Q96" i="4"/>
  <c r="N96" i="4"/>
  <c r="M96" i="4"/>
  <c r="P96" i="4" s="1"/>
  <c r="V95" i="4"/>
  <c r="T95" i="4"/>
  <c r="S95" i="4"/>
  <c r="R95" i="4"/>
  <c r="Q95" i="4"/>
  <c r="P95" i="4"/>
  <c r="O95" i="4"/>
  <c r="U95" i="4" s="1"/>
  <c r="I95" i="7" s="1"/>
  <c r="N95" i="4"/>
  <c r="M95" i="4"/>
  <c r="V94" i="4"/>
  <c r="T94" i="4"/>
  <c r="S94" i="4"/>
  <c r="R94" i="4"/>
  <c r="Q94" i="4"/>
  <c r="N94" i="4"/>
  <c r="M94" i="4"/>
  <c r="P94" i="4" s="1"/>
  <c r="V93" i="4"/>
  <c r="T93" i="4"/>
  <c r="S93" i="4"/>
  <c r="R93" i="4"/>
  <c r="Q93" i="4"/>
  <c r="P93" i="4"/>
  <c r="O93" i="4"/>
  <c r="U93" i="4" s="1"/>
  <c r="I93" i="7" s="1"/>
  <c r="N93" i="4"/>
  <c r="M93" i="4"/>
  <c r="V92" i="4"/>
  <c r="T92" i="4"/>
  <c r="S92" i="4"/>
  <c r="R92" i="4"/>
  <c r="Q92" i="4"/>
  <c r="N92" i="4"/>
  <c r="M92" i="4"/>
  <c r="P92" i="4" s="1"/>
  <c r="V91" i="4"/>
  <c r="T91" i="4"/>
  <c r="S91" i="4"/>
  <c r="R91" i="4"/>
  <c r="Q91" i="4"/>
  <c r="P91" i="4"/>
  <c r="O91" i="4"/>
  <c r="U91" i="4" s="1"/>
  <c r="I91" i="7" s="1"/>
  <c r="N91" i="4"/>
  <c r="M91" i="4"/>
  <c r="V90" i="4"/>
  <c r="T90" i="4"/>
  <c r="S90" i="4"/>
  <c r="R90" i="4"/>
  <c r="Q90" i="4"/>
  <c r="N90" i="4"/>
  <c r="M90" i="4"/>
  <c r="P90" i="4" s="1"/>
  <c r="V89" i="4"/>
  <c r="T89" i="4"/>
  <c r="S89" i="4"/>
  <c r="R89" i="4"/>
  <c r="Q89" i="4"/>
  <c r="P89" i="4"/>
  <c r="O89" i="4"/>
  <c r="U89" i="4" s="1"/>
  <c r="I89" i="7" s="1"/>
  <c r="N89" i="4"/>
  <c r="M89" i="4"/>
  <c r="V88" i="4"/>
  <c r="T88" i="4"/>
  <c r="S88" i="4"/>
  <c r="R88" i="4"/>
  <c r="Q88" i="4"/>
  <c r="N88" i="4"/>
  <c r="M88" i="4"/>
  <c r="P88" i="4" s="1"/>
  <c r="V87" i="4"/>
  <c r="T87" i="4"/>
  <c r="S87" i="4"/>
  <c r="R87" i="4"/>
  <c r="Q87" i="4"/>
  <c r="P87" i="4"/>
  <c r="O87" i="4"/>
  <c r="U87" i="4" s="1"/>
  <c r="I87" i="7" s="1"/>
  <c r="N87" i="4"/>
  <c r="M87" i="4"/>
  <c r="V86" i="4"/>
  <c r="T86" i="4"/>
  <c r="S86" i="4"/>
  <c r="R86" i="4"/>
  <c r="Q86" i="4"/>
  <c r="N86" i="4"/>
  <c r="M86" i="4"/>
  <c r="P86" i="4" s="1"/>
  <c r="V85" i="4"/>
  <c r="T85" i="4"/>
  <c r="S85" i="4"/>
  <c r="R85" i="4"/>
  <c r="Q85" i="4"/>
  <c r="P85" i="4"/>
  <c r="O85" i="4"/>
  <c r="U85" i="4" s="1"/>
  <c r="I85" i="7" s="1"/>
  <c r="N85" i="4"/>
  <c r="M85" i="4"/>
  <c r="V84" i="4"/>
  <c r="T84" i="4"/>
  <c r="S84" i="4"/>
  <c r="R84" i="4"/>
  <c r="Q84" i="4"/>
  <c r="N84" i="4"/>
  <c r="M84" i="4"/>
  <c r="P84" i="4" s="1"/>
  <c r="V83" i="4"/>
  <c r="T83" i="4"/>
  <c r="S83" i="4"/>
  <c r="R83" i="4"/>
  <c r="Q83" i="4"/>
  <c r="P83" i="4"/>
  <c r="O83" i="4"/>
  <c r="U83" i="4" s="1"/>
  <c r="I83" i="7" s="1"/>
  <c r="N83" i="4"/>
  <c r="M83" i="4"/>
  <c r="V82" i="4"/>
  <c r="T82" i="4"/>
  <c r="S82" i="4"/>
  <c r="R82" i="4"/>
  <c r="Q82" i="4"/>
  <c r="N82" i="4"/>
  <c r="M82" i="4"/>
  <c r="P82" i="4" s="1"/>
  <c r="V81" i="4"/>
  <c r="T81" i="4"/>
  <c r="S81" i="4"/>
  <c r="R81" i="4"/>
  <c r="Q81" i="4"/>
  <c r="P81" i="4"/>
  <c r="O81" i="4"/>
  <c r="U81" i="4" s="1"/>
  <c r="N81" i="4"/>
  <c r="M81" i="4"/>
  <c r="V80" i="4"/>
  <c r="T80" i="4"/>
  <c r="S80" i="4"/>
  <c r="R80" i="4"/>
  <c r="Q80" i="4"/>
  <c r="N80" i="4"/>
  <c r="M80" i="4"/>
  <c r="P80" i="4" s="1"/>
  <c r="V79" i="4"/>
  <c r="T79" i="4"/>
  <c r="S79" i="4"/>
  <c r="R79" i="4"/>
  <c r="Q79" i="4"/>
  <c r="P79" i="4"/>
  <c r="O79" i="4"/>
  <c r="U79" i="4" s="1"/>
  <c r="I79" i="7" s="1"/>
  <c r="N79" i="4"/>
  <c r="M79" i="4"/>
  <c r="V78" i="4"/>
  <c r="T78" i="4"/>
  <c r="S78" i="4"/>
  <c r="R78" i="4"/>
  <c r="Q78" i="4"/>
  <c r="N78" i="4"/>
  <c r="M78" i="4"/>
  <c r="P78" i="4" s="1"/>
  <c r="V77" i="4"/>
  <c r="T77" i="4"/>
  <c r="S77" i="4"/>
  <c r="R77" i="4"/>
  <c r="Q77" i="4"/>
  <c r="P77" i="4"/>
  <c r="O77" i="4"/>
  <c r="U77" i="4" s="1"/>
  <c r="N77" i="4"/>
  <c r="M77" i="4"/>
  <c r="V76" i="4"/>
  <c r="T76" i="4"/>
  <c r="S76" i="4"/>
  <c r="R76" i="4"/>
  <c r="Q76" i="4"/>
  <c r="N76" i="4"/>
  <c r="M76" i="4"/>
  <c r="V75" i="4"/>
  <c r="T75" i="4"/>
  <c r="S75" i="4"/>
  <c r="R75" i="4"/>
  <c r="Q75" i="4"/>
  <c r="P75" i="4"/>
  <c r="O75" i="4"/>
  <c r="U75" i="4" s="1"/>
  <c r="I75" i="7" s="1"/>
  <c r="N75" i="4"/>
  <c r="M75" i="4"/>
  <c r="V74" i="4"/>
  <c r="T74" i="4"/>
  <c r="S74" i="4"/>
  <c r="R74" i="4"/>
  <c r="Q74" i="4"/>
  <c r="N74" i="4"/>
  <c r="M74" i="4"/>
  <c r="V73" i="4"/>
  <c r="T73" i="4"/>
  <c r="S73" i="4"/>
  <c r="R73" i="4"/>
  <c r="Q73" i="4"/>
  <c r="P73" i="4"/>
  <c r="O73" i="4"/>
  <c r="N73" i="4"/>
  <c r="M73" i="4"/>
  <c r="V72" i="4"/>
  <c r="T72" i="4"/>
  <c r="S72" i="4"/>
  <c r="R72" i="4"/>
  <c r="Q72" i="4"/>
  <c r="N72" i="4"/>
  <c r="M72" i="4"/>
  <c r="V71" i="4"/>
  <c r="T71" i="4"/>
  <c r="S71" i="4"/>
  <c r="R71" i="4"/>
  <c r="Q71" i="4"/>
  <c r="P71" i="4"/>
  <c r="O71" i="4"/>
  <c r="N71" i="4"/>
  <c r="M71" i="4"/>
  <c r="V70" i="4"/>
  <c r="T70" i="4"/>
  <c r="S70" i="4"/>
  <c r="R70" i="4"/>
  <c r="Q70" i="4"/>
  <c r="N70" i="4"/>
  <c r="M70" i="4"/>
  <c r="V69" i="4"/>
  <c r="T69" i="4"/>
  <c r="S69" i="4"/>
  <c r="R69" i="4"/>
  <c r="Q69" i="4"/>
  <c r="P69" i="4"/>
  <c r="O69" i="4"/>
  <c r="U69" i="4" s="1"/>
  <c r="I69" i="7" s="1"/>
  <c r="N69" i="4"/>
  <c r="M69" i="4"/>
  <c r="V68" i="4"/>
  <c r="T68" i="4"/>
  <c r="S68" i="4"/>
  <c r="R68" i="4"/>
  <c r="Q68" i="4"/>
  <c r="U68" i="4" s="1"/>
  <c r="I68" i="7" s="1"/>
  <c r="O68" i="4"/>
  <c r="N68" i="4"/>
  <c r="M68" i="4"/>
  <c r="P68" i="4" s="1"/>
  <c r="V67" i="4"/>
  <c r="T67" i="4"/>
  <c r="S67" i="4"/>
  <c r="R67" i="4"/>
  <c r="Q67" i="4"/>
  <c r="N67" i="4"/>
  <c r="M67" i="4"/>
  <c r="P67" i="4" s="1"/>
  <c r="V66" i="4"/>
  <c r="T66" i="4"/>
  <c r="S66" i="4"/>
  <c r="R66" i="4"/>
  <c r="Q66" i="4"/>
  <c r="O66" i="4"/>
  <c r="U66" i="4" s="1"/>
  <c r="I66" i="7" s="1"/>
  <c r="N66" i="4"/>
  <c r="M66" i="4"/>
  <c r="P66" i="4" s="1"/>
  <c r="V65" i="4"/>
  <c r="T65" i="4"/>
  <c r="S65" i="4"/>
  <c r="R65" i="4"/>
  <c r="Q65" i="4"/>
  <c r="N65" i="4"/>
  <c r="M65" i="4"/>
  <c r="P65" i="4" s="1"/>
  <c r="V64" i="4"/>
  <c r="T64" i="4"/>
  <c r="S64" i="4"/>
  <c r="R64" i="4"/>
  <c r="Q64" i="4"/>
  <c r="N64" i="4"/>
  <c r="M64" i="4"/>
  <c r="P64" i="4" s="1"/>
  <c r="V63" i="4"/>
  <c r="T63" i="4"/>
  <c r="S63" i="4"/>
  <c r="R63" i="4"/>
  <c r="Q63" i="4"/>
  <c r="P63" i="4"/>
  <c r="O63" i="4"/>
  <c r="U63" i="4" s="1"/>
  <c r="I63" i="7" s="1"/>
  <c r="N63" i="4"/>
  <c r="M63" i="4"/>
  <c r="V62" i="4"/>
  <c r="T62" i="4"/>
  <c r="S62" i="4"/>
  <c r="R62" i="4"/>
  <c r="Q62" i="4"/>
  <c r="N62" i="4"/>
  <c r="M62" i="4"/>
  <c r="P62" i="4" s="1"/>
  <c r="V61" i="4"/>
  <c r="T61" i="4"/>
  <c r="S61" i="4"/>
  <c r="R61" i="4"/>
  <c r="Q61" i="4"/>
  <c r="P61" i="4"/>
  <c r="O61" i="4"/>
  <c r="U61" i="4" s="1"/>
  <c r="I61" i="7" s="1"/>
  <c r="N61" i="4"/>
  <c r="M61" i="4"/>
  <c r="V60" i="4"/>
  <c r="T60" i="4"/>
  <c r="S60" i="4"/>
  <c r="R60" i="4"/>
  <c r="Q60" i="4"/>
  <c r="U60" i="4" s="1"/>
  <c r="O60" i="4"/>
  <c r="N60" i="4"/>
  <c r="M60" i="4"/>
  <c r="P60" i="4" s="1"/>
  <c r="V59" i="4"/>
  <c r="T59" i="4"/>
  <c r="S59" i="4"/>
  <c r="R59" i="4"/>
  <c r="Q59" i="4"/>
  <c r="N59" i="4"/>
  <c r="M59" i="4"/>
  <c r="P59" i="4" s="1"/>
  <c r="V58" i="4"/>
  <c r="T58" i="4"/>
  <c r="S58" i="4"/>
  <c r="R58" i="4"/>
  <c r="Q58" i="4"/>
  <c r="O58" i="4"/>
  <c r="U58" i="4" s="1"/>
  <c r="I58" i="7" s="1"/>
  <c r="N58" i="4"/>
  <c r="M58" i="4"/>
  <c r="P58" i="4" s="1"/>
  <c r="V57" i="4"/>
  <c r="T57" i="4"/>
  <c r="S57" i="4"/>
  <c r="R57" i="4"/>
  <c r="Q57" i="4"/>
  <c r="N57" i="4"/>
  <c r="M57" i="4"/>
  <c r="P57" i="4" s="1"/>
  <c r="V56" i="4"/>
  <c r="T56" i="4"/>
  <c r="S56" i="4"/>
  <c r="R56" i="4"/>
  <c r="Q56" i="4"/>
  <c r="N56" i="4"/>
  <c r="M56" i="4"/>
  <c r="P56" i="4" s="1"/>
  <c r="V55" i="4"/>
  <c r="T55" i="4"/>
  <c r="S55" i="4"/>
  <c r="R55" i="4"/>
  <c r="Q55" i="4"/>
  <c r="P55" i="4"/>
  <c r="O55" i="4"/>
  <c r="U55" i="4" s="1"/>
  <c r="I55" i="7" s="1"/>
  <c r="N55" i="4"/>
  <c r="M55" i="4"/>
  <c r="V54" i="4"/>
  <c r="T54" i="4"/>
  <c r="S54" i="4"/>
  <c r="R54" i="4"/>
  <c r="Q54" i="4"/>
  <c r="N54" i="4"/>
  <c r="M54" i="4"/>
  <c r="P54" i="4" s="1"/>
  <c r="V53" i="4"/>
  <c r="T53" i="4"/>
  <c r="S53" i="4"/>
  <c r="R53" i="4"/>
  <c r="Q53" i="4"/>
  <c r="P53" i="4"/>
  <c r="O53" i="4"/>
  <c r="U53" i="4" s="1"/>
  <c r="I53" i="7" s="1"/>
  <c r="N53" i="4"/>
  <c r="M53" i="4"/>
  <c r="V52" i="4"/>
  <c r="T52" i="4"/>
  <c r="S52" i="4"/>
  <c r="R52" i="4"/>
  <c r="Q52" i="4"/>
  <c r="U52" i="4" s="1"/>
  <c r="O52" i="4"/>
  <c r="N52" i="4"/>
  <c r="M52" i="4"/>
  <c r="P52" i="4" s="1"/>
  <c r="V51" i="4"/>
  <c r="T51" i="4"/>
  <c r="S51" i="4"/>
  <c r="R51" i="4"/>
  <c r="Q51" i="4"/>
  <c r="N51" i="4"/>
  <c r="M51" i="4"/>
  <c r="P51" i="4" s="1"/>
  <c r="V50" i="4"/>
  <c r="T50" i="4"/>
  <c r="S50" i="4"/>
  <c r="R50" i="4"/>
  <c r="Q50" i="4"/>
  <c r="O50" i="4"/>
  <c r="U50" i="4" s="1"/>
  <c r="I50" i="7" s="1"/>
  <c r="N50" i="4"/>
  <c r="M50" i="4"/>
  <c r="P50" i="4" s="1"/>
  <c r="V49" i="4"/>
  <c r="T49" i="4"/>
  <c r="S49" i="4"/>
  <c r="R49" i="4"/>
  <c r="Q49" i="4"/>
  <c r="N49" i="4"/>
  <c r="M49" i="4"/>
  <c r="P49" i="4" s="1"/>
  <c r="V48" i="4"/>
  <c r="T48" i="4"/>
  <c r="S48" i="4"/>
  <c r="R48" i="4"/>
  <c r="Q48" i="4"/>
  <c r="N48" i="4"/>
  <c r="M48" i="4"/>
  <c r="P48" i="4" s="1"/>
  <c r="V47" i="4"/>
  <c r="T47" i="4"/>
  <c r="S47" i="4"/>
  <c r="R47" i="4"/>
  <c r="Q47" i="4"/>
  <c r="P47" i="4"/>
  <c r="O47" i="4"/>
  <c r="U47" i="4" s="1"/>
  <c r="I47" i="7" s="1"/>
  <c r="N47" i="4"/>
  <c r="M47" i="4"/>
  <c r="V46" i="4"/>
  <c r="T46" i="4"/>
  <c r="S46" i="4"/>
  <c r="R46" i="4"/>
  <c r="Q46" i="4"/>
  <c r="N46" i="4"/>
  <c r="M46" i="4"/>
  <c r="P46" i="4" s="1"/>
  <c r="V45" i="4"/>
  <c r="T45" i="4"/>
  <c r="S45" i="4"/>
  <c r="R45" i="4"/>
  <c r="Q45" i="4"/>
  <c r="P45" i="4"/>
  <c r="O45" i="4"/>
  <c r="U45" i="4" s="1"/>
  <c r="I45" i="7" s="1"/>
  <c r="N45" i="4"/>
  <c r="M45" i="4"/>
  <c r="V44" i="4"/>
  <c r="T44" i="4"/>
  <c r="S44" i="4"/>
  <c r="R44" i="4"/>
  <c r="Q44" i="4"/>
  <c r="U44" i="4" s="1"/>
  <c r="I44" i="7" s="1"/>
  <c r="O44" i="4"/>
  <c r="N44" i="4"/>
  <c r="M44" i="4"/>
  <c r="P44" i="4" s="1"/>
  <c r="V43" i="4"/>
  <c r="T43" i="4"/>
  <c r="S43" i="4"/>
  <c r="R43" i="4"/>
  <c r="Q43" i="4"/>
  <c r="N43" i="4"/>
  <c r="M43" i="4"/>
  <c r="P43" i="4" s="1"/>
  <c r="V42" i="4"/>
  <c r="T42" i="4"/>
  <c r="S42" i="4"/>
  <c r="R42" i="4"/>
  <c r="Q42" i="4"/>
  <c r="O42" i="4"/>
  <c r="U42" i="4" s="1"/>
  <c r="I42" i="7" s="1"/>
  <c r="N42" i="4"/>
  <c r="M42" i="4"/>
  <c r="P42" i="4" s="1"/>
  <c r="V41" i="4"/>
  <c r="T41" i="4"/>
  <c r="S41" i="4"/>
  <c r="R41" i="4"/>
  <c r="Q41" i="4"/>
  <c r="N41" i="4"/>
  <c r="M41" i="4"/>
  <c r="P41" i="4" s="1"/>
  <c r="V40" i="4"/>
  <c r="T40" i="4"/>
  <c r="S40" i="4"/>
  <c r="R40" i="4"/>
  <c r="Q40" i="4"/>
  <c r="N40" i="4"/>
  <c r="M40" i="4"/>
  <c r="P40" i="4" s="1"/>
  <c r="V39" i="4"/>
  <c r="T39" i="4"/>
  <c r="S39" i="4"/>
  <c r="R39" i="4"/>
  <c r="Q39" i="4"/>
  <c r="P39" i="4"/>
  <c r="O39" i="4"/>
  <c r="U39" i="4" s="1"/>
  <c r="N39" i="4"/>
  <c r="M39" i="4"/>
  <c r="V38" i="4"/>
  <c r="T38" i="4"/>
  <c r="S38" i="4"/>
  <c r="R38" i="4"/>
  <c r="Q38" i="4"/>
  <c r="N38" i="4"/>
  <c r="M38" i="4"/>
  <c r="P38" i="4" s="1"/>
  <c r="V37" i="4"/>
  <c r="T37" i="4"/>
  <c r="S37" i="4"/>
  <c r="R37" i="4"/>
  <c r="Q37" i="4"/>
  <c r="P37" i="4"/>
  <c r="O37" i="4"/>
  <c r="U37" i="4" s="1"/>
  <c r="I37" i="7" s="1"/>
  <c r="N37" i="4"/>
  <c r="M37" i="4"/>
  <c r="V36" i="4"/>
  <c r="T36" i="4"/>
  <c r="S36" i="4"/>
  <c r="R36" i="4"/>
  <c r="Q36" i="4"/>
  <c r="U36" i="4" s="1"/>
  <c r="I36" i="7" s="1"/>
  <c r="O36" i="4"/>
  <c r="N36" i="4"/>
  <c r="M36" i="4"/>
  <c r="P36" i="4" s="1"/>
  <c r="V35" i="4"/>
  <c r="T35" i="4"/>
  <c r="S35" i="4"/>
  <c r="R35" i="4"/>
  <c r="Q35" i="4"/>
  <c r="N35" i="4"/>
  <c r="M35" i="4"/>
  <c r="P35" i="4" s="1"/>
  <c r="V34" i="4"/>
  <c r="T34" i="4"/>
  <c r="S34" i="4"/>
  <c r="R34" i="4"/>
  <c r="Q34" i="4"/>
  <c r="O34" i="4"/>
  <c r="U34" i="4" s="1"/>
  <c r="I34" i="7" s="1"/>
  <c r="N34" i="4"/>
  <c r="M34" i="4"/>
  <c r="P34" i="4" s="1"/>
  <c r="V33" i="4"/>
  <c r="T33" i="4"/>
  <c r="S33" i="4"/>
  <c r="R33" i="4"/>
  <c r="Q33" i="4"/>
  <c r="N33" i="4"/>
  <c r="M33" i="4"/>
  <c r="P33" i="4" s="1"/>
  <c r="V32" i="4"/>
  <c r="T32" i="4"/>
  <c r="S32" i="4"/>
  <c r="R32" i="4"/>
  <c r="Q32" i="4"/>
  <c r="N32" i="4"/>
  <c r="M32" i="4"/>
  <c r="P32" i="4" s="1"/>
  <c r="V31" i="4"/>
  <c r="T31" i="4"/>
  <c r="S31" i="4"/>
  <c r="R31" i="4"/>
  <c r="Q31" i="4"/>
  <c r="P31" i="4"/>
  <c r="O31" i="4"/>
  <c r="U31" i="4" s="1"/>
  <c r="I31" i="7" s="1"/>
  <c r="N31" i="4"/>
  <c r="M31" i="4"/>
  <c r="V30" i="4"/>
  <c r="T30" i="4"/>
  <c r="S30" i="4"/>
  <c r="R30" i="4"/>
  <c r="Q30" i="4"/>
  <c r="N30" i="4"/>
  <c r="M30" i="4"/>
  <c r="P30" i="4" s="1"/>
  <c r="V29" i="4"/>
  <c r="T29" i="4"/>
  <c r="S29" i="4"/>
  <c r="R29" i="4"/>
  <c r="Q29" i="4"/>
  <c r="P29" i="4"/>
  <c r="O29" i="4"/>
  <c r="U29" i="4" s="1"/>
  <c r="I29" i="7" s="1"/>
  <c r="N29" i="4"/>
  <c r="M29" i="4"/>
  <c r="V28" i="4"/>
  <c r="T28" i="4"/>
  <c r="S28" i="4"/>
  <c r="R28" i="4"/>
  <c r="Q28" i="4"/>
  <c r="N28" i="4"/>
  <c r="M28" i="4"/>
  <c r="P28" i="4" s="1"/>
  <c r="V27" i="4"/>
  <c r="T27" i="4"/>
  <c r="S27" i="4"/>
  <c r="R27" i="4"/>
  <c r="Q27" i="4"/>
  <c r="P27" i="4"/>
  <c r="O27" i="4"/>
  <c r="U27" i="4" s="1"/>
  <c r="I27" i="7" s="1"/>
  <c r="N27" i="4"/>
  <c r="M27" i="4"/>
  <c r="V26" i="4"/>
  <c r="T26" i="4"/>
  <c r="S26" i="4"/>
  <c r="R26" i="4"/>
  <c r="Q26" i="4"/>
  <c r="N26" i="4"/>
  <c r="M26" i="4"/>
  <c r="P26" i="4" s="1"/>
  <c r="V25" i="4"/>
  <c r="T25" i="4"/>
  <c r="S25" i="4"/>
  <c r="R25" i="4"/>
  <c r="Q25" i="4"/>
  <c r="P25" i="4"/>
  <c r="O25" i="4"/>
  <c r="U25" i="4" s="1"/>
  <c r="I25" i="7" s="1"/>
  <c r="N25" i="4"/>
  <c r="M25" i="4"/>
  <c r="V24" i="4"/>
  <c r="T24" i="4"/>
  <c r="S24" i="4"/>
  <c r="R24" i="4"/>
  <c r="Q24" i="4"/>
  <c r="N24" i="4"/>
  <c r="M24" i="4"/>
  <c r="P24" i="4" s="1"/>
  <c r="V23" i="4"/>
  <c r="T23" i="4"/>
  <c r="S23" i="4"/>
  <c r="R23" i="4"/>
  <c r="Q23" i="4"/>
  <c r="P23" i="4"/>
  <c r="O23" i="4"/>
  <c r="U23" i="4" s="1"/>
  <c r="I23" i="7" s="1"/>
  <c r="N23" i="4"/>
  <c r="M23" i="4"/>
  <c r="V22" i="4"/>
  <c r="T22" i="4"/>
  <c r="S22" i="4"/>
  <c r="R22" i="4"/>
  <c r="Q22" i="4"/>
  <c r="N22" i="4"/>
  <c r="M22" i="4"/>
  <c r="P22" i="4" s="1"/>
  <c r="V21" i="4"/>
  <c r="T21" i="4"/>
  <c r="S21" i="4"/>
  <c r="R21" i="4"/>
  <c r="Q21" i="4"/>
  <c r="P21" i="4"/>
  <c r="O21" i="4"/>
  <c r="U21" i="4" s="1"/>
  <c r="I21" i="7" s="1"/>
  <c r="N21" i="4"/>
  <c r="M21" i="4"/>
  <c r="V20" i="4"/>
  <c r="T20" i="4"/>
  <c r="S20" i="4"/>
  <c r="R20" i="4"/>
  <c r="Q20" i="4"/>
  <c r="N20" i="4"/>
  <c r="M20" i="4"/>
  <c r="P20" i="4" s="1"/>
  <c r="V19" i="4"/>
  <c r="T19" i="4"/>
  <c r="S19" i="4"/>
  <c r="R19" i="4"/>
  <c r="Q19" i="4"/>
  <c r="P19" i="4"/>
  <c r="O19" i="4"/>
  <c r="U19" i="4" s="1"/>
  <c r="I19" i="7" s="1"/>
  <c r="N19" i="4"/>
  <c r="M19" i="4"/>
  <c r="V18" i="4"/>
  <c r="T18" i="4"/>
  <c r="S18" i="4"/>
  <c r="R18" i="4"/>
  <c r="Q18" i="4"/>
  <c r="N18" i="4"/>
  <c r="M18" i="4"/>
  <c r="P18" i="4" s="1"/>
  <c r="V17" i="4"/>
  <c r="T17" i="4"/>
  <c r="S17" i="4"/>
  <c r="R17" i="4"/>
  <c r="Q17" i="4"/>
  <c r="P17" i="4"/>
  <c r="O17" i="4"/>
  <c r="U17" i="4" s="1"/>
  <c r="I17" i="7" s="1"/>
  <c r="N17" i="4"/>
  <c r="M17" i="4"/>
  <c r="V16" i="4"/>
  <c r="T16" i="4"/>
  <c r="S16" i="4"/>
  <c r="R16" i="4"/>
  <c r="Q16" i="4"/>
  <c r="N16" i="4"/>
  <c r="M16" i="4"/>
  <c r="P16" i="4" s="1"/>
  <c r="V15" i="4"/>
  <c r="T15" i="4"/>
  <c r="S15" i="4"/>
  <c r="R15" i="4"/>
  <c r="Q15" i="4"/>
  <c r="P15" i="4"/>
  <c r="O15" i="4"/>
  <c r="U15" i="4" s="1"/>
  <c r="I15" i="7" s="1"/>
  <c r="N15" i="4"/>
  <c r="M15" i="4"/>
  <c r="V14" i="4"/>
  <c r="T14" i="4"/>
  <c r="S14" i="4"/>
  <c r="R14" i="4"/>
  <c r="Q14" i="4"/>
  <c r="N14" i="4"/>
  <c r="M14" i="4"/>
  <c r="P14" i="4" s="1"/>
  <c r="V13" i="4"/>
  <c r="T13" i="4"/>
  <c r="S13" i="4"/>
  <c r="R13" i="4"/>
  <c r="Q13" i="4"/>
  <c r="P13" i="4"/>
  <c r="O13" i="4"/>
  <c r="U13" i="4" s="1"/>
  <c r="I13" i="7" s="1"/>
  <c r="N13" i="4"/>
  <c r="M13" i="4"/>
  <c r="V12" i="4"/>
  <c r="T12" i="4"/>
  <c r="S12" i="4"/>
  <c r="R12" i="4"/>
  <c r="Q12" i="4"/>
  <c r="N12" i="4"/>
  <c r="M12" i="4"/>
  <c r="P12" i="4" s="1"/>
  <c r="V11" i="4"/>
  <c r="T11" i="4"/>
  <c r="S11" i="4"/>
  <c r="R11" i="4"/>
  <c r="Q11" i="4"/>
  <c r="P11" i="4"/>
  <c r="O11" i="4"/>
  <c r="U11" i="4" s="1"/>
  <c r="I11" i="7" s="1"/>
  <c r="N11" i="4"/>
  <c r="M11" i="4"/>
  <c r="V10" i="4"/>
  <c r="T10" i="4"/>
  <c r="S10" i="4"/>
  <c r="R10" i="4"/>
  <c r="Q10" i="4"/>
  <c r="N10" i="4"/>
  <c r="M10" i="4"/>
  <c r="P10" i="4" s="1"/>
  <c r="V9" i="4"/>
  <c r="T9" i="4"/>
  <c r="S9" i="4"/>
  <c r="R9" i="4"/>
  <c r="Q9" i="4"/>
  <c r="P9" i="4"/>
  <c r="O9" i="4"/>
  <c r="U9" i="4" s="1"/>
  <c r="I9" i="7" s="1"/>
  <c r="N9" i="4"/>
  <c r="M9" i="4"/>
  <c r="V8" i="4"/>
  <c r="T8" i="4"/>
  <c r="S8" i="4"/>
  <c r="R8" i="4"/>
  <c r="Q8" i="4"/>
  <c r="N8" i="4"/>
  <c r="M8" i="4"/>
  <c r="P8" i="4" s="1"/>
  <c r="V7" i="4"/>
  <c r="T7" i="4"/>
  <c r="S7" i="4"/>
  <c r="R7" i="4"/>
  <c r="Q7" i="4"/>
  <c r="P7" i="4"/>
  <c r="O7" i="4"/>
  <c r="U7" i="4" s="1"/>
  <c r="I7" i="7" s="1"/>
  <c r="N7" i="4"/>
  <c r="M7" i="4"/>
  <c r="V6" i="4"/>
  <c r="T6" i="4"/>
  <c r="S6" i="4"/>
  <c r="R6" i="4"/>
  <c r="Q6" i="4"/>
  <c r="N6" i="4"/>
  <c r="M6" i="4"/>
  <c r="P6" i="4" s="1"/>
  <c r="V5" i="4"/>
  <c r="T5" i="4"/>
  <c r="S5" i="4"/>
  <c r="R5" i="4"/>
  <c r="Q5" i="4"/>
  <c r="P5" i="4"/>
  <c r="O5" i="4"/>
  <c r="U5" i="4" s="1"/>
  <c r="I5" i="7" s="1"/>
  <c r="N5" i="4"/>
  <c r="M5" i="4"/>
  <c r="V4" i="4"/>
  <c r="T4" i="4"/>
  <c r="S4" i="4"/>
  <c r="R4" i="4"/>
  <c r="Q4" i="4"/>
  <c r="N4" i="4"/>
  <c r="M4" i="4"/>
  <c r="P4" i="4" s="1"/>
  <c r="V3" i="4"/>
  <c r="T3" i="4"/>
  <c r="S3" i="4"/>
  <c r="R3" i="4"/>
  <c r="Q3" i="4"/>
  <c r="P3" i="4"/>
  <c r="O3" i="4"/>
  <c r="U3" i="4" s="1"/>
  <c r="I3" i="7" s="1"/>
  <c r="N3" i="4"/>
  <c r="M3" i="4"/>
  <c r="V113" i="3"/>
  <c r="T113" i="3"/>
  <c r="S113" i="3"/>
  <c r="R113" i="3"/>
  <c r="Q113" i="3"/>
  <c r="N113" i="3"/>
  <c r="M113" i="3"/>
  <c r="P113" i="3" s="1"/>
  <c r="V112" i="3"/>
  <c r="T112" i="3"/>
  <c r="S112" i="3"/>
  <c r="R112" i="3"/>
  <c r="Q112" i="3"/>
  <c r="P112" i="3"/>
  <c r="O112" i="3"/>
  <c r="U112" i="3" s="1"/>
  <c r="H112" i="7" s="1"/>
  <c r="N112" i="3"/>
  <c r="M112" i="3"/>
  <c r="V111" i="3"/>
  <c r="T111" i="3"/>
  <c r="S111" i="3"/>
  <c r="R111" i="3"/>
  <c r="Q111" i="3"/>
  <c r="N111" i="3"/>
  <c r="M111" i="3"/>
  <c r="P111" i="3" s="1"/>
  <c r="V110" i="3"/>
  <c r="T110" i="3"/>
  <c r="S110" i="3"/>
  <c r="R110" i="3"/>
  <c r="Q110" i="3"/>
  <c r="P110" i="3"/>
  <c r="O110" i="3"/>
  <c r="U110" i="3" s="1"/>
  <c r="H110" i="7" s="1"/>
  <c r="N110" i="3"/>
  <c r="M110" i="3"/>
  <c r="V109" i="3"/>
  <c r="T109" i="3"/>
  <c r="S109" i="3"/>
  <c r="R109" i="3"/>
  <c r="Q109" i="3"/>
  <c r="N109" i="3"/>
  <c r="M109" i="3"/>
  <c r="P109" i="3" s="1"/>
  <c r="V108" i="3"/>
  <c r="T108" i="3"/>
  <c r="S108" i="3"/>
  <c r="R108" i="3"/>
  <c r="Q108" i="3"/>
  <c r="P108" i="3"/>
  <c r="O108" i="3"/>
  <c r="U108" i="3" s="1"/>
  <c r="H108" i="7" s="1"/>
  <c r="N108" i="3"/>
  <c r="M108" i="3"/>
  <c r="V107" i="3"/>
  <c r="T107" i="3"/>
  <c r="S107" i="3"/>
  <c r="R107" i="3"/>
  <c r="Q107" i="3"/>
  <c r="N107" i="3"/>
  <c r="M107" i="3"/>
  <c r="P107" i="3" s="1"/>
  <c r="V106" i="3"/>
  <c r="T106" i="3"/>
  <c r="S106" i="3"/>
  <c r="R106" i="3"/>
  <c r="Q106" i="3"/>
  <c r="P106" i="3"/>
  <c r="O106" i="3"/>
  <c r="U106" i="3" s="1"/>
  <c r="H106" i="7" s="1"/>
  <c r="N106" i="3"/>
  <c r="M106" i="3"/>
  <c r="V105" i="3"/>
  <c r="T105" i="3"/>
  <c r="S105" i="3"/>
  <c r="R105" i="3"/>
  <c r="Q105" i="3"/>
  <c r="N105" i="3"/>
  <c r="M105" i="3"/>
  <c r="P105" i="3" s="1"/>
  <c r="V104" i="3"/>
  <c r="T104" i="3"/>
  <c r="S104" i="3"/>
  <c r="R104" i="3"/>
  <c r="Q104" i="3"/>
  <c r="P104" i="3"/>
  <c r="O104" i="3"/>
  <c r="U104" i="3" s="1"/>
  <c r="H104" i="7" s="1"/>
  <c r="N104" i="3"/>
  <c r="M104" i="3"/>
  <c r="V103" i="3"/>
  <c r="T103" i="3"/>
  <c r="S103" i="3"/>
  <c r="R103" i="3"/>
  <c r="Q103" i="3"/>
  <c r="N103" i="3"/>
  <c r="M103" i="3"/>
  <c r="P103" i="3" s="1"/>
  <c r="V102" i="3"/>
  <c r="T102" i="3"/>
  <c r="S102" i="3"/>
  <c r="R102" i="3"/>
  <c r="Q102" i="3"/>
  <c r="P102" i="3"/>
  <c r="O102" i="3"/>
  <c r="U102" i="3" s="1"/>
  <c r="H102" i="7" s="1"/>
  <c r="N102" i="3"/>
  <c r="M102" i="3"/>
  <c r="V101" i="3"/>
  <c r="T101" i="3"/>
  <c r="S101" i="3"/>
  <c r="R101" i="3"/>
  <c r="Q101" i="3"/>
  <c r="N101" i="3"/>
  <c r="M101" i="3"/>
  <c r="P101" i="3" s="1"/>
  <c r="V100" i="3"/>
  <c r="T100" i="3"/>
  <c r="S100" i="3"/>
  <c r="R100" i="3"/>
  <c r="Q100" i="3"/>
  <c r="P100" i="3"/>
  <c r="O100" i="3"/>
  <c r="U100" i="3" s="1"/>
  <c r="H100" i="7" s="1"/>
  <c r="N100" i="3"/>
  <c r="M100" i="3"/>
  <c r="V99" i="3"/>
  <c r="T99" i="3"/>
  <c r="S99" i="3"/>
  <c r="R99" i="3"/>
  <c r="Q99" i="3"/>
  <c r="N99" i="3"/>
  <c r="M99" i="3"/>
  <c r="P99" i="3" s="1"/>
  <c r="V98" i="3"/>
  <c r="T98" i="3"/>
  <c r="S98" i="3"/>
  <c r="R98" i="3"/>
  <c r="Q98" i="3"/>
  <c r="P98" i="3"/>
  <c r="O98" i="3"/>
  <c r="U98" i="3" s="1"/>
  <c r="H98" i="7" s="1"/>
  <c r="N98" i="3"/>
  <c r="M98" i="3"/>
  <c r="V97" i="3"/>
  <c r="T97" i="3"/>
  <c r="S97" i="3"/>
  <c r="R97" i="3"/>
  <c r="Q97" i="3"/>
  <c r="N97" i="3"/>
  <c r="M97" i="3"/>
  <c r="P97" i="3" s="1"/>
  <c r="V96" i="3"/>
  <c r="T96" i="3"/>
  <c r="S96" i="3"/>
  <c r="R96" i="3"/>
  <c r="Q96" i="3"/>
  <c r="P96" i="3"/>
  <c r="O96" i="3"/>
  <c r="U96" i="3" s="1"/>
  <c r="H96" i="7" s="1"/>
  <c r="N96" i="3"/>
  <c r="M96" i="3"/>
  <c r="V95" i="3"/>
  <c r="T95" i="3"/>
  <c r="S95" i="3"/>
  <c r="R95" i="3"/>
  <c r="Q95" i="3"/>
  <c r="N95" i="3"/>
  <c r="M95" i="3"/>
  <c r="P95" i="3" s="1"/>
  <c r="V94" i="3"/>
  <c r="T94" i="3"/>
  <c r="S94" i="3"/>
  <c r="R94" i="3"/>
  <c r="Q94" i="3"/>
  <c r="P94" i="3"/>
  <c r="O94" i="3"/>
  <c r="U94" i="3" s="1"/>
  <c r="H94" i="7" s="1"/>
  <c r="N94" i="3"/>
  <c r="M94" i="3"/>
  <c r="V93" i="3"/>
  <c r="T93" i="3"/>
  <c r="S93" i="3"/>
  <c r="R93" i="3"/>
  <c r="Q93" i="3"/>
  <c r="N93" i="3"/>
  <c r="M93" i="3"/>
  <c r="P93" i="3" s="1"/>
  <c r="V92" i="3"/>
  <c r="T92" i="3"/>
  <c r="S92" i="3"/>
  <c r="R92" i="3"/>
  <c r="Q92" i="3"/>
  <c r="P92" i="3"/>
  <c r="O92" i="3"/>
  <c r="U92" i="3" s="1"/>
  <c r="H92" i="7" s="1"/>
  <c r="N92" i="3"/>
  <c r="M92" i="3"/>
  <c r="V91" i="3"/>
  <c r="T91" i="3"/>
  <c r="S91" i="3"/>
  <c r="R91" i="3"/>
  <c r="Q91" i="3"/>
  <c r="N91" i="3"/>
  <c r="M91" i="3"/>
  <c r="P91" i="3" s="1"/>
  <c r="V90" i="3"/>
  <c r="T90" i="3"/>
  <c r="S90" i="3"/>
  <c r="R90" i="3"/>
  <c r="Q90" i="3"/>
  <c r="P90" i="3"/>
  <c r="O90" i="3"/>
  <c r="U90" i="3" s="1"/>
  <c r="H90" i="7" s="1"/>
  <c r="N90" i="3"/>
  <c r="M90" i="3"/>
  <c r="V89" i="3"/>
  <c r="T89" i="3"/>
  <c r="S89" i="3"/>
  <c r="R89" i="3"/>
  <c r="Q89" i="3"/>
  <c r="N89" i="3"/>
  <c r="M89" i="3"/>
  <c r="P89" i="3" s="1"/>
  <c r="V88" i="3"/>
  <c r="T88" i="3"/>
  <c r="S88" i="3"/>
  <c r="R88" i="3"/>
  <c r="Q88" i="3"/>
  <c r="P88" i="3"/>
  <c r="O88" i="3"/>
  <c r="U88" i="3" s="1"/>
  <c r="H88" i="7" s="1"/>
  <c r="N88" i="3"/>
  <c r="M88" i="3"/>
  <c r="V87" i="3"/>
  <c r="T87" i="3"/>
  <c r="S87" i="3"/>
  <c r="R87" i="3"/>
  <c r="Q87" i="3"/>
  <c r="N87" i="3"/>
  <c r="M87" i="3"/>
  <c r="P87" i="3" s="1"/>
  <c r="V86" i="3"/>
  <c r="T86" i="3"/>
  <c r="S86" i="3"/>
  <c r="R86" i="3"/>
  <c r="Q86" i="3"/>
  <c r="P86" i="3"/>
  <c r="O86" i="3"/>
  <c r="U86" i="3" s="1"/>
  <c r="H86" i="7" s="1"/>
  <c r="N86" i="3"/>
  <c r="M86" i="3"/>
  <c r="V85" i="3"/>
  <c r="T85" i="3"/>
  <c r="S85" i="3"/>
  <c r="R85" i="3"/>
  <c r="Q85" i="3"/>
  <c r="N85" i="3"/>
  <c r="M85" i="3"/>
  <c r="P85" i="3" s="1"/>
  <c r="V84" i="3"/>
  <c r="T84" i="3"/>
  <c r="S84" i="3"/>
  <c r="R84" i="3"/>
  <c r="Q84" i="3"/>
  <c r="P84" i="3"/>
  <c r="O84" i="3"/>
  <c r="U84" i="3" s="1"/>
  <c r="H84" i="7" s="1"/>
  <c r="N84" i="3"/>
  <c r="M84" i="3"/>
  <c r="V83" i="3"/>
  <c r="T83" i="3"/>
  <c r="S83" i="3"/>
  <c r="R83" i="3"/>
  <c r="Q83" i="3"/>
  <c r="N83" i="3"/>
  <c r="M83" i="3"/>
  <c r="P83" i="3" s="1"/>
  <c r="V82" i="3"/>
  <c r="T82" i="3"/>
  <c r="S82" i="3"/>
  <c r="R82" i="3"/>
  <c r="Q82" i="3"/>
  <c r="P82" i="3"/>
  <c r="O82" i="3"/>
  <c r="U82" i="3" s="1"/>
  <c r="H82" i="7" s="1"/>
  <c r="N82" i="3"/>
  <c r="M82" i="3"/>
  <c r="V81" i="3"/>
  <c r="T81" i="3"/>
  <c r="S81" i="3"/>
  <c r="R81" i="3"/>
  <c r="Q81" i="3"/>
  <c r="N81" i="3"/>
  <c r="M81" i="3"/>
  <c r="P81" i="3" s="1"/>
  <c r="V80" i="3"/>
  <c r="T80" i="3"/>
  <c r="S80" i="3"/>
  <c r="R80" i="3"/>
  <c r="Q80" i="3"/>
  <c r="P80" i="3"/>
  <c r="O80" i="3"/>
  <c r="U80" i="3" s="1"/>
  <c r="H80" i="7" s="1"/>
  <c r="N80" i="3"/>
  <c r="M80" i="3"/>
  <c r="V79" i="3"/>
  <c r="T79" i="3"/>
  <c r="S79" i="3"/>
  <c r="R79" i="3"/>
  <c r="Q79" i="3"/>
  <c r="N79" i="3"/>
  <c r="M79" i="3"/>
  <c r="P79" i="3" s="1"/>
  <c r="V78" i="3"/>
  <c r="T78" i="3"/>
  <c r="S78" i="3"/>
  <c r="R78" i="3"/>
  <c r="Q78" i="3"/>
  <c r="P78" i="3"/>
  <c r="O78" i="3"/>
  <c r="U78" i="3" s="1"/>
  <c r="H78" i="7" s="1"/>
  <c r="N78" i="3"/>
  <c r="M78" i="3"/>
  <c r="V77" i="3"/>
  <c r="T77" i="3"/>
  <c r="S77" i="3"/>
  <c r="R77" i="3"/>
  <c r="Q77" i="3"/>
  <c r="N77" i="3"/>
  <c r="M77" i="3"/>
  <c r="P77" i="3" s="1"/>
  <c r="V76" i="3"/>
  <c r="T76" i="3"/>
  <c r="S76" i="3"/>
  <c r="R76" i="3"/>
  <c r="Q76" i="3"/>
  <c r="P76" i="3"/>
  <c r="O76" i="3"/>
  <c r="U76" i="3" s="1"/>
  <c r="H76" i="7" s="1"/>
  <c r="N76" i="3"/>
  <c r="M76" i="3"/>
  <c r="V75" i="3"/>
  <c r="T75" i="3"/>
  <c r="S75" i="3"/>
  <c r="R75" i="3"/>
  <c r="Q75" i="3"/>
  <c r="N75" i="3"/>
  <c r="M75" i="3"/>
  <c r="P75" i="3" s="1"/>
  <c r="V74" i="3"/>
  <c r="T74" i="3"/>
  <c r="S74" i="3"/>
  <c r="R74" i="3"/>
  <c r="Q74" i="3"/>
  <c r="P74" i="3"/>
  <c r="O74" i="3"/>
  <c r="U74" i="3" s="1"/>
  <c r="H74" i="7" s="1"/>
  <c r="N74" i="3"/>
  <c r="M74" i="3"/>
  <c r="V73" i="3"/>
  <c r="T73" i="3"/>
  <c r="S73" i="3"/>
  <c r="R73" i="3"/>
  <c r="Q73" i="3"/>
  <c r="N73" i="3"/>
  <c r="M73" i="3"/>
  <c r="P73" i="3" s="1"/>
  <c r="V72" i="3"/>
  <c r="T72" i="3"/>
  <c r="S72" i="3"/>
  <c r="R72" i="3"/>
  <c r="Q72" i="3"/>
  <c r="P72" i="3"/>
  <c r="O72" i="3"/>
  <c r="U72" i="3" s="1"/>
  <c r="H72" i="7" s="1"/>
  <c r="N72" i="3"/>
  <c r="M72" i="3"/>
  <c r="V71" i="3"/>
  <c r="T71" i="3"/>
  <c r="S71" i="3"/>
  <c r="R71" i="3"/>
  <c r="Q71" i="3"/>
  <c r="N71" i="3"/>
  <c r="M71" i="3"/>
  <c r="P71" i="3" s="1"/>
  <c r="V70" i="3"/>
  <c r="T70" i="3"/>
  <c r="S70" i="3"/>
  <c r="R70" i="3"/>
  <c r="Q70" i="3"/>
  <c r="P70" i="3"/>
  <c r="O70" i="3"/>
  <c r="U70" i="3" s="1"/>
  <c r="H70" i="7" s="1"/>
  <c r="N70" i="3"/>
  <c r="M70" i="3"/>
  <c r="V69" i="3"/>
  <c r="T69" i="3"/>
  <c r="S69" i="3"/>
  <c r="R69" i="3"/>
  <c r="Q69" i="3"/>
  <c r="N69" i="3"/>
  <c r="M69" i="3"/>
  <c r="P69" i="3" s="1"/>
  <c r="V68" i="3"/>
  <c r="T68" i="3"/>
  <c r="S68" i="3"/>
  <c r="R68" i="3"/>
  <c r="Q68" i="3"/>
  <c r="P68" i="3"/>
  <c r="O68" i="3"/>
  <c r="U68" i="3" s="1"/>
  <c r="H68" i="7" s="1"/>
  <c r="N68" i="3"/>
  <c r="M68" i="3"/>
  <c r="V67" i="3"/>
  <c r="T67" i="3"/>
  <c r="S67" i="3"/>
  <c r="R67" i="3"/>
  <c r="Q67" i="3"/>
  <c r="N67" i="3"/>
  <c r="M67" i="3"/>
  <c r="P67" i="3" s="1"/>
  <c r="V66" i="3"/>
  <c r="T66" i="3"/>
  <c r="S66" i="3"/>
  <c r="R66" i="3"/>
  <c r="Q66" i="3"/>
  <c r="P66" i="3"/>
  <c r="O66" i="3"/>
  <c r="U66" i="3" s="1"/>
  <c r="H66" i="7" s="1"/>
  <c r="N66" i="3"/>
  <c r="M66" i="3"/>
  <c r="V65" i="3"/>
  <c r="T65" i="3"/>
  <c r="S65" i="3"/>
  <c r="R65" i="3"/>
  <c r="Q65" i="3"/>
  <c r="N65" i="3"/>
  <c r="M65" i="3"/>
  <c r="P65" i="3" s="1"/>
  <c r="V64" i="3"/>
  <c r="T64" i="3"/>
  <c r="S64" i="3"/>
  <c r="R64" i="3"/>
  <c r="Q64" i="3"/>
  <c r="P64" i="3"/>
  <c r="O64" i="3"/>
  <c r="U64" i="3" s="1"/>
  <c r="H64" i="7" s="1"/>
  <c r="N64" i="3"/>
  <c r="M64" i="3"/>
  <c r="V63" i="3"/>
  <c r="T63" i="3"/>
  <c r="S63" i="3"/>
  <c r="R63" i="3"/>
  <c r="Q63" i="3"/>
  <c r="N63" i="3"/>
  <c r="M63" i="3"/>
  <c r="P63" i="3" s="1"/>
  <c r="V62" i="3"/>
  <c r="T62" i="3"/>
  <c r="S62" i="3"/>
  <c r="R62" i="3"/>
  <c r="Q62" i="3"/>
  <c r="P62" i="3"/>
  <c r="O62" i="3"/>
  <c r="U62" i="3" s="1"/>
  <c r="H62" i="7" s="1"/>
  <c r="N62" i="3"/>
  <c r="M62" i="3"/>
  <c r="V61" i="3"/>
  <c r="T61" i="3"/>
  <c r="S61" i="3"/>
  <c r="R61" i="3"/>
  <c r="Q61" i="3"/>
  <c r="N61" i="3"/>
  <c r="M61" i="3"/>
  <c r="P61" i="3" s="1"/>
  <c r="V60" i="3"/>
  <c r="T60" i="3"/>
  <c r="S60" i="3"/>
  <c r="R60" i="3"/>
  <c r="Q60" i="3"/>
  <c r="P60" i="3"/>
  <c r="O60" i="3"/>
  <c r="U60" i="3" s="1"/>
  <c r="N60" i="3"/>
  <c r="M60" i="3"/>
  <c r="V59" i="3"/>
  <c r="T59" i="3"/>
  <c r="S59" i="3"/>
  <c r="R59" i="3"/>
  <c r="Q59" i="3"/>
  <c r="N59" i="3"/>
  <c r="M59" i="3"/>
  <c r="P59" i="3" s="1"/>
  <c r="V58" i="3"/>
  <c r="T58" i="3"/>
  <c r="S58" i="3"/>
  <c r="R58" i="3"/>
  <c r="Q58" i="3"/>
  <c r="P58" i="3"/>
  <c r="O58" i="3"/>
  <c r="U58" i="3" s="1"/>
  <c r="H58" i="7" s="1"/>
  <c r="N58" i="3"/>
  <c r="M58" i="3"/>
  <c r="V57" i="3"/>
  <c r="T57" i="3"/>
  <c r="S57" i="3"/>
  <c r="R57" i="3"/>
  <c r="Q57" i="3"/>
  <c r="N57" i="3"/>
  <c r="M57" i="3"/>
  <c r="P57" i="3" s="1"/>
  <c r="V56" i="3"/>
  <c r="T56" i="3"/>
  <c r="S56" i="3"/>
  <c r="R56" i="3"/>
  <c r="Q56" i="3"/>
  <c r="P56" i="3"/>
  <c r="O56" i="3"/>
  <c r="U56" i="3" s="1"/>
  <c r="H56" i="7" s="1"/>
  <c r="N56" i="3"/>
  <c r="M56" i="3"/>
  <c r="V55" i="3"/>
  <c r="T55" i="3"/>
  <c r="S55" i="3"/>
  <c r="R55" i="3"/>
  <c r="Q55" i="3"/>
  <c r="N55" i="3"/>
  <c r="M55" i="3"/>
  <c r="P55" i="3" s="1"/>
  <c r="V54" i="3"/>
  <c r="T54" i="3"/>
  <c r="S54" i="3"/>
  <c r="R54" i="3"/>
  <c r="Q54" i="3"/>
  <c r="P54" i="3"/>
  <c r="O54" i="3"/>
  <c r="U54" i="3" s="1"/>
  <c r="H54" i="7" s="1"/>
  <c r="N54" i="3"/>
  <c r="M54" i="3"/>
  <c r="V53" i="3"/>
  <c r="T53" i="3"/>
  <c r="S53" i="3"/>
  <c r="R53" i="3"/>
  <c r="Q53" i="3"/>
  <c r="N53" i="3"/>
  <c r="M53" i="3"/>
  <c r="P53" i="3" s="1"/>
  <c r="V52" i="3"/>
  <c r="T52" i="3"/>
  <c r="S52" i="3"/>
  <c r="R52" i="3"/>
  <c r="Q52" i="3"/>
  <c r="P52" i="3"/>
  <c r="O52" i="3"/>
  <c r="U52" i="3" s="1"/>
  <c r="N52" i="3"/>
  <c r="M52" i="3"/>
  <c r="V51" i="3"/>
  <c r="T51" i="3"/>
  <c r="S51" i="3"/>
  <c r="R51" i="3"/>
  <c r="Q51" i="3"/>
  <c r="N51" i="3"/>
  <c r="M51" i="3"/>
  <c r="P51" i="3" s="1"/>
  <c r="V50" i="3"/>
  <c r="T50" i="3"/>
  <c r="S50" i="3"/>
  <c r="R50" i="3"/>
  <c r="Q50" i="3"/>
  <c r="P50" i="3"/>
  <c r="O50" i="3"/>
  <c r="U50" i="3" s="1"/>
  <c r="H50" i="7" s="1"/>
  <c r="N50" i="3"/>
  <c r="M50" i="3"/>
  <c r="V49" i="3"/>
  <c r="T49" i="3"/>
  <c r="S49" i="3"/>
  <c r="R49" i="3"/>
  <c r="Q49" i="3"/>
  <c r="N49" i="3"/>
  <c r="M49" i="3"/>
  <c r="P49" i="3" s="1"/>
  <c r="V48" i="3"/>
  <c r="T48" i="3"/>
  <c r="S48" i="3"/>
  <c r="R48" i="3"/>
  <c r="Q48" i="3"/>
  <c r="P48" i="3"/>
  <c r="O48" i="3"/>
  <c r="U48" i="3" s="1"/>
  <c r="H48" i="7" s="1"/>
  <c r="N48" i="3"/>
  <c r="M48" i="3"/>
  <c r="V47" i="3"/>
  <c r="T47" i="3"/>
  <c r="S47" i="3"/>
  <c r="R47" i="3"/>
  <c r="Q47" i="3"/>
  <c r="N47" i="3"/>
  <c r="M47" i="3"/>
  <c r="P47" i="3" s="1"/>
  <c r="V46" i="3"/>
  <c r="T46" i="3"/>
  <c r="S46" i="3"/>
  <c r="R46" i="3"/>
  <c r="Q46" i="3"/>
  <c r="P46" i="3"/>
  <c r="O46" i="3"/>
  <c r="U46" i="3" s="1"/>
  <c r="H46" i="7" s="1"/>
  <c r="N46" i="3"/>
  <c r="M46" i="3"/>
  <c r="V45" i="3"/>
  <c r="T45" i="3"/>
  <c r="S45" i="3"/>
  <c r="R45" i="3"/>
  <c r="Q45" i="3"/>
  <c r="N45" i="3"/>
  <c r="M45" i="3"/>
  <c r="P45" i="3" s="1"/>
  <c r="V44" i="3"/>
  <c r="T44" i="3"/>
  <c r="S44" i="3"/>
  <c r="R44" i="3"/>
  <c r="Q44" i="3"/>
  <c r="P44" i="3"/>
  <c r="O44" i="3"/>
  <c r="U44" i="3" s="1"/>
  <c r="H44" i="7" s="1"/>
  <c r="N44" i="3"/>
  <c r="M44" i="3"/>
  <c r="V43" i="3"/>
  <c r="T43" i="3"/>
  <c r="S43" i="3"/>
  <c r="R43" i="3"/>
  <c r="Q43" i="3"/>
  <c r="N43" i="3"/>
  <c r="M43" i="3"/>
  <c r="P43" i="3" s="1"/>
  <c r="V42" i="3"/>
  <c r="T42" i="3"/>
  <c r="S42" i="3"/>
  <c r="R42" i="3"/>
  <c r="Q42" i="3"/>
  <c r="P42" i="3"/>
  <c r="O42" i="3"/>
  <c r="U42" i="3" s="1"/>
  <c r="H42" i="7" s="1"/>
  <c r="N42" i="3"/>
  <c r="M42" i="3"/>
  <c r="V41" i="3"/>
  <c r="T41" i="3"/>
  <c r="S41" i="3"/>
  <c r="R41" i="3"/>
  <c r="Q41" i="3"/>
  <c r="N41" i="3"/>
  <c r="M41" i="3"/>
  <c r="P41" i="3" s="1"/>
  <c r="V40" i="3"/>
  <c r="T40" i="3"/>
  <c r="S40" i="3"/>
  <c r="R40" i="3"/>
  <c r="Q40" i="3"/>
  <c r="P40" i="3"/>
  <c r="O40" i="3"/>
  <c r="U40" i="3" s="1"/>
  <c r="H40" i="7" s="1"/>
  <c r="N40" i="3"/>
  <c r="M40" i="3"/>
  <c r="V39" i="3"/>
  <c r="T39" i="3"/>
  <c r="S39" i="3"/>
  <c r="R39" i="3"/>
  <c r="Q39" i="3"/>
  <c r="N39" i="3"/>
  <c r="M39" i="3"/>
  <c r="P39" i="3" s="1"/>
  <c r="V38" i="3"/>
  <c r="T38" i="3"/>
  <c r="S38" i="3"/>
  <c r="R38" i="3"/>
  <c r="Q38" i="3"/>
  <c r="P38" i="3"/>
  <c r="O38" i="3"/>
  <c r="U38" i="3" s="1"/>
  <c r="H38" i="7" s="1"/>
  <c r="N38" i="3"/>
  <c r="M38" i="3"/>
  <c r="V37" i="3"/>
  <c r="T37" i="3"/>
  <c r="S37" i="3"/>
  <c r="R37" i="3"/>
  <c r="Q37" i="3"/>
  <c r="N37" i="3"/>
  <c r="M37" i="3"/>
  <c r="P37" i="3" s="1"/>
  <c r="V36" i="3"/>
  <c r="T36" i="3"/>
  <c r="S36" i="3"/>
  <c r="R36" i="3"/>
  <c r="Q36" i="3"/>
  <c r="P36" i="3"/>
  <c r="O36" i="3"/>
  <c r="U36" i="3" s="1"/>
  <c r="H36" i="7" s="1"/>
  <c r="N36" i="3"/>
  <c r="M36" i="3"/>
  <c r="V35" i="3"/>
  <c r="T35" i="3"/>
  <c r="S35" i="3"/>
  <c r="R35" i="3"/>
  <c r="Q35" i="3"/>
  <c r="N35" i="3"/>
  <c r="M35" i="3"/>
  <c r="P35" i="3" s="1"/>
  <c r="V34" i="3"/>
  <c r="T34" i="3"/>
  <c r="S34" i="3"/>
  <c r="R34" i="3"/>
  <c r="Q34" i="3"/>
  <c r="P34" i="3"/>
  <c r="O34" i="3"/>
  <c r="U34" i="3" s="1"/>
  <c r="H34" i="7" s="1"/>
  <c r="N34" i="3"/>
  <c r="M34" i="3"/>
  <c r="V33" i="3"/>
  <c r="T33" i="3"/>
  <c r="S33" i="3"/>
  <c r="R33" i="3"/>
  <c r="Q33" i="3"/>
  <c r="N33" i="3"/>
  <c r="M33" i="3"/>
  <c r="P33" i="3" s="1"/>
  <c r="V32" i="3"/>
  <c r="T32" i="3"/>
  <c r="S32" i="3"/>
  <c r="R32" i="3"/>
  <c r="Q32" i="3"/>
  <c r="P32" i="3"/>
  <c r="O32" i="3"/>
  <c r="U32" i="3" s="1"/>
  <c r="H32" i="7" s="1"/>
  <c r="N32" i="3"/>
  <c r="M32" i="3"/>
  <c r="V31" i="3"/>
  <c r="T31" i="3"/>
  <c r="S31" i="3"/>
  <c r="R31" i="3"/>
  <c r="Q31" i="3"/>
  <c r="N31" i="3"/>
  <c r="M31" i="3"/>
  <c r="P31" i="3" s="1"/>
  <c r="V30" i="3"/>
  <c r="T30" i="3"/>
  <c r="S30" i="3"/>
  <c r="R30" i="3"/>
  <c r="Q30" i="3"/>
  <c r="P30" i="3"/>
  <c r="O30" i="3"/>
  <c r="U30" i="3" s="1"/>
  <c r="H30" i="7" s="1"/>
  <c r="N30" i="3"/>
  <c r="M30" i="3"/>
  <c r="V29" i="3"/>
  <c r="T29" i="3"/>
  <c r="S29" i="3"/>
  <c r="R29" i="3"/>
  <c r="Q29" i="3"/>
  <c r="N29" i="3"/>
  <c r="M29" i="3"/>
  <c r="P29" i="3" s="1"/>
  <c r="V28" i="3"/>
  <c r="T28" i="3"/>
  <c r="S28" i="3"/>
  <c r="R28" i="3"/>
  <c r="Q28" i="3"/>
  <c r="P28" i="3"/>
  <c r="O28" i="3"/>
  <c r="U28" i="3" s="1"/>
  <c r="H28" i="7" s="1"/>
  <c r="N28" i="3"/>
  <c r="M28" i="3"/>
  <c r="V27" i="3"/>
  <c r="T27" i="3"/>
  <c r="S27" i="3"/>
  <c r="R27" i="3"/>
  <c r="Q27" i="3"/>
  <c r="N27" i="3"/>
  <c r="M27" i="3"/>
  <c r="P27" i="3" s="1"/>
  <c r="V26" i="3"/>
  <c r="T26" i="3"/>
  <c r="S26" i="3"/>
  <c r="R26" i="3"/>
  <c r="Q26" i="3"/>
  <c r="P26" i="3"/>
  <c r="O26" i="3"/>
  <c r="U26" i="3" s="1"/>
  <c r="H26" i="7" s="1"/>
  <c r="N26" i="3"/>
  <c r="M26" i="3"/>
  <c r="V25" i="3"/>
  <c r="T25" i="3"/>
  <c r="S25" i="3"/>
  <c r="R25" i="3"/>
  <c r="Q25" i="3"/>
  <c r="N25" i="3"/>
  <c r="M25" i="3"/>
  <c r="P25" i="3" s="1"/>
  <c r="V24" i="3"/>
  <c r="T24" i="3"/>
  <c r="S24" i="3"/>
  <c r="R24" i="3"/>
  <c r="Q24" i="3"/>
  <c r="P24" i="3"/>
  <c r="O24" i="3"/>
  <c r="U24" i="3" s="1"/>
  <c r="H24" i="7" s="1"/>
  <c r="N24" i="3"/>
  <c r="M24" i="3"/>
  <c r="V23" i="3"/>
  <c r="T23" i="3"/>
  <c r="S23" i="3"/>
  <c r="R23" i="3"/>
  <c r="Q23" i="3"/>
  <c r="N23" i="3"/>
  <c r="M23" i="3"/>
  <c r="P23" i="3" s="1"/>
  <c r="V22" i="3"/>
  <c r="T22" i="3"/>
  <c r="S22" i="3"/>
  <c r="R22" i="3"/>
  <c r="Q22" i="3"/>
  <c r="P22" i="3"/>
  <c r="O22" i="3"/>
  <c r="U22" i="3" s="1"/>
  <c r="H22" i="7" s="1"/>
  <c r="N22" i="3"/>
  <c r="M22" i="3"/>
  <c r="V21" i="3"/>
  <c r="T21" i="3"/>
  <c r="S21" i="3"/>
  <c r="R21" i="3"/>
  <c r="Q21" i="3"/>
  <c r="N21" i="3"/>
  <c r="M21" i="3"/>
  <c r="P21" i="3" s="1"/>
  <c r="V20" i="3"/>
  <c r="T20" i="3"/>
  <c r="S20" i="3"/>
  <c r="R20" i="3"/>
  <c r="Q20" i="3"/>
  <c r="P20" i="3"/>
  <c r="O20" i="3"/>
  <c r="U20" i="3" s="1"/>
  <c r="H20" i="7" s="1"/>
  <c r="N20" i="3"/>
  <c r="M20" i="3"/>
  <c r="V19" i="3"/>
  <c r="T19" i="3"/>
  <c r="S19" i="3"/>
  <c r="R19" i="3"/>
  <c r="Q19" i="3"/>
  <c r="N19" i="3"/>
  <c r="M19" i="3"/>
  <c r="P19" i="3" s="1"/>
  <c r="V18" i="3"/>
  <c r="T18" i="3"/>
  <c r="S18" i="3"/>
  <c r="R18" i="3"/>
  <c r="Q18" i="3"/>
  <c r="P18" i="3"/>
  <c r="O18" i="3"/>
  <c r="U18" i="3" s="1"/>
  <c r="H18" i="7" s="1"/>
  <c r="N18" i="3"/>
  <c r="M18" i="3"/>
  <c r="V17" i="3"/>
  <c r="T17" i="3"/>
  <c r="S17" i="3"/>
  <c r="R17" i="3"/>
  <c r="Q17" i="3"/>
  <c r="N17" i="3"/>
  <c r="M17" i="3"/>
  <c r="P17" i="3" s="1"/>
  <c r="V16" i="3"/>
  <c r="T16" i="3"/>
  <c r="S16" i="3"/>
  <c r="R16" i="3"/>
  <c r="Q16" i="3"/>
  <c r="P16" i="3"/>
  <c r="O16" i="3"/>
  <c r="U16" i="3" s="1"/>
  <c r="H16" i="7" s="1"/>
  <c r="N16" i="3"/>
  <c r="M16" i="3"/>
  <c r="V15" i="3"/>
  <c r="T15" i="3"/>
  <c r="S15" i="3"/>
  <c r="R15" i="3"/>
  <c r="Q15" i="3"/>
  <c r="N15" i="3"/>
  <c r="M15" i="3"/>
  <c r="P15" i="3" s="1"/>
  <c r="V14" i="3"/>
  <c r="T14" i="3"/>
  <c r="S14" i="3"/>
  <c r="R14" i="3"/>
  <c r="Q14" i="3"/>
  <c r="P14" i="3"/>
  <c r="O14" i="3"/>
  <c r="U14" i="3" s="1"/>
  <c r="H14" i="7" s="1"/>
  <c r="N14" i="3"/>
  <c r="M14" i="3"/>
  <c r="V13" i="3"/>
  <c r="T13" i="3"/>
  <c r="S13" i="3"/>
  <c r="R13" i="3"/>
  <c r="Q13" i="3"/>
  <c r="N13" i="3"/>
  <c r="M13" i="3"/>
  <c r="P13" i="3" s="1"/>
  <c r="V12" i="3"/>
  <c r="T12" i="3"/>
  <c r="S12" i="3"/>
  <c r="R12" i="3"/>
  <c r="Q12" i="3"/>
  <c r="P12" i="3"/>
  <c r="O12" i="3"/>
  <c r="U12" i="3" s="1"/>
  <c r="H12" i="7" s="1"/>
  <c r="N12" i="3"/>
  <c r="M12" i="3"/>
  <c r="V11" i="3"/>
  <c r="T11" i="3"/>
  <c r="S11" i="3"/>
  <c r="R11" i="3"/>
  <c r="Q11" i="3"/>
  <c r="N11" i="3"/>
  <c r="M11" i="3"/>
  <c r="P11" i="3" s="1"/>
  <c r="V10" i="3"/>
  <c r="T10" i="3"/>
  <c r="S10" i="3"/>
  <c r="R10" i="3"/>
  <c r="Q10" i="3"/>
  <c r="P10" i="3"/>
  <c r="O10" i="3"/>
  <c r="U10" i="3" s="1"/>
  <c r="H10" i="7" s="1"/>
  <c r="N10" i="3"/>
  <c r="M10" i="3"/>
  <c r="V9" i="3"/>
  <c r="T9" i="3"/>
  <c r="S9" i="3"/>
  <c r="R9" i="3"/>
  <c r="Q9" i="3"/>
  <c r="N9" i="3"/>
  <c r="M9" i="3"/>
  <c r="P9" i="3" s="1"/>
  <c r="V8" i="3"/>
  <c r="T8" i="3"/>
  <c r="S8" i="3"/>
  <c r="R8" i="3"/>
  <c r="Q8" i="3"/>
  <c r="P8" i="3"/>
  <c r="O8" i="3"/>
  <c r="U8" i="3" s="1"/>
  <c r="H8" i="7" s="1"/>
  <c r="N8" i="3"/>
  <c r="M8" i="3"/>
  <c r="V7" i="3"/>
  <c r="T7" i="3"/>
  <c r="S7" i="3"/>
  <c r="R7" i="3"/>
  <c r="Q7" i="3"/>
  <c r="N7" i="3"/>
  <c r="M7" i="3"/>
  <c r="P7" i="3" s="1"/>
  <c r="V6" i="3"/>
  <c r="T6" i="3"/>
  <c r="S6" i="3"/>
  <c r="R6" i="3"/>
  <c r="Q6" i="3"/>
  <c r="P6" i="3"/>
  <c r="O6" i="3"/>
  <c r="U6" i="3" s="1"/>
  <c r="H6" i="7" s="1"/>
  <c r="N6" i="3"/>
  <c r="M6" i="3"/>
  <c r="V5" i="3"/>
  <c r="T5" i="3"/>
  <c r="S5" i="3"/>
  <c r="R5" i="3"/>
  <c r="Q5" i="3"/>
  <c r="N5" i="3"/>
  <c r="M5" i="3"/>
  <c r="P5" i="3" s="1"/>
  <c r="V4" i="3"/>
  <c r="T4" i="3"/>
  <c r="S4" i="3"/>
  <c r="R4" i="3"/>
  <c r="Q4" i="3"/>
  <c r="P4" i="3"/>
  <c r="O4" i="3"/>
  <c r="U4" i="3" s="1"/>
  <c r="H4" i="7" s="1"/>
  <c r="N4" i="3"/>
  <c r="M4" i="3"/>
  <c r="V3" i="3"/>
  <c r="T3" i="3"/>
  <c r="S3" i="3"/>
  <c r="R3" i="3"/>
  <c r="Q3" i="3"/>
  <c r="N3" i="3"/>
  <c r="M3" i="3"/>
  <c r="P3" i="3" s="1"/>
  <c r="V113" i="2"/>
  <c r="T113" i="2"/>
  <c r="S113" i="2"/>
  <c r="R113" i="2"/>
  <c r="Q113" i="2"/>
  <c r="O62" i="7" s="1"/>
  <c r="G24" i="9" s="1"/>
  <c r="N113" i="2"/>
  <c r="M113" i="2"/>
  <c r="P113" i="2" s="1"/>
  <c r="N62" i="7" s="1"/>
  <c r="F24" i="9" s="1"/>
  <c r="V112" i="2"/>
  <c r="T112" i="2"/>
  <c r="S112" i="2"/>
  <c r="R112" i="2"/>
  <c r="Q112" i="2"/>
  <c r="O73" i="7" s="1"/>
  <c r="G35" i="9" s="1"/>
  <c r="N112" i="2"/>
  <c r="M112" i="2"/>
  <c r="P112" i="2" s="1"/>
  <c r="N73" i="7" s="1"/>
  <c r="F35" i="9" s="1"/>
  <c r="V111" i="2"/>
  <c r="T111" i="2"/>
  <c r="S111" i="2"/>
  <c r="R111" i="2"/>
  <c r="Q111" i="2"/>
  <c r="O72" i="7" s="1"/>
  <c r="G34" i="9" s="1"/>
  <c r="N111" i="2"/>
  <c r="M111" i="2"/>
  <c r="P111" i="2" s="1"/>
  <c r="V110" i="2"/>
  <c r="T110" i="2"/>
  <c r="S110" i="2"/>
  <c r="R110" i="2"/>
  <c r="Q110" i="2"/>
  <c r="O107" i="7" s="1"/>
  <c r="G69" i="9" s="1"/>
  <c r="N110" i="2"/>
  <c r="M110" i="2"/>
  <c r="P110" i="2" s="1"/>
  <c r="N107" i="7" s="1"/>
  <c r="F69" i="9" s="1"/>
  <c r="V109" i="2"/>
  <c r="T109" i="2"/>
  <c r="S109" i="2"/>
  <c r="R109" i="2"/>
  <c r="Q109" i="2"/>
  <c r="O80" i="7" s="1"/>
  <c r="G42" i="9" s="1"/>
  <c r="N109" i="2"/>
  <c r="M109" i="2"/>
  <c r="P109" i="2" s="1"/>
  <c r="N80" i="7" s="1"/>
  <c r="F42" i="9" s="1"/>
  <c r="V108" i="2"/>
  <c r="T108" i="2"/>
  <c r="S108" i="2"/>
  <c r="R108" i="2"/>
  <c r="Q108" i="2"/>
  <c r="O61" i="7" s="1"/>
  <c r="G23" i="9" s="1"/>
  <c r="N108" i="2"/>
  <c r="M108" i="2"/>
  <c r="P108" i="2" s="1"/>
  <c r="N61" i="7" s="1"/>
  <c r="F23" i="9" s="1"/>
  <c r="V107" i="2"/>
  <c r="T107" i="2"/>
  <c r="S107" i="2"/>
  <c r="R107" i="2"/>
  <c r="Q107" i="2"/>
  <c r="P107" i="2"/>
  <c r="N107" i="2"/>
  <c r="M107" i="2"/>
  <c r="O107" i="2" s="1"/>
  <c r="V106" i="2"/>
  <c r="T106" i="2"/>
  <c r="S106" i="2"/>
  <c r="R106" i="2"/>
  <c r="Q106" i="2"/>
  <c r="O94" i="7" s="1"/>
  <c r="G56" i="9" s="1"/>
  <c r="N106" i="2"/>
  <c r="M106" i="2"/>
  <c r="P106" i="2" s="1"/>
  <c r="N94" i="7" s="1"/>
  <c r="F56" i="9" s="1"/>
  <c r="V105" i="2"/>
  <c r="T105" i="2"/>
  <c r="S105" i="2"/>
  <c r="R105" i="2"/>
  <c r="Q105" i="2"/>
  <c r="O43" i="7" s="1"/>
  <c r="G5" i="9" s="1"/>
  <c r="P105" i="2"/>
  <c r="N105" i="2"/>
  <c r="M105" i="2"/>
  <c r="O105" i="2" s="1"/>
  <c r="V104" i="2"/>
  <c r="T104" i="2"/>
  <c r="S104" i="2"/>
  <c r="R104" i="2"/>
  <c r="Q104" i="2"/>
  <c r="O90" i="7" s="1"/>
  <c r="G52" i="9" s="1"/>
  <c r="N104" i="2"/>
  <c r="M104" i="2"/>
  <c r="P104" i="2" s="1"/>
  <c r="N90" i="7" s="1"/>
  <c r="F52" i="9" s="1"/>
  <c r="V103" i="2"/>
  <c r="T103" i="2"/>
  <c r="S103" i="2"/>
  <c r="R103" i="2"/>
  <c r="Q103" i="2"/>
  <c r="O67" i="7" s="1"/>
  <c r="G29" i="9" s="1"/>
  <c r="N103" i="2"/>
  <c r="M103" i="2"/>
  <c r="O103" i="2" s="1"/>
  <c r="V102" i="2"/>
  <c r="T102" i="2"/>
  <c r="S102" i="2"/>
  <c r="R102" i="2"/>
  <c r="Q102" i="2"/>
  <c r="O84" i="7" s="1"/>
  <c r="G46" i="9" s="1"/>
  <c r="N102" i="2"/>
  <c r="M102" i="2"/>
  <c r="P102" i="2" s="1"/>
  <c r="N84" i="7" s="1"/>
  <c r="F46" i="9" s="1"/>
  <c r="V101" i="2"/>
  <c r="T101" i="2"/>
  <c r="S101" i="2"/>
  <c r="R101" i="2"/>
  <c r="Q101" i="2"/>
  <c r="O17" i="7" s="1"/>
  <c r="G17" i="8" s="1"/>
  <c r="P101" i="2"/>
  <c r="N101" i="2"/>
  <c r="M101" i="2"/>
  <c r="O101" i="2" s="1"/>
  <c r="V100" i="2"/>
  <c r="T100" i="2"/>
  <c r="S100" i="2"/>
  <c r="R100" i="2"/>
  <c r="Q100" i="2"/>
  <c r="O16" i="7" s="1"/>
  <c r="G16" i="8" s="1"/>
  <c r="N100" i="2"/>
  <c r="M100" i="2"/>
  <c r="P100" i="2" s="1"/>
  <c r="N16" i="7" s="1"/>
  <c r="F16" i="8" s="1"/>
  <c r="V99" i="2"/>
  <c r="T99" i="2"/>
  <c r="S99" i="2"/>
  <c r="R99" i="2"/>
  <c r="Q99" i="2"/>
  <c r="O89" i="7" s="1"/>
  <c r="G51" i="9" s="1"/>
  <c r="P99" i="2"/>
  <c r="N99" i="2"/>
  <c r="M99" i="2"/>
  <c r="O99" i="2" s="1"/>
  <c r="V98" i="2"/>
  <c r="T98" i="2"/>
  <c r="S98" i="2"/>
  <c r="R98" i="2"/>
  <c r="Q98" i="2"/>
  <c r="N98" i="2"/>
  <c r="M98" i="2"/>
  <c r="P98" i="2" s="1"/>
  <c r="V97" i="2"/>
  <c r="T97" i="2"/>
  <c r="S97" i="2"/>
  <c r="R97" i="2"/>
  <c r="Q97" i="2"/>
  <c r="O71" i="7" s="1"/>
  <c r="G33" i="9" s="1"/>
  <c r="P97" i="2"/>
  <c r="N97" i="2"/>
  <c r="M97" i="2"/>
  <c r="O97" i="2" s="1"/>
  <c r="V96" i="2"/>
  <c r="T96" i="2"/>
  <c r="S96" i="2"/>
  <c r="R96" i="2"/>
  <c r="Q96" i="2"/>
  <c r="O103" i="7" s="1"/>
  <c r="G65" i="9" s="1"/>
  <c r="N96" i="2"/>
  <c r="M96" i="2"/>
  <c r="P96" i="2" s="1"/>
  <c r="N103" i="7" s="1"/>
  <c r="F65" i="9" s="1"/>
  <c r="V95" i="2"/>
  <c r="T95" i="2"/>
  <c r="S95" i="2"/>
  <c r="R95" i="2"/>
  <c r="Q95" i="2"/>
  <c r="O75" i="7" s="1"/>
  <c r="G37" i="9" s="1"/>
  <c r="N95" i="2"/>
  <c r="M95" i="2"/>
  <c r="O95" i="2" s="1"/>
  <c r="V94" i="2"/>
  <c r="T94" i="2"/>
  <c r="S94" i="2"/>
  <c r="R94" i="2"/>
  <c r="Q94" i="2"/>
  <c r="O70" i="7" s="1"/>
  <c r="G32" i="9" s="1"/>
  <c r="N94" i="2"/>
  <c r="M94" i="2"/>
  <c r="P94" i="2" s="1"/>
  <c r="V93" i="2"/>
  <c r="T93" i="2"/>
  <c r="S93" i="2"/>
  <c r="R93" i="2"/>
  <c r="Q93" i="2"/>
  <c r="O54" i="7" s="1"/>
  <c r="G16" i="9" s="1"/>
  <c r="P93" i="2"/>
  <c r="N54" i="7" s="1"/>
  <c r="F16" i="9" s="1"/>
  <c r="N93" i="2"/>
  <c r="M93" i="2"/>
  <c r="O93" i="2" s="1"/>
  <c r="V92" i="2"/>
  <c r="T92" i="2"/>
  <c r="S92" i="2"/>
  <c r="R92" i="2"/>
  <c r="Q92" i="2"/>
  <c r="O86" i="7" s="1"/>
  <c r="G48" i="9" s="1"/>
  <c r="N92" i="2"/>
  <c r="M92" i="2"/>
  <c r="P92" i="2" s="1"/>
  <c r="N86" i="7" s="1"/>
  <c r="F48" i="9" s="1"/>
  <c r="V91" i="2"/>
  <c r="T91" i="2"/>
  <c r="S91" i="2"/>
  <c r="R91" i="2"/>
  <c r="Q91" i="2"/>
  <c r="O66" i="7" s="1"/>
  <c r="G28" i="9" s="1"/>
  <c r="P91" i="2"/>
  <c r="N66" i="7" s="1"/>
  <c r="F28" i="9" s="1"/>
  <c r="N91" i="2"/>
  <c r="M91" i="2"/>
  <c r="O91" i="2" s="1"/>
  <c r="V90" i="2"/>
  <c r="T90" i="2"/>
  <c r="S90" i="2"/>
  <c r="R90" i="2"/>
  <c r="Q90" i="2"/>
  <c r="O95" i="7" s="1"/>
  <c r="G57" i="9" s="1"/>
  <c r="N90" i="2"/>
  <c r="M90" i="2"/>
  <c r="P90" i="2" s="1"/>
  <c r="N95" i="7" s="1"/>
  <c r="F57" i="9" s="1"/>
  <c r="V89" i="2"/>
  <c r="T89" i="2"/>
  <c r="S89" i="2"/>
  <c r="R89" i="2"/>
  <c r="Q89" i="2"/>
  <c r="O42" i="7" s="1"/>
  <c r="G4" i="9" s="1"/>
  <c r="N89" i="2"/>
  <c r="M89" i="2"/>
  <c r="O89" i="2" s="1"/>
  <c r="V88" i="2"/>
  <c r="T88" i="2"/>
  <c r="S88" i="2"/>
  <c r="R88" i="2"/>
  <c r="Q88" i="2"/>
  <c r="O91" i="7" s="1"/>
  <c r="G53" i="9" s="1"/>
  <c r="N88" i="2"/>
  <c r="M88" i="2"/>
  <c r="P88" i="2" s="1"/>
  <c r="N91" i="7" s="1"/>
  <c r="F53" i="9" s="1"/>
  <c r="V87" i="2"/>
  <c r="T87" i="2"/>
  <c r="S87" i="2"/>
  <c r="R87" i="2"/>
  <c r="Q87" i="2"/>
  <c r="O111" i="7" s="1"/>
  <c r="G73" i="9" s="1"/>
  <c r="N87" i="2"/>
  <c r="M87" i="2"/>
  <c r="O87" i="2" s="1"/>
  <c r="V86" i="2"/>
  <c r="T86" i="2"/>
  <c r="S86" i="2"/>
  <c r="R86" i="2"/>
  <c r="Q86" i="2"/>
  <c r="O49" i="7" s="1"/>
  <c r="G11" i="9" s="1"/>
  <c r="N86" i="2"/>
  <c r="M86" i="2"/>
  <c r="P86" i="2" s="1"/>
  <c r="N49" i="7" s="1"/>
  <c r="F11" i="9" s="1"/>
  <c r="V85" i="2"/>
  <c r="T85" i="2"/>
  <c r="S85" i="2"/>
  <c r="R85" i="2"/>
  <c r="Q85" i="2"/>
  <c r="O97" i="7" s="1"/>
  <c r="G59" i="9" s="1"/>
  <c r="N85" i="2"/>
  <c r="M85" i="2"/>
  <c r="V84" i="2"/>
  <c r="T84" i="2"/>
  <c r="S84" i="2"/>
  <c r="R84" i="2"/>
  <c r="Q84" i="2"/>
  <c r="O104" i="7" s="1"/>
  <c r="G66" i="9" s="1"/>
  <c r="N84" i="2"/>
  <c r="M84" i="2"/>
  <c r="V83" i="2"/>
  <c r="T83" i="2"/>
  <c r="S83" i="2"/>
  <c r="R83" i="2"/>
  <c r="Q83" i="2"/>
  <c r="O93" i="7" s="1"/>
  <c r="G55" i="9" s="1"/>
  <c r="N83" i="2"/>
  <c r="M83" i="2"/>
  <c r="V82" i="2"/>
  <c r="T82" i="2"/>
  <c r="S82" i="2"/>
  <c r="R82" i="2"/>
  <c r="Q82" i="2"/>
  <c r="O55" i="7" s="1"/>
  <c r="G17" i="9" s="1"/>
  <c r="N82" i="2"/>
  <c r="M82" i="2"/>
  <c r="V81" i="2"/>
  <c r="T81" i="2"/>
  <c r="S81" i="2"/>
  <c r="R81" i="2"/>
  <c r="Q81" i="2"/>
  <c r="O45" i="7" s="1"/>
  <c r="G7" i="9" s="1"/>
  <c r="N81" i="2"/>
  <c r="M81" i="2"/>
  <c r="V80" i="2"/>
  <c r="T80" i="2"/>
  <c r="S80" i="2"/>
  <c r="R80" i="2"/>
  <c r="Q80" i="2"/>
  <c r="O102" i="7" s="1"/>
  <c r="G64" i="9" s="1"/>
  <c r="N80" i="2"/>
  <c r="M80" i="2"/>
  <c r="V79" i="2"/>
  <c r="T79" i="2"/>
  <c r="S79" i="2"/>
  <c r="R79" i="2"/>
  <c r="Q79" i="2"/>
  <c r="O46" i="7" s="1"/>
  <c r="G8" i="9" s="1"/>
  <c r="N79" i="2"/>
  <c r="M79" i="2"/>
  <c r="V78" i="2"/>
  <c r="T78" i="2"/>
  <c r="S78" i="2"/>
  <c r="R78" i="2"/>
  <c r="Q78" i="2"/>
  <c r="O22" i="7" s="1"/>
  <c r="G22" i="8" s="1"/>
  <c r="N78" i="2"/>
  <c r="M78" i="2"/>
  <c r="V77" i="2"/>
  <c r="T77" i="2"/>
  <c r="S77" i="2"/>
  <c r="R77" i="2"/>
  <c r="Q77" i="2"/>
  <c r="O48" i="7" s="1"/>
  <c r="G10" i="9" s="1"/>
  <c r="N77" i="2"/>
  <c r="M77" i="2"/>
  <c r="V76" i="2"/>
  <c r="T76" i="2"/>
  <c r="S76" i="2"/>
  <c r="R76" i="2"/>
  <c r="Q76" i="2"/>
  <c r="O110" i="7" s="1"/>
  <c r="G72" i="9" s="1"/>
  <c r="N76" i="2"/>
  <c r="M76" i="2"/>
  <c r="V75" i="2"/>
  <c r="T75" i="2"/>
  <c r="S75" i="2"/>
  <c r="R75" i="2"/>
  <c r="Q75" i="2"/>
  <c r="O109" i="7" s="1"/>
  <c r="G71" i="9" s="1"/>
  <c r="N75" i="2"/>
  <c r="M75" i="2"/>
  <c r="V74" i="2"/>
  <c r="T74" i="2"/>
  <c r="S74" i="2"/>
  <c r="R74" i="2"/>
  <c r="Q74" i="2"/>
  <c r="O64" i="7" s="1"/>
  <c r="G26" i="9" s="1"/>
  <c r="N74" i="2"/>
  <c r="M74" i="2"/>
  <c r="V73" i="2"/>
  <c r="T73" i="2"/>
  <c r="S73" i="2"/>
  <c r="R73" i="2"/>
  <c r="Q73" i="2"/>
  <c r="O112" i="7" s="1"/>
  <c r="G74" i="9" s="1"/>
  <c r="N73" i="2"/>
  <c r="M73" i="2"/>
  <c r="V72" i="2"/>
  <c r="T72" i="2"/>
  <c r="S72" i="2"/>
  <c r="R72" i="2"/>
  <c r="Q72" i="2"/>
  <c r="O101" i="7" s="1"/>
  <c r="G63" i="9" s="1"/>
  <c r="N72" i="2"/>
  <c r="M72" i="2"/>
  <c r="V71" i="2"/>
  <c r="T71" i="2"/>
  <c r="S71" i="2"/>
  <c r="R71" i="2"/>
  <c r="Q71" i="2"/>
  <c r="O100" i="7" s="1"/>
  <c r="G62" i="9" s="1"/>
  <c r="N71" i="2"/>
  <c r="M71" i="2"/>
  <c r="V70" i="2"/>
  <c r="T70" i="2"/>
  <c r="S70" i="2"/>
  <c r="R70" i="2"/>
  <c r="Q70" i="2"/>
  <c r="O68" i="7" s="1"/>
  <c r="G30" i="9" s="1"/>
  <c r="N70" i="2"/>
  <c r="M70" i="2"/>
  <c r="V69" i="2"/>
  <c r="T69" i="2"/>
  <c r="S69" i="2"/>
  <c r="R69" i="2"/>
  <c r="Q69" i="2"/>
  <c r="O63" i="7" s="1"/>
  <c r="G25" i="9" s="1"/>
  <c r="N69" i="2"/>
  <c r="M69" i="2"/>
  <c r="V68" i="2"/>
  <c r="T68" i="2"/>
  <c r="S68" i="2"/>
  <c r="R68" i="2"/>
  <c r="Q68" i="2"/>
  <c r="O41" i="7" s="1"/>
  <c r="G3" i="9" s="1"/>
  <c r="N68" i="2"/>
  <c r="M68" i="2"/>
  <c r="V67" i="2"/>
  <c r="T67" i="2"/>
  <c r="S67" i="2"/>
  <c r="R67" i="2"/>
  <c r="Q67" i="2"/>
  <c r="O51" i="7" s="1"/>
  <c r="G13" i="9" s="1"/>
  <c r="N67" i="2"/>
  <c r="M67" i="2"/>
  <c r="V66" i="2"/>
  <c r="T66" i="2"/>
  <c r="S66" i="2"/>
  <c r="R66" i="2"/>
  <c r="Q66" i="2"/>
  <c r="N66" i="2"/>
  <c r="M66" i="2"/>
  <c r="V65" i="2"/>
  <c r="T65" i="2"/>
  <c r="S65" i="2"/>
  <c r="R65" i="2"/>
  <c r="Q65" i="2"/>
  <c r="N65" i="2"/>
  <c r="M65" i="2"/>
  <c r="V64" i="2"/>
  <c r="T64" i="2"/>
  <c r="S64" i="2"/>
  <c r="R64" i="2"/>
  <c r="Q64" i="2"/>
  <c r="N64" i="2"/>
  <c r="M64" i="2"/>
  <c r="V63" i="2"/>
  <c r="T63" i="2"/>
  <c r="S63" i="2"/>
  <c r="R63" i="2"/>
  <c r="Q63" i="2"/>
  <c r="O50" i="7" s="1"/>
  <c r="G12" i="9" s="1"/>
  <c r="N63" i="2"/>
  <c r="M63" i="2"/>
  <c r="V62" i="2"/>
  <c r="T62" i="2"/>
  <c r="S62" i="2"/>
  <c r="R62" i="2"/>
  <c r="Q62" i="2"/>
  <c r="O92" i="7" s="1"/>
  <c r="G54" i="9" s="1"/>
  <c r="N62" i="2"/>
  <c r="M62" i="2"/>
  <c r="V61" i="2"/>
  <c r="T61" i="2"/>
  <c r="S61" i="2"/>
  <c r="R61" i="2"/>
  <c r="Q61" i="2"/>
  <c r="O4" i="7" s="1"/>
  <c r="G4" i="8" s="1"/>
  <c r="N61" i="2"/>
  <c r="M61" i="2"/>
  <c r="V60" i="2"/>
  <c r="T60" i="2"/>
  <c r="S60" i="2"/>
  <c r="R60" i="2"/>
  <c r="Q60" i="2"/>
  <c r="O88" i="7" s="1"/>
  <c r="G50" i="9" s="1"/>
  <c r="N60" i="2"/>
  <c r="M60" i="2"/>
  <c r="V59" i="2"/>
  <c r="T59" i="2"/>
  <c r="S59" i="2"/>
  <c r="R59" i="2"/>
  <c r="Q59" i="2"/>
  <c r="O19" i="7" s="1"/>
  <c r="G19" i="8" s="1"/>
  <c r="N59" i="2"/>
  <c r="M59" i="2"/>
  <c r="V58" i="2"/>
  <c r="T58" i="2"/>
  <c r="S58" i="2"/>
  <c r="R58" i="2"/>
  <c r="Q58" i="2"/>
  <c r="O59" i="7" s="1"/>
  <c r="G21" i="9" s="1"/>
  <c r="N58" i="2"/>
  <c r="M58" i="2"/>
  <c r="V57" i="2"/>
  <c r="T57" i="2"/>
  <c r="S57" i="2"/>
  <c r="R57" i="2"/>
  <c r="Q57" i="2"/>
  <c r="O58" i="7" s="1"/>
  <c r="G20" i="9" s="1"/>
  <c r="N57" i="2"/>
  <c r="M57" i="2"/>
  <c r="V56" i="2"/>
  <c r="T56" i="2"/>
  <c r="S56" i="2"/>
  <c r="R56" i="2"/>
  <c r="Q56" i="2"/>
  <c r="O47" i="7" s="1"/>
  <c r="G9" i="9" s="1"/>
  <c r="N56" i="2"/>
  <c r="M56" i="2"/>
  <c r="V55" i="2"/>
  <c r="T55" i="2"/>
  <c r="S55" i="2"/>
  <c r="R55" i="2"/>
  <c r="Q55" i="2"/>
  <c r="O108" i="7" s="1"/>
  <c r="G70" i="9" s="1"/>
  <c r="N55" i="2"/>
  <c r="M55" i="2"/>
  <c r="V54" i="2"/>
  <c r="T54" i="2"/>
  <c r="S54" i="2"/>
  <c r="R54" i="2"/>
  <c r="Q54" i="2"/>
  <c r="O29" i="7" s="1"/>
  <c r="G29" i="8" s="1"/>
  <c r="N54" i="2"/>
  <c r="M54" i="2"/>
  <c r="V53" i="2"/>
  <c r="T53" i="2"/>
  <c r="S53" i="2"/>
  <c r="R53" i="2"/>
  <c r="Q53" i="2"/>
  <c r="O12" i="7" s="1"/>
  <c r="G12" i="8" s="1"/>
  <c r="N53" i="2"/>
  <c r="M53" i="2"/>
  <c r="V52" i="2"/>
  <c r="T52" i="2"/>
  <c r="S52" i="2"/>
  <c r="R52" i="2"/>
  <c r="Q52" i="2"/>
  <c r="O3" i="7" s="1"/>
  <c r="G3" i="8" s="1"/>
  <c r="N52" i="2"/>
  <c r="M52" i="2"/>
  <c r="V51" i="2"/>
  <c r="T51" i="2"/>
  <c r="S51" i="2"/>
  <c r="R51" i="2"/>
  <c r="Q51" i="2"/>
  <c r="O21" i="7" s="1"/>
  <c r="G21" i="8" s="1"/>
  <c r="N51" i="2"/>
  <c r="M51" i="2"/>
  <c r="V50" i="2"/>
  <c r="T50" i="2"/>
  <c r="S50" i="2"/>
  <c r="R50" i="2"/>
  <c r="Q50" i="2"/>
  <c r="O11" i="7" s="1"/>
  <c r="G11" i="8" s="1"/>
  <c r="N50" i="2"/>
  <c r="M50" i="2"/>
  <c r="V49" i="2"/>
  <c r="T49" i="2"/>
  <c r="S49" i="2"/>
  <c r="R49" i="2"/>
  <c r="Q49" i="2"/>
  <c r="O7" i="7" s="1"/>
  <c r="G7" i="8" s="1"/>
  <c r="N49" i="2"/>
  <c r="M49" i="2"/>
  <c r="V48" i="2"/>
  <c r="T48" i="2"/>
  <c r="S48" i="2"/>
  <c r="R48" i="2"/>
  <c r="Q48" i="2"/>
  <c r="O24" i="7" s="1"/>
  <c r="G24" i="8" s="1"/>
  <c r="N48" i="2"/>
  <c r="M48" i="2"/>
  <c r="V47" i="2"/>
  <c r="T47" i="2"/>
  <c r="S47" i="2"/>
  <c r="R47" i="2"/>
  <c r="Q47" i="2"/>
  <c r="O5" i="7" s="1"/>
  <c r="G5" i="8" s="1"/>
  <c r="N47" i="2"/>
  <c r="M47" i="2"/>
  <c r="V46" i="2"/>
  <c r="T46" i="2"/>
  <c r="S46" i="2"/>
  <c r="R46" i="2"/>
  <c r="Q46" i="2"/>
  <c r="O10" i="7" s="1"/>
  <c r="G10" i="8" s="1"/>
  <c r="N46" i="2"/>
  <c r="M46" i="2"/>
  <c r="V45" i="2"/>
  <c r="T45" i="2"/>
  <c r="S45" i="2"/>
  <c r="R45" i="2"/>
  <c r="Q45" i="2"/>
  <c r="O9" i="7" s="1"/>
  <c r="G9" i="8" s="1"/>
  <c r="N45" i="2"/>
  <c r="M45" i="2"/>
  <c r="V44" i="2"/>
  <c r="T44" i="2"/>
  <c r="S44" i="2"/>
  <c r="R44" i="2"/>
  <c r="Q44" i="2"/>
  <c r="O20" i="7" s="1"/>
  <c r="G20" i="8" s="1"/>
  <c r="N44" i="2"/>
  <c r="M44" i="2"/>
  <c r="V43" i="2"/>
  <c r="T43" i="2"/>
  <c r="S43" i="2"/>
  <c r="R43" i="2"/>
  <c r="Q43" i="2"/>
  <c r="O8" i="7" s="1"/>
  <c r="G8" i="8" s="1"/>
  <c r="N43" i="2"/>
  <c r="M43" i="2"/>
  <c r="V42" i="2"/>
  <c r="T42" i="2"/>
  <c r="S42" i="2"/>
  <c r="R42" i="2"/>
  <c r="Q42" i="2"/>
  <c r="O26" i="7" s="1"/>
  <c r="G26" i="8" s="1"/>
  <c r="N42" i="2"/>
  <c r="M42" i="2"/>
  <c r="V41" i="2"/>
  <c r="T41" i="2"/>
  <c r="S41" i="2"/>
  <c r="R41" i="2"/>
  <c r="Q41" i="2"/>
  <c r="O40" i="7" s="1"/>
  <c r="G40" i="8" s="1"/>
  <c r="N41" i="2"/>
  <c r="M41" i="2"/>
  <c r="V40" i="2"/>
  <c r="T40" i="2"/>
  <c r="S40" i="2"/>
  <c r="R40" i="2"/>
  <c r="Q40" i="2"/>
  <c r="O37" i="7" s="1"/>
  <c r="G37" i="8" s="1"/>
  <c r="N40" i="2"/>
  <c r="M40" i="2"/>
  <c r="V39" i="2"/>
  <c r="T39" i="2"/>
  <c r="S39" i="2"/>
  <c r="R39" i="2"/>
  <c r="Q39" i="2"/>
  <c r="O25" i="7" s="1"/>
  <c r="G25" i="8" s="1"/>
  <c r="N39" i="2"/>
  <c r="M39" i="2"/>
  <c r="V38" i="2"/>
  <c r="T38" i="2"/>
  <c r="S38" i="2"/>
  <c r="R38" i="2"/>
  <c r="Q38" i="2"/>
  <c r="O15" i="7" s="1"/>
  <c r="G15" i="8" s="1"/>
  <c r="N38" i="2"/>
  <c r="M38" i="2"/>
  <c r="V37" i="2"/>
  <c r="T37" i="2"/>
  <c r="S37" i="2"/>
  <c r="R37" i="2"/>
  <c r="Q37" i="2"/>
  <c r="O33" i="7" s="1"/>
  <c r="G33" i="8" s="1"/>
  <c r="N37" i="2"/>
  <c r="M37" i="2"/>
  <c r="V36" i="2"/>
  <c r="T36" i="2"/>
  <c r="S36" i="2"/>
  <c r="R36" i="2"/>
  <c r="Q36" i="2"/>
  <c r="O36" i="7" s="1"/>
  <c r="G36" i="8" s="1"/>
  <c r="N36" i="2"/>
  <c r="M36" i="2"/>
  <c r="V35" i="2"/>
  <c r="T35" i="2"/>
  <c r="S35" i="2"/>
  <c r="R35" i="2"/>
  <c r="Q35" i="2"/>
  <c r="O27" i="7" s="1"/>
  <c r="G27" i="8" s="1"/>
  <c r="N35" i="2"/>
  <c r="M35" i="2"/>
  <c r="V34" i="2"/>
  <c r="T34" i="2"/>
  <c r="S34" i="2"/>
  <c r="R34" i="2"/>
  <c r="Q34" i="2"/>
  <c r="O30" i="7" s="1"/>
  <c r="G30" i="8" s="1"/>
  <c r="N34" i="2"/>
  <c r="M34" i="2"/>
  <c r="V33" i="2"/>
  <c r="T33" i="2"/>
  <c r="S33" i="2"/>
  <c r="R33" i="2"/>
  <c r="Q33" i="2"/>
  <c r="O96" i="7" s="1"/>
  <c r="G58" i="9" s="1"/>
  <c r="N33" i="2"/>
  <c r="M33" i="2"/>
  <c r="V32" i="2"/>
  <c r="T32" i="2"/>
  <c r="S32" i="2"/>
  <c r="R32" i="2"/>
  <c r="Q32" i="2"/>
  <c r="O76" i="7" s="1"/>
  <c r="G38" i="9" s="1"/>
  <c r="N32" i="2"/>
  <c r="M32" i="2"/>
  <c r="V31" i="2"/>
  <c r="T31" i="2"/>
  <c r="S31" i="2"/>
  <c r="R31" i="2"/>
  <c r="Q31" i="2"/>
  <c r="O85" i="7" s="1"/>
  <c r="G47" i="9" s="1"/>
  <c r="N31" i="2"/>
  <c r="M31" i="2"/>
  <c r="V30" i="2"/>
  <c r="T30" i="2"/>
  <c r="S30" i="2"/>
  <c r="R30" i="2"/>
  <c r="Q30" i="2"/>
  <c r="O98" i="7" s="1"/>
  <c r="G60" i="9" s="1"/>
  <c r="N30" i="2"/>
  <c r="M30" i="2"/>
  <c r="V29" i="2"/>
  <c r="T29" i="2"/>
  <c r="S29" i="2"/>
  <c r="R29" i="2"/>
  <c r="Q29" i="2"/>
  <c r="O57" i="7" s="1"/>
  <c r="G19" i="9" s="1"/>
  <c r="N29" i="2"/>
  <c r="M29" i="2"/>
  <c r="V28" i="2"/>
  <c r="T28" i="2"/>
  <c r="S28" i="2"/>
  <c r="R28" i="2"/>
  <c r="Q28" i="2"/>
  <c r="O79" i="7" s="1"/>
  <c r="G41" i="9" s="1"/>
  <c r="N28" i="2"/>
  <c r="M28" i="2"/>
  <c r="V27" i="2"/>
  <c r="T27" i="2"/>
  <c r="S27" i="2"/>
  <c r="R27" i="2"/>
  <c r="Q27" i="2"/>
  <c r="O32" i="7" s="1"/>
  <c r="G32" i="8" s="1"/>
  <c r="N27" i="2"/>
  <c r="M27" i="2"/>
  <c r="V26" i="2"/>
  <c r="T26" i="2"/>
  <c r="S26" i="2"/>
  <c r="R26" i="2"/>
  <c r="Q26" i="2"/>
  <c r="O38" i="7" s="1"/>
  <c r="G38" i="8" s="1"/>
  <c r="N26" i="2"/>
  <c r="M26" i="2"/>
  <c r="V25" i="2"/>
  <c r="T25" i="2"/>
  <c r="S25" i="2"/>
  <c r="R25" i="2"/>
  <c r="Q25" i="2"/>
  <c r="O105" i="7" s="1"/>
  <c r="G67" i="9" s="1"/>
  <c r="N25" i="2"/>
  <c r="M25" i="2"/>
  <c r="V24" i="2"/>
  <c r="T24" i="2"/>
  <c r="S24" i="2"/>
  <c r="R24" i="2"/>
  <c r="Q24" i="2"/>
  <c r="O106" i="7" s="1"/>
  <c r="G68" i="9" s="1"/>
  <c r="N24" i="2"/>
  <c r="M24" i="2"/>
  <c r="V23" i="2"/>
  <c r="T23" i="2"/>
  <c r="S23" i="2"/>
  <c r="R23" i="2"/>
  <c r="Q23" i="2"/>
  <c r="O83" i="7" s="1"/>
  <c r="G45" i="9" s="1"/>
  <c r="N23" i="2"/>
  <c r="M23" i="2"/>
  <c r="V22" i="2"/>
  <c r="T22" i="2"/>
  <c r="S22" i="2"/>
  <c r="R22" i="2"/>
  <c r="Q22" i="2"/>
  <c r="N22" i="2"/>
  <c r="M22" i="2"/>
  <c r="V21" i="2"/>
  <c r="T21" i="2"/>
  <c r="S21" i="2"/>
  <c r="R21" i="2"/>
  <c r="Q21" i="2"/>
  <c r="O78" i="7" s="1"/>
  <c r="G40" i="9" s="1"/>
  <c r="N21" i="2"/>
  <c r="M21" i="2"/>
  <c r="V20" i="2"/>
  <c r="T20" i="2"/>
  <c r="S20" i="2"/>
  <c r="R20" i="2"/>
  <c r="Q20" i="2"/>
  <c r="O53" i="7" s="1"/>
  <c r="G15" i="9" s="1"/>
  <c r="N20" i="2"/>
  <c r="M20" i="2"/>
  <c r="V19" i="2"/>
  <c r="T19" i="2"/>
  <c r="S19" i="2"/>
  <c r="R19" i="2"/>
  <c r="Q19" i="2"/>
  <c r="O14" i="7" s="1"/>
  <c r="G14" i="8" s="1"/>
  <c r="N19" i="2"/>
  <c r="M19" i="2"/>
  <c r="V18" i="2"/>
  <c r="T18" i="2"/>
  <c r="S18" i="2"/>
  <c r="R18" i="2"/>
  <c r="Q18" i="2"/>
  <c r="O65" i="7" s="1"/>
  <c r="G27" i="9" s="1"/>
  <c r="N18" i="2"/>
  <c r="M18" i="2"/>
  <c r="V17" i="2"/>
  <c r="T17" i="2"/>
  <c r="S17" i="2"/>
  <c r="R17" i="2"/>
  <c r="Q17" i="2"/>
  <c r="O69" i="7" s="1"/>
  <c r="G31" i="9" s="1"/>
  <c r="N17" i="2"/>
  <c r="M17" i="2"/>
  <c r="V16" i="2"/>
  <c r="T16" i="2"/>
  <c r="S16" i="2"/>
  <c r="R16" i="2"/>
  <c r="Q16" i="2"/>
  <c r="O56" i="7" s="1"/>
  <c r="G18" i="9" s="1"/>
  <c r="N16" i="2"/>
  <c r="M16" i="2"/>
  <c r="V15" i="2"/>
  <c r="T15" i="2"/>
  <c r="S15" i="2"/>
  <c r="R15" i="2"/>
  <c r="Q15" i="2"/>
  <c r="O18" i="7" s="1"/>
  <c r="G18" i="8" s="1"/>
  <c r="N15" i="2"/>
  <c r="M15" i="2"/>
  <c r="V14" i="2"/>
  <c r="T14" i="2"/>
  <c r="S14" i="2"/>
  <c r="R14" i="2"/>
  <c r="Q14" i="2"/>
  <c r="O28" i="7" s="1"/>
  <c r="G28" i="8" s="1"/>
  <c r="N14" i="2"/>
  <c r="M14" i="2"/>
  <c r="V13" i="2"/>
  <c r="T13" i="2"/>
  <c r="S13" i="2"/>
  <c r="R13" i="2"/>
  <c r="Q13" i="2"/>
  <c r="O13" i="7" s="1"/>
  <c r="G13" i="8" s="1"/>
  <c r="N13" i="2"/>
  <c r="M13" i="2"/>
  <c r="V12" i="2"/>
  <c r="T12" i="2"/>
  <c r="S12" i="2"/>
  <c r="R12" i="2"/>
  <c r="Q12" i="2"/>
  <c r="O6" i="7" s="1"/>
  <c r="G6" i="8" s="1"/>
  <c r="N12" i="2"/>
  <c r="M12" i="2"/>
  <c r="V11" i="2"/>
  <c r="T11" i="2"/>
  <c r="S11" i="2"/>
  <c r="R11" i="2"/>
  <c r="Q11" i="2"/>
  <c r="O82" i="7" s="1"/>
  <c r="G44" i="9" s="1"/>
  <c r="N11" i="2"/>
  <c r="M11" i="2"/>
  <c r="V10" i="2"/>
  <c r="T10" i="2"/>
  <c r="S10" i="2"/>
  <c r="R10" i="2"/>
  <c r="Q10" i="2"/>
  <c r="O23" i="7" s="1"/>
  <c r="G23" i="8" s="1"/>
  <c r="N10" i="2"/>
  <c r="M10" i="2"/>
  <c r="V9" i="2"/>
  <c r="T9" i="2"/>
  <c r="S9" i="2"/>
  <c r="R9" i="2"/>
  <c r="Q9" i="2"/>
  <c r="O87" i="7" s="1"/>
  <c r="G49" i="9" s="1"/>
  <c r="N9" i="2"/>
  <c r="M9" i="2"/>
  <c r="V8" i="2"/>
  <c r="T8" i="2"/>
  <c r="S8" i="2"/>
  <c r="R8" i="2"/>
  <c r="Q8" i="2"/>
  <c r="N8" i="2"/>
  <c r="M8" i="2"/>
  <c r="V7" i="2"/>
  <c r="T7" i="2"/>
  <c r="S7" i="2"/>
  <c r="R7" i="2"/>
  <c r="Q7" i="2"/>
  <c r="O113" i="7" s="1"/>
  <c r="G75" i="9" s="1"/>
  <c r="N7" i="2"/>
  <c r="M7" i="2"/>
  <c r="V6" i="2"/>
  <c r="T6" i="2"/>
  <c r="S6" i="2"/>
  <c r="R6" i="2"/>
  <c r="Q6" i="2"/>
  <c r="O31" i="7" s="1"/>
  <c r="G31" i="8" s="1"/>
  <c r="N6" i="2"/>
  <c r="M6" i="2"/>
  <c r="V5" i="2"/>
  <c r="T5" i="2"/>
  <c r="S5" i="2"/>
  <c r="R5" i="2"/>
  <c r="Q5" i="2"/>
  <c r="O34" i="7" s="1"/>
  <c r="G34" i="8" s="1"/>
  <c r="N5" i="2"/>
  <c r="M5" i="2"/>
  <c r="V4" i="2"/>
  <c r="T4" i="2"/>
  <c r="S4" i="2"/>
  <c r="R4" i="2"/>
  <c r="Q4" i="2"/>
  <c r="O44" i="7" s="1"/>
  <c r="G6" i="9" s="1"/>
  <c r="N4" i="2"/>
  <c r="M4" i="2"/>
  <c r="V3" i="2"/>
  <c r="T3" i="2"/>
  <c r="S3" i="2"/>
  <c r="R3" i="2"/>
  <c r="Q3" i="2"/>
  <c r="O35" i="7" s="1"/>
  <c r="G35" i="8" s="1"/>
  <c r="N3" i="2"/>
  <c r="M3" i="2"/>
  <c r="O3" i="2" s="1"/>
  <c r="P113" i="1"/>
  <c r="N113" i="1"/>
  <c r="M113" i="1"/>
  <c r="L113" i="1"/>
  <c r="P113" i="7" s="1"/>
  <c r="H75" i="9" s="1"/>
  <c r="I113" i="1"/>
  <c r="H113" i="1"/>
  <c r="P112" i="1"/>
  <c r="N112" i="1"/>
  <c r="R112" i="7" s="1"/>
  <c r="J74" i="9" s="1"/>
  <c r="M112" i="1"/>
  <c r="L112" i="1"/>
  <c r="I112" i="1"/>
  <c r="H112" i="1"/>
  <c r="P111" i="1"/>
  <c r="N111" i="1"/>
  <c r="R111" i="7" s="1"/>
  <c r="J73" i="9" s="1"/>
  <c r="M111" i="1"/>
  <c r="L111" i="1"/>
  <c r="I111" i="1"/>
  <c r="H111" i="1"/>
  <c r="P110" i="1"/>
  <c r="N110" i="1"/>
  <c r="M110" i="1"/>
  <c r="Q110" i="7" s="1"/>
  <c r="I72" i="9" s="1"/>
  <c r="L110" i="1"/>
  <c r="I110" i="1"/>
  <c r="H110" i="1"/>
  <c r="P109" i="1"/>
  <c r="N109" i="1"/>
  <c r="M109" i="1"/>
  <c r="L109" i="1"/>
  <c r="P109" i="7" s="1"/>
  <c r="H71" i="9" s="1"/>
  <c r="I109" i="1"/>
  <c r="H109" i="1"/>
  <c r="P108" i="1"/>
  <c r="N108" i="1"/>
  <c r="R108" i="7" s="1"/>
  <c r="J70" i="9" s="1"/>
  <c r="M108" i="1"/>
  <c r="L108" i="1"/>
  <c r="I108" i="1"/>
  <c r="H108" i="1"/>
  <c r="P107" i="1"/>
  <c r="N107" i="1"/>
  <c r="M107" i="1"/>
  <c r="L107" i="1"/>
  <c r="P107" i="7" s="1"/>
  <c r="H69" i="9" s="1"/>
  <c r="I107" i="1"/>
  <c r="H107" i="1"/>
  <c r="P106" i="1"/>
  <c r="N106" i="1"/>
  <c r="M106" i="1"/>
  <c r="Q106" i="7" s="1"/>
  <c r="I68" i="9" s="1"/>
  <c r="L106" i="1"/>
  <c r="I106" i="1"/>
  <c r="H106" i="1"/>
  <c r="P105" i="1"/>
  <c r="N105" i="1"/>
  <c r="M105" i="1"/>
  <c r="Q105" i="7" s="1"/>
  <c r="I67" i="9" s="1"/>
  <c r="L105" i="1"/>
  <c r="P105" i="7" s="1"/>
  <c r="H67" i="9" s="1"/>
  <c r="I105" i="1"/>
  <c r="H105" i="1"/>
  <c r="P104" i="1"/>
  <c r="N104" i="1"/>
  <c r="M104" i="1"/>
  <c r="Q104" i="7" s="1"/>
  <c r="I66" i="9" s="1"/>
  <c r="L104" i="1"/>
  <c r="I104" i="1"/>
  <c r="H104" i="1"/>
  <c r="P103" i="1"/>
  <c r="N103" i="1"/>
  <c r="M103" i="1"/>
  <c r="L103" i="1"/>
  <c r="P103" i="7" s="1"/>
  <c r="H65" i="9" s="1"/>
  <c r="I103" i="1"/>
  <c r="H103" i="1"/>
  <c r="P102" i="1"/>
  <c r="N102" i="1"/>
  <c r="M102" i="1"/>
  <c r="Q102" i="7" s="1"/>
  <c r="I64" i="9" s="1"/>
  <c r="L102" i="1"/>
  <c r="I102" i="1"/>
  <c r="H102" i="1"/>
  <c r="P101" i="1"/>
  <c r="N101" i="1"/>
  <c r="M101" i="1"/>
  <c r="Q101" i="7" s="1"/>
  <c r="I63" i="9" s="1"/>
  <c r="L101" i="1"/>
  <c r="P101" i="7" s="1"/>
  <c r="H63" i="9" s="1"/>
  <c r="I101" i="1"/>
  <c r="H101" i="1"/>
  <c r="P100" i="1"/>
  <c r="N100" i="1"/>
  <c r="R100" i="7" s="1"/>
  <c r="J62" i="9" s="1"/>
  <c r="M100" i="1"/>
  <c r="L100" i="1"/>
  <c r="I100" i="1"/>
  <c r="H100" i="1"/>
  <c r="P99" i="1"/>
  <c r="N99" i="1"/>
  <c r="M99" i="1"/>
  <c r="L99" i="1"/>
  <c r="I99" i="1"/>
  <c r="O99" i="1" s="1"/>
  <c r="H99" i="1"/>
  <c r="P98" i="1"/>
  <c r="N98" i="1"/>
  <c r="R98" i="7" s="1"/>
  <c r="J60" i="9" s="1"/>
  <c r="M98" i="1"/>
  <c r="Q98" i="7" s="1"/>
  <c r="I60" i="9" s="1"/>
  <c r="L98" i="1"/>
  <c r="I98" i="1"/>
  <c r="H98" i="1"/>
  <c r="P97" i="1"/>
  <c r="N97" i="1"/>
  <c r="R97" i="7" s="1"/>
  <c r="J59" i="9" s="1"/>
  <c r="M97" i="1"/>
  <c r="Q97" i="7" s="1"/>
  <c r="I59" i="9" s="1"/>
  <c r="L97" i="1"/>
  <c r="P97" i="7" s="1"/>
  <c r="H59" i="9" s="1"/>
  <c r="I97" i="1"/>
  <c r="H97" i="1"/>
  <c r="P96" i="1"/>
  <c r="N96" i="1"/>
  <c r="R96" i="7" s="1"/>
  <c r="J58" i="9" s="1"/>
  <c r="M96" i="1"/>
  <c r="L96" i="1"/>
  <c r="I96" i="1"/>
  <c r="H96" i="1"/>
  <c r="P95" i="1"/>
  <c r="N95" i="1"/>
  <c r="M95" i="1"/>
  <c r="L95" i="1"/>
  <c r="P95" i="7" s="1"/>
  <c r="H57" i="9" s="1"/>
  <c r="I95" i="1"/>
  <c r="H95" i="1"/>
  <c r="P94" i="1"/>
  <c r="N94" i="1"/>
  <c r="M94" i="1"/>
  <c r="L94" i="1"/>
  <c r="P94" i="7" s="1"/>
  <c r="H56" i="9" s="1"/>
  <c r="I94" i="1"/>
  <c r="H94" i="1"/>
  <c r="P93" i="1"/>
  <c r="N93" i="1"/>
  <c r="R93" i="7" s="1"/>
  <c r="J55" i="9" s="1"/>
  <c r="M93" i="1"/>
  <c r="L93" i="1"/>
  <c r="P93" i="7" s="1"/>
  <c r="H55" i="9" s="1"/>
  <c r="I93" i="1"/>
  <c r="H93" i="1"/>
  <c r="P92" i="1"/>
  <c r="N92" i="1"/>
  <c r="R92" i="7" s="1"/>
  <c r="J54" i="9" s="1"/>
  <c r="M92" i="1"/>
  <c r="Q92" i="7" s="1"/>
  <c r="I54" i="9" s="1"/>
  <c r="L92" i="1"/>
  <c r="I92" i="1"/>
  <c r="H92" i="1"/>
  <c r="P91" i="1"/>
  <c r="U91" i="7" s="1"/>
  <c r="L53" i="9" s="1"/>
  <c r="N91" i="1"/>
  <c r="M91" i="1"/>
  <c r="L91" i="1"/>
  <c r="P91" i="7" s="1"/>
  <c r="H53" i="9" s="1"/>
  <c r="I91" i="1"/>
  <c r="H91" i="1"/>
  <c r="P90" i="1"/>
  <c r="N90" i="1"/>
  <c r="R90" i="7" s="1"/>
  <c r="J52" i="9" s="1"/>
  <c r="M90" i="1"/>
  <c r="L90" i="1"/>
  <c r="P90" i="7" s="1"/>
  <c r="H52" i="9" s="1"/>
  <c r="I90" i="1"/>
  <c r="H90" i="1"/>
  <c r="P89" i="1"/>
  <c r="N89" i="1"/>
  <c r="M89" i="1"/>
  <c r="L89" i="1"/>
  <c r="P89" i="7" s="1"/>
  <c r="H51" i="9" s="1"/>
  <c r="I89" i="1"/>
  <c r="H89" i="1"/>
  <c r="P88" i="1"/>
  <c r="N88" i="1"/>
  <c r="M88" i="1"/>
  <c r="Q88" i="7" s="1"/>
  <c r="I50" i="9" s="1"/>
  <c r="L88" i="1"/>
  <c r="I88" i="1"/>
  <c r="H88" i="1"/>
  <c r="P87" i="1"/>
  <c r="N87" i="1"/>
  <c r="R87" i="7" s="1"/>
  <c r="J49" i="9" s="1"/>
  <c r="M87" i="1"/>
  <c r="Q87" i="7" s="1"/>
  <c r="I49" i="9" s="1"/>
  <c r="L87" i="1"/>
  <c r="P87" i="7" s="1"/>
  <c r="H49" i="9" s="1"/>
  <c r="I87" i="1"/>
  <c r="H87" i="1"/>
  <c r="P86" i="1"/>
  <c r="N86" i="1"/>
  <c r="R86" i="7" s="1"/>
  <c r="J48" i="9" s="1"/>
  <c r="M86" i="1"/>
  <c r="L86" i="1"/>
  <c r="P86" i="7" s="1"/>
  <c r="H48" i="9" s="1"/>
  <c r="I86" i="1"/>
  <c r="H86" i="1"/>
  <c r="P85" i="1"/>
  <c r="N85" i="1"/>
  <c r="M85" i="1"/>
  <c r="L85" i="1"/>
  <c r="P85" i="7" s="1"/>
  <c r="H47" i="9" s="1"/>
  <c r="I85" i="1"/>
  <c r="H85" i="1"/>
  <c r="P84" i="1"/>
  <c r="N84" i="1"/>
  <c r="R84" i="7" s="1"/>
  <c r="J46" i="9" s="1"/>
  <c r="M84" i="1"/>
  <c r="L84" i="1"/>
  <c r="I84" i="1"/>
  <c r="H84" i="1"/>
  <c r="P83" i="1"/>
  <c r="N83" i="1"/>
  <c r="R83" i="7" s="1"/>
  <c r="J45" i="9" s="1"/>
  <c r="M83" i="1"/>
  <c r="L83" i="1"/>
  <c r="P83" i="7" s="1"/>
  <c r="H45" i="9" s="1"/>
  <c r="I83" i="1"/>
  <c r="H83" i="1"/>
  <c r="P82" i="1"/>
  <c r="N82" i="1"/>
  <c r="R82" i="7" s="1"/>
  <c r="J44" i="9" s="1"/>
  <c r="M82" i="1"/>
  <c r="L82" i="1"/>
  <c r="I82" i="1"/>
  <c r="H82" i="1"/>
  <c r="P81" i="1"/>
  <c r="N81" i="1"/>
  <c r="M81" i="1"/>
  <c r="L81" i="1"/>
  <c r="I81" i="1"/>
  <c r="H81" i="1"/>
  <c r="P80" i="1"/>
  <c r="N80" i="1"/>
  <c r="R80" i="7" s="1"/>
  <c r="J42" i="9" s="1"/>
  <c r="M80" i="1"/>
  <c r="Q80" i="7" s="1"/>
  <c r="I42" i="9" s="1"/>
  <c r="L80" i="1"/>
  <c r="I80" i="1"/>
  <c r="H80" i="1"/>
  <c r="P79" i="1"/>
  <c r="N79" i="1"/>
  <c r="M79" i="1"/>
  <c r="Q79" i="7" s="1"/>
  <c r="I41" i="9" s="1"/>
  <c r="L79" i="1"/>
  <c r="I79" i="1"/>
  <c r="H79" i="1"/>
  <c r="P78" i="1"/>
  <c r="N78" i="1"/>
  <c r="R78" i="7" s="1"/>
  <c r="J40" i="9" s="1"/>
  <c r="M78" i="1"/>
  <c r="Q78" i="7" s="1"/>
  <c r="I40" i="9" s="1"/>
  <c r="L78" i="1"/>
  <c r="I78" i="1"/>
  <c r="H78" i="1"/>
  <c r="P77" i="1"/>
  <c r="N77" i="1"/>
  <c r="M77" i="1"/>
  <c r="L77" i="1"/>
  <c r="I77" i="1"/>
  <c r="O77" i="1" s="1"/>
  <c r="H77" i="1"/>
  <c r="P76" i="1"/>
  <c r="N76" i="1"/>
  <c r="M76" i="1"/>
  <c r="Q76" i="7" s="1"/>
  <c r="I38" i="9" s="1"/>
  <c r="L76" i="1"/>
  <c r="I76" i="1"/>
  <c r="H76" i="1"/>
  <c r="P75" i="1"/>
  <c r="N75" i="1"/>
  <c r="R75" i="7" s="1"/>
  <c r="J37" i="9" s="1"/>
  <c r="M75" i="1"/>
  <c r="Q75" i="7" s="1"/>
  <c r="I37" i="9" s="1"/>
  <c r="L75" i="1"/>
  <c r="I75" i="1"/>
  <c r="H75" i="1"/>
  <c r="P74" i="1"/>
  <c r="N74" i="1"/>
  <c r="M74" i="1"/>
  <c r="Q74" i="7" s="1"/>
  <c r="I36" i="9" s="1"/>
  <c r="L74" i="1"/>
  <c r="I74" i="1"/>
  <c r="H74" i="1"/>
  <c r="P73" i="1"/>
  <c r="N73" i="1"/>
  <c r="R73" i="7" s="1"/>
  <c r="J35" i="9" s="1"/>
  <c r="M73" i="1"/>
  <c r="L73" i="1"/>
  <c r="P73" i="7" s="1"/>
  <c r="H35" i="9" s="1"/>
  <c r="I73" i="1"/>
  <c r="H73" i="1"/>
  <c r="P72" i="1"/>
  <c r="N72" i="1"/>
  <c r="M72" i="1"/>
  <c r="Q72" i="7" s="1"/>
  <c r="I34" i="9" s="1"/>
  <c r="L72" i="1"/>
  <c r="I72" i="1"/>
  <c r="H72" i="1"/>
  <c r="P71" i="1"/>
  <c r="N71" i="1"/>
  <c r="R71" i="7" s="1"/>
  <c r="J33" i="9" s="1"/>
  <c r="M71" i="1"/>
  <c r="Q71" i="7" s="1"/>
  <c r="I33" i="9" s="1"/>
  <c r="L71" i="1"/>
  <c r="P71" i="7" s="1"/>
  <c r="H33" i="9" s="1"/>
  <c r="I71" i="1"/>
  <c r="H71" i="1"/>
  <c r="P70" i="1"/>
  <c r="N70" i="1"/>
  <c r="R70" i="7" s="1"/>
  <c r="J32" i="9" s="1"/>
  <c r="M70" i="1"/>
  <c r="L70" i="1"/>
  <c r="I70" i="1"/>
  <c r="H70" i="1"/>
  <c r="P69" i="1"/>
  <c r="N69" i="1"/>
  <c r="M69" i="1"/>
  <c r="Q69" i="7" s="1"/>
  <c r="I31" i="9" s="1"/>
  <c r="L69" i="1"/>
  <c r="P69" i="7" s="1"/>
  <c r="H31" i="9" s="1"/>
  <c r="I69" i="1"/>
  <c r="H69" i="1"/>
  <c r="P68" i="1"/>
  <c r="N68" i="1"/>
  <c r="R68" i="7" s="1"/>
  <c r="J30" i="9" s="1"/>
  <c r="M68" i="1"/>
  <c r="Q68" i="7" s="1"/>
  <c r="I30" i="9" s="1"/>
  <c r="L68" i="1"/>
  <c r="I68" i="1"/>
  <c r="H68" i="1"/>
  <c r="P67" i="1"/>
  <c r="N67" i="1"/>
  <c r="R67" i="7" s="1"/>
  <c r="J29" i="9" s="1"/>
  <c r="M67" i="1"/>
  <c r="Q67" i="7" s="1"/>
  <c r="I29" i="9" s="1"/>
  <c r="L67" i="1"/>
  <c r="P67" i="7" s="1"/>
  <c r="H29" i="9" s="1"/>
  <c r="I67" i="1"/>
  <c r="H67" i="1"/>
  <c r="P66" i="1"/>
  <c r="N66" i="1"/>
  <c r="R66" i="7" s="1"/>
  <c r="J28" i="9" s="1"/>
  <c r="M66" i="1"/>
  <c r="Q66" i="7" s="1"/>
  <c r="I28" i="9" s="1"/>
  <c r="L66" i="1"/>
  <c r="I66" i="1"/>
  <c r="H66" i="1"/>
  <c r="P65" i="1"/>
  <c r="N65" i="1"/>
  <c r="R65" i="7" s="1"/>
  <c r="J27" i="9" s="1"/>
  <c r="M65" i="1"/>
  <c r="Q65" i="7" s="1"/>
  <c r="I27" i="9" s="1"/>
  <c r="L65" i="1"/>
  <c r="I65" i="1"/>
  <c r="H65" i="1"/>
  <c r="P64" i="1"/>
  <c r="N64" i="1"/>
  <c r="R64" i="7" s="1"/>
  <c r="J26" i="9" s="1"/>
  <c r="M64" i="1"/>
  <c r="Q64" i="7" s="1"/>
  <c r="I26" i="9" s="1"/>
  <c r="L64" i="1"/>
  <c r="I64" i="1"/>
  <c r="H64" i="1"/>
  <c r="P63" i="1"/>
  <c r="N63" i="1"/>
  <c r="R63" i="7" s="1"/>
  <c r="J25" i="9" s="1"/>
  <c r="M63" i="1"/>
  <c r="Q63" i="7" s="1"/>
  <c r="I25" i="9" s="1"/>
  <c r="L63" i="1"/>
  <c r="P63" i="7" s="1"/>
  <c r="H25" i="9" s="1"/>
  <c r="I63" i="1"/>
  <c r="H63" i="1"/>
  <c r="P62" i="1"/>
  <c r="N62" i="1"/>
  <c r="R62" i="7" s="1"/>
  <c r="J24" i="9" s="1"/>
  <c r="M62" i="1"/>
  <c r="Q62" i="7" s="1"/>
  <c r="I24" i="9" s="1"/>
  <c r="L62" i="1"/>
  <c r="I62" i="1"/>
  <c r="H62" i="1"/>
  <c r="P61" i="1"/>
  <c r="N61" i="1"/>
  <c r="R61" i="7" s="1"/>
  <c r="J23" i="9" s="1"/>
  <c r="M61" i="1"/>
  <c r="L61" i="1"/>
  <c r="P61" i="7" s="1"/>
  <c r="H23" i="9" s="1"/>
  <c r="I61" i="1"/>
  <c r="H61" i="1"/>
  <c r="P60" i="1"/>
  <c r="N60" i="1"/>
  <c r="M60" i="1"/>
  <c r="L60" i="1"/>
  <c r="I60" i="1"/>
  <c r="H60" i="1"/>
  <c r="P59" i="1"/>
  <c r="U59" i="7" s="1"/>
  <c r="L21" i="9" s="1"/>
  <c r="N59" i="1"/>
  <c r="R59" i="7" s="1"/>
  <c r="J21" i="9" s="1"/>
  <c r="M59" i="1"/>
  <c r="Q59" i="7" s="1"/>
  <c r="I21" i="9" s="1"/>
  <c r="L59" i="1"/>
  <c r="P59" i="7" s="1"/>
  <c r="H21" i="9" s="1"/>
  <c r="I59" i="1"/>
  <c r="H59" i="1"/>
  <c r="P58" i="1"/>
  <c r="N58" i="1"/>
  <c r="R58" i="7" s="1"/>
  <c r="J20" i="9" s="1"/>
  <c r="M58" i="1"/>
  <c r="Q58" i="7" s="1"/>
  <c r="I20" i="9" s="1"/>
  <c r="L58" i="1"/>
  <c r="I58" i="1"/>
  <c r="H58" i="1"/>
  <c r="P57" i="1"/>
  <c r="N57" i="1"/>
  <c r="R57" i="7" s="1"/>
  <c r="J19" i="9" s="1"/>
  <c r="M57" i="1"/>
  <c r="Q57" i="7" s="1"/>
  <c r="I19" i="9" s="1"/>
  <c r="L57" i="1"/>
  <c r="P57" i="7" s="1"/>
  <c r="H19" i="9" s="1"/>
  <c r="I57" i="1"/>
  <c r="H57" i="1"/>
  <c r="P56" i="1"/>
  <c r="N56" i="1"/>
  <c r="M56" i="1"/>
  <c r="Q56" i="7" s="1"/>
  <c r="I18" i="9" s="1"/>
  <c r="L56" i="1"/>
  <c r="I56" i="1"/>
  <c r="H56" i="1"/>
  <c r="P55" i="1"/>
  <c r="N55" i="1"/>
  <c r="R55" i="7" s="1"/>
  <c r="J17" i="9" s="1"/>
  <c r="M55" i="1"/>
  <c r="Q55" i="7" s="1"/>
  <c r="I17" i="9" s="1"/>
  <c r="L55" i="1"/>
  <c r="P55" i="7" s="1"/>
  <c r="H17" i="9" s="1"/>
  <c r="I55" i="1"/>
  <c r="H55" i="1"/>
  <c r="P54" i="1"/>
  <c r="N54" i="1"/>
  <c r="R54" i="7" s="1"/>
  <c r="J16" i="9" s="1"/>
  <c r="M54" i="1"/>
  <c r="L54" i="1"/>
  <c r="I54" i="1"/>
  <c r="H54" i="1"/>
  <c r="P53" i="1"/>
  <c r="N53" i="1"/>
  <c r="M53" i="1"/>
  <c r="Q53" i="7" s="1"/>
  <c r="I15" i="9" s="1"/>
  <c r="L53" i="1"/>
  <c r="P53" i="7" s="1"/>
  <c r="H15" i="9" s="1"/>
  <c r="I53" i="1"/>
  <c r="H53" i="1"/>
  <c r="P52" i="1"/>
  <c r="N52" i="1"/>
  <c r="M52" i="1"/>
  <c r="L52" i="1"/>
  <c r="I52" i="1"/>
  <c r="O52" i="1" s="1"/>
  <c r="H52" i="1"/>
  <c r="P51" i="1"/>
  <c r="N51" i="1"/>
  <c r="R51" i="7" s="1"/>
  <c r="J13" i="9" s="1"/>
  <c r="M51" i="1"/>
  <c r="L51" i="1"/>
  <c r="P51" i="7" s="1"/>
  <c r="H13" i="9" s="1"/>
  <c r="I51" i="1"/>
  <c r="H51" i="1"/>
  <c r="P50" i="1"/>
  <c r="N50" i="1"/>
  <c r="R50" i="7" s="1"/>
  <c r="J12" i="9" s="1"/>
  <c r="M50" i="1"/>
  <c r="L50" i="1"/>
  <c r="I50" i="1"/>
  <c r="H50" i="1"/>
  <c r="P49" i="1"/>
  <c r="N49" i="1"/>
  <c r="R49" i="7" s="1"/>
  <c r="J11" i="9" s="1"/>
  <c r="M49" i="1"/>
  <c r="L49" i="1"/>
  <c r="P49" i="7" s="1"/>
  <c r="H11" i="9" s="1"/>
  <c r="I49" i="1"/>
  <c r="H49" i="1"/>
  <c r="P48" i="1"/>
  <c r="N48" i="1"/>
  <c r="R48" i="7" s="1"/>
  <c r="J10" i="9" s="1"/>
  <c r="M48" i="1"/>
  <c r="Q48" i="7" s="1"/>
  <c r="I10" i="9" s="1"/>
  <c r="L48" i="1"/>
  <c r="I48" i="1"/>
  <c r="H48" i="1"/>
  <c r="P47" i="1"/>
  <c r="N47" i="1"/>
  <c r="M47" i="1"/>
  <c r="Q47" i="7" s="1"/>
  <c r="I9" i="9" s="1"/>
  <c r="L47" i="1"/>
  <c r="P47" i="7" s="1"/>
  <c r="H9" i="9" s="1"/>
  <c r="I47" i="1"/>
  <c r="H47" i="1"/>
  <c r="P46" i="1"/>
  <c r="N46" i="1"/>
  <c r="R46" i="7" s="1"/>
  <c r="J8" i="9" s="1"/>
  <c r="M46" i="1"/>
  <c r="L46" i="1"/>
  <c r="I46" i="1"/>
  <c r="H46" i="1"/>
  <c r="P45" i="1"/>
  <c r="N45" i="1"/>
  <c r="R45" i="7" s="1"/>
  <c r="J7" i="9" s="1"/>
  <c r="M45" i="1"/>
  <c r="Q45" i="7" s="1"/>
  <c r="I7" i="9" s="1"/>
  <c r="L45" i="1"/>
  <c r="P45" i="7" s="1"/>
  <c r="H7" i="9" s="1"/>
  <c r="I45" i="1"/>
  <c r="H45" i="1"/>
  <c r="P44" i="1"/>
  <c r="N44" i="1"/>
  <c r="R44" i="7" s="1"/>
  <c r="J6" i="9" s="1"/>
  <c r="M44" i="1"/>
  <c r="Q44" i="7" s="1"/>
  <c r="I6" i="9" s="1"/>
  <c r="L44" i="1"/>
  <c r="I44" i="1"/>
  <c r="H44" i="1"/>
  <c r="P43" i="1"/>
  <c r="N43" i="1"/>
  <c r="R43" i="7" s="1"/>
  <c r="J5" i="9" s="1"/>
  <c r="M43" i="1"/>
  <c r="L43" i="1"/>
  <c r="P43" i="7" s="1"/>
  <c r="H5" i="9" s="1"/>
  <c r="I43" i="1"/>
  <c r="H43" i="1"/>
  <c r="P42" i="1"/>
  <c r="N42" i="1"/>
  <c r="R42" i="7" s="1"/>
  <c r="J4" i="9" s="1"/>
  <c r="M42" i="1"/>
  <c r="L42" i="1"/>
  <c r="I42" i="1"/>
  <c r="H42" i="1"/>
  <c r="P41" i="1"/>
  <c r="N41" i="1"/>
  <c r="M41" i="1"/>
  <c r="Q41" i="7" s="1"/>
  <c r="I3" i="9" s="1"/>
  <c r="L41" i="1"/>
  <c r="P41" i="7" s="1"/>
  <c r="H3" i="9" s="1"/>
  <c r="I41" i="1"/>
  <c r="H41" i="1"/>
  <c r="P40" i="1"/>
  <c r="N40" i="1"/>
  <c r="R40" i="7" s="1"/>
  <c r="J40" i="8" s="1"/>
  <c r="M40" i="1"/>
  <c r="Q40" i="7" s="1"/>
  <c r="I40" i="8" s="1"/>
  <c r="L40" i="1"/>
  <c r="I40" i="1"/>
  <c r="H40" i="1"/>
  <c r="P39" i="1"/>
  <c r="N39" i="1"/>
  <c r="M39" i="1"/>
  <c r="L39" i="1"/>
  <c r="I39" i="1"/>
  <c r="H39" i="1"/>
  <c r="P38" i="1"/>
  <c r="N38" i="1"/>
  <c r="R38" i="7" s="1"/>
  <c r="J38" i="8" s="1"/>
  <c r="M38" i="1"/>
  <c r="Q38" i="7" s="1"/>
  <c r="I38" i="8" s="1"/>
  <c r="L38" i="1"/>
  <c r="I38" i="1"/>
  <c r="H38" i="1"/>
  <c r="P37" i="1"/>
  <c r="N37" i="1"/>
  <c r="M37" i="1"/>
  <c r="Q37" i="7" s="1"/>
  <c r="I37" i="8" s="1"/>
  <c r="L37" i="1"/>
  <c r="P37" i="7" s="1"/>
  <c r="H37" i="8" s="1"/>
  <c r="I37" i="1"/>
  <c r="H37" i="1"/>
  <c r="P36" i="1"/>
  <c r="N36" i="1"/>
  <c r="R36" i="7" s="1"/>
  <c r="J36" i="8" s="1"/>
  <c r="M36" i="1"/>
  <c r="Q36" i="7" s="1"/>
  <c r="I36" i="8" s="1"/>
  <c r="L36" i="1"/>
  <c r="I36" i="1"/>
  <c r="H36" i="1"/>
  <c r="P35" i="1"/>
  <c r="N35" i="1"/>
  <c r="R35" i="7" s="1"/>
  <c r="J35" i="8" s="1"/>
  <c r="M35" i="1"/>
  <c r="L35" i="1"/>
  <c r="P35" i="7" s="1"/>
  <c r="H35" i="8" s="1"/>
  <c r="I35" i="1"/>
  <c r="H35" i="1"/>
  <c r="P34" i="1"/>
  <c r="N34" i="1"/>
  <c r="R34" i="7" s="1"/>
  <c r="J34" i="8" s="1"/>
  <c r="M34" i="1"/>
  <c r="Q34" i="7" s="1"/>
  <c r="I34" i="8" s="1"/>
  <c r="L34" i="1"/>
  <c r="I34" i="1"/>
  <c r="H34" i="1"/>
  <c r="P33" i="1"/>
  <c r="N33" i="1"/>
  <c r="R33" i="7" s="1"/>
  <c r="J33" i="8" s="1"/>
  <c r="M33" i="1"/>
  <c r="Q33" i="7" s="1"/>
  <c r="I33" i="8" s="1"/>
  <c r="L33" i="1"/>
  <c r="P33" i="7" s="1"/>
  <c r="H33" i="8" s="1"/>
  <c r="I33" i="1"/>
  <c r="H33" i="1"/>
  <c r="P32" i="1"/>
  <c r="N32" i="1"/>
  <c r="R32" i="7" s="1"/>
  <c r="J32" i="8" s="1"/>
  <c r="M32" i="1"/>
  <c r="L32" i="1"/>
  <c r="I32" i="1"/>
  <c r="H32" i="1"/>
  <c r="P31" i="1"/>
  <c r="N31" i="1"/>
  <c r="R31" i="7" s="1"/>
  <c r="J31" i="8" s="1"/>
  <c r="M31" i="1"/>
  <c r="Q31" i="7" s="1"/>
  <c r="I31" i="8" s="1"/>
  <c r="L31" i="1"/>
  <c r="P31" i="7" s="1"/>
  <c r="H31" i="8" s="1"/>
  <c r="I31" i="1"/>
  <c r="H31" i="1"/>
  <c r="P30" i="1"/>
  <c r="N30" i="1"/>
  <c r="R30" i="7" s="1"/>
  <c r="J30" i="8" s="1"/>
  <c r="M30" i="1"/>
  <c r="Q30" i="7" s="1"/>
  <c r="I30" i="8" s="1"/>
  <c r="L30" i="1"/>
  <c r="I30" i="1"/>
  <c r="H30" i="1"/>
  <c r="P29" i="1"/>
  <c r="N29" i="1"/>
  <c r="R29" i="7" s="1"/>
  <c r="J29" i="8" s="1"/>
  <c r="M29" i="1"/>
  <c r="Q29" i="7" s="1"/>
  <c r="I29" i="8" s="1"/>
  <c r="L29" i="1"/>
  <c r="P29" i="7" s="1"/>
  <c r="H29" i="8" s="1"/>
  <c r="I29" i="1"/>
  <c r="H29" i="1"/>
  <c r="P28" i="1"/>
  <c r="N28" i="1"/>
  <c r="R28" i="7" s="1"/>
  <c r="J28" i="8" s="1"/>
  <c r="M28" i="1"/>
  <c r="Q28" i="7" s="1"/>
  <c r="I28" i="8" s="1"/>
  <c r="L28" i="1"/>
  <c r="I28" i="1"/>
  <c r="H28" i="1"/>
  <c r="P27" i="1"/>
  <c r="N27" i="1"/>
  <c r="R27" i="7" s="1"/>
  <c r="J27" i="8" s="1"/>
  <c r="M27" i="1"/>
  <c r="L27" i="1"/>
  <c r="P27" i="7" s="1"/>
  <c r="H27" i="8" s="1"/>
  <c r="I27" i="1"/>
  <c r="H27" i="1"/>
  <c r="P26" i="1"/>
  <c r="N26" i="1"/>
  <c r="R26" i="7" s="1"/>
  <c r="J26" i="8" s="1"/>
  <c r="M26" i="1"/>
  <c r="Q26" i="7" s="1"/>
  <c r="I26" i="8" s="1"/>
  <c r="L26" i="1"/>
  <c r="I26" i="1"/>
  <c r="H26" i="1"/>
  <c r="P25" i="1"/>
  <c r="N25" i="1"/>
  <c r="R25" i="7" s="1"/>
  <c r="J25" i="8" s="1"/>
  <c r="M25" i="1"/>
  <c r="L25" i="1"/>
  <c r="P25" i="7" s="1"/>
  <c r="H25" i="8" s="1"/>
  <c r="I25" i="1"/>
  <c r="H25" i="1"/>
  <c r="P24" i="1"/>
  <c r="N24" i="1"/>
  <c r="R24" i="7" s="1"/>
  <c r="J24" i="8" s="1"/>
  <c r="M24" i="1"/>
  <c r="Q24" i="7" s="1"/>
  <c r="I24" i="8" s="1"/>
  <c r="L24" i="1"/>
  <c r="I24" i="1"/>
  <c r="H24" i="1"/>
  <c r="P23" i="1"/>
  <c r="N23" i="1"/>
  <c r="R23" i="7" s="1"/>
  <c r="J23" i="8" s="1"/>
  <c r="M23" i="1"/>
  <c r="Q23" i="7" s="1"/>
  <c r="I23" i="8" s="1"/>
  <c r="L23" i="1"/>
  <c r="P23" i="7" s="1"/>
  <c r="H23" i="8" s="1"/>
  <c r="I23" i="1"/>
  <c r="H23" i="1"/>
  <c r="P22" i="1"/>
  <c r="N22" i="1"/>
  <c r="R22" i="7" s="1"/>
  <c r="J22" i="8" s="1"/>
  <c r="M22" i="1"/>
  <c r="Q22" i="7" s="1"/>
  <c r="I22" i="8" s="1"/>
  <c r="L22" i="1"/>
  <c r="I22" i="1"/>
  <c r="H22" i="1"/>
  <c r="P21" i="1"/>
  <c r="N21" i="1"/>
  <c r="R21" i="7" s="1"/>
  <c r="J21" i="8" s="1"/>
  <c r="M21" i="1"/>
  <c r="L21" i="1"/>
  <c r="P21" i="7" s="1"/>
  <c r="H21" i="8" s="1"/>
  <c r="I21" i="1"/>
  <c r="H21" i="1"/>
  <c r="P20" i="1"/>
  <c r="N20" i="1"/>
  <c r="R20" i="7" s="1"/>
  <c r="J20" i="8" s="1"/>
  <c r="M20" i="1"/>
  <c r="Q20" i="7" s="1"/>
  <c r="I20" i="8" s="1"/>
  <c r="L20" i="1"/>
  <c r="I20" i="1"/>
  <c r="H20" i="1"/>
  <c r="P19" i="1"/>
  <c r="N19" i="1"/>
  <c r="R19" i="7" s="1"/>
  <c r="J19" i="8" s="1"/>
  <c r="M19" i="1"/>
  <c r="L19" i="1"/>
  <c r="P19" i="7" s="1"/>
  <c r="H19" i="8" s="1"/>
  <c r="I19" i="1"/>
  <c r="H19" i="1"/>
  <c r="P18" i="1"/>
  <c r="N18" i="1"/>
  <c r="R18" i="7" s="1"/>
  <c r="J18" i="8" s="1"/>
  <c r="M18" i="1"/>
  <c r="L18" i="1"/>
  <c r="I18" i="1"/>
  <c r="H18" i="1"/>
  <c r="P17" i="1"/>
  <c r="N17" i="1"/>
  <c r="M17" i="1"/>
  <c r="Q17" i="7" s="1"/>
  <c r="I17" i="8" s="1"/>
  <c r="L17" i="1"/>
  <c r="P17" i="7" s="1"/>
  <c r="H17" i="8" s="1"/>
  <c r="I17" i="1"/>
  <c r="H17" i="1"/>
  <c r="P16" i="1"/>
  <c r="N16" i="1"/>
  <c r="R16" i="7" s="1"/>
  <c r="J16" i="8" s="1"/>
  <c r="M16" i="1"/>
  <c r="L16" i="1"/>
  <c r="P16" i="7" s="1"/>
  <c r="H16" i="8" s="1"/>
  <c r="I16" i="1"/>
  <c r="H16" i="1"/>
  <c r="P15" i="1"/>
  <c r="N15" i="1"/>
  <c r="R15" i="7" s="1"/>
  <c r="J15" i="8" s="1"/>
  <c r="M15" i="1"/>
  <c r="Q15" i="7" s="1"/>
  <c r="I15" i="8" s="1"/>
  <c r="L15" i="1"/>
  <c r="P15" i="7" s="1"/>
  <c r="H15" i="8" s="1"/>
  <c r="I15" i="1"/>
  <c r="H15" i="1"/>
  <c r="P14" i="1"/>
  <c r="N14" i="1"/>
  <c r="R14" i="7" s="1"/>
  <c r="J14" i="8" s="1"/>
  <c r="M14" i="1"/>
  <c r="L14" i="1"/>
  <c r="I14" i="1"/>
  <c r="H14" i="1"/>
  <c r="P13" i="1"/>
  <c r="O13" i="1"/>
  <c r="F13" i="7" s="1"/>
  <c r="N13" i="1"/>
  <c r="M13" i="1"/>
  <c r="Q13" i="7" s="1"/>
  <c r="I13" i="8" s="1"/>
  <c r="L13" i="1"/>
  <c r="I13" i="1"/>
  <c r="H13" i="1"/>
  <c r="P12" i="1"/>
  <c r="N12" i="1"/>
  <c r="R12" i="7" s="1"/>
  <c r="J12" i="8" s="1"/>
  <c r="M12" i="1"/>
  <c r="Q12" i="7" s="1"/>
  <c r="I12" i="8" s="1"/>
  <c r="L12" i="1"/>
  <c r="I12" i="1"/>
  <c r="H12" i="1"/>
  <c r="P11" i="1"/>
  <c r="N11" i="1"/>
  <c r="R11" i="7" s="1"/>
  <c r="J11" i="8" s="1"/>
  <c r="M11" i="1"/>
  <c r="Q11" i="7" s="1"/>
  <c r="I11" i="8" s="1"/>
  <c r="L11" i="1"/>
  <c r="I11" i="1"/>
  <c r="H11" i="1"/>
  <c r="P10" i="1"/>
  <c r="N10" i="1"/>
  <c r="R10" i="7" s="1"/>
  <c r="J10" i="8" s="1"/>
  <c r="M10" i="1"/>
  <c r="Q10" i="7" s="1"/>
  <c r="I10" i="8" s="1"/>
  <c r="L10" i="1"/>
  <c r="I10" i="1"/>
  <c r="H10" i="1"/>
  <c r="P9" i="1"/>
  <c r="N9" i="1"/>
  <c r="R9" i="7" s="1"/>
  <c r="J9" i="8" s="1"/>
  <c r="M9" i="1"/>
  <c r="Q9" i="7" s="1"/>
  <c r="I9" i="8" s="1"/>
  <c r="L9" i="1"/>
  <c r="I9" i="1"/>
  <c r="O9" i="1" s="1"/>
  <c r="F9" i="7" s="1"/>
  <c r="H9" i="1"/>
  <c r="P8" i="1"/>
  <c r="N8" i="1"/>
  <c r="R8" i="7" s="1"/>
  <c r="J8" i="8" s="1"/>
  <c r="M8" i="1"/>
  <c r="L8" i="1"/>
  <c r="I8" i="1"/>
  <c r="H8" i="1"/>
  <c r="P7" i="1"/>
  <c r="N7" i="1"/>
  <c r="R7" i="7" s="1"/>
  <c r="J7" i="8" s="1"/>
  <c r="M7" i="1"/>
  <c r="Q7" i="7" s="1"/>
  <c r="I7" i="8" s="1"/>
  <c r="L7" i="1"/>
  <c r="I7" i="1"/>
  <c r="H7" i="1"/>
  <c r="P6" i="1"/>
  <c r="N6" i="1"/>
  <c r="M6" i="1"/>
  <c r="Q6" i="7" s="1"/>
  <c r="I6" i="8" s="1"/>
  <c r="L6" i="1"/>
  <c r="I6" i="1"/>
  <c r="H6" i="1"/>
  <c r="P5" i="1"/>
  <c r="N5" i="1"/>
  <c r="R5" i="7" s="1"/>
  <c r="J5" i="8" s="1"/>
  <c r="M5" i="1"/>
  <c r="Q5" i="7" s="1"/>
  <c r="I5" i="8" s="1"/>
  <c r="L5" i="1"/>
  <c r="I5" i="1"/>
  <c r="H5" i="1"/>
  <c r="P4" i="1"/>
  <c r="N4" i="1"/>
  <c r="R4" i="7" s="1"/>
  <c r="J4" i="8" s="1"/>
  <c r="M4" i="1"/>
  <c r="Q4" i="7" s="1"/>
  <c r="I4" i="8" s="1"/>
  <c r="L4" i="1"/>
  <c r="I4" i="1"/>
  <c r="H4" i="1"/>
  <c r="P3" i="1"/>
  <c r="N3" i="1"/>
  <c r="M3" i="1"/>
  <c r="Q3" i="7" s="1"/>
  <c r="I3" i="8" s="1"/>
  <c r="L3" i="1"/>
  <c r="I3" i="1"/>
  <c r="H3" i="1"/>
  <c r="Q19" i="7" l="1"/>
  <c r="I19" i="8" s="1"/>
  <c r="Q21" i="7"/>
  <c r="I21" i="8" s="1"/>
  <c r="Q25" i="7"/>
  <c r="I25" i="8" s="1"/>
  <c r="Q27" i="7"/>
  <c r="I27" i="8" s="1"/>
  <c r="Q35" i="7"/>
  <c r="I35" i="8" s="1"/>
  <c r="Q43" i="7"/>
  <c r="I5" i="9" s="1"/>
  <c r="Q51" i="7"/>
  <c r="I13" i="9" s="1"/>
  <c r="Q83" i="7"/>
  <c r="I45" i="9" s="1"/>
  <c r="Q85" i="7"/>
  <c r="I47" i="9" s="1"/>
  <c r="Q89" i="7"/>
  <c r="I51" i="9" s="1"/>
  <c r="Q93" i="7"/>
  <c r="I55" i="9" s="1"/>
  <c r="Q109" i="7"/>
  <c r="I71" i="9" s="1"/>
  <c r="Q111" i="7"/>
  <c r="I73" i="9" s="1"/>
  <c r="Q113" i="7"/>
  <c r="I75" i="9" s="1"/>
  <c r="R91" i="7"/>
  <c r="J53" i="9" s="1"/>
  <c r="R3" i="7"/>
  <c r="J3" i="8" s="1"/>
  <c r="R17" i="7"/>
  <c r="J17" i="8" s="1"/>
  <c r="Q54" i="7"/>
  <c r="I16" i="9" s="1"/>
  <c r="Q8" i="7"/>
  <c r="I8" i="8" s="1"/>
  <c r="R37" i="7"/>
  <c r="J37" i="8" s="1"/>
  <c r="R53" i="7"/>
  <c r="J15" i="9" s="1"/>
  <c r="P70" i="7"/>
  <c r="H32" i="9" s="1"/>
  <c r="R79" i="7"/>
  <c r="J41" i="9" s="1"/>
  <c r="P84" i="7"/>
  <c r="H46" i="9" s="1"/>
  <c r="R89" i="7"/>
  <c r="J51" i="9" s="1"/>
  <c r="R101" i="7"/>
  <c r="J63" i="9" s="1"/>
  <c r="P3" i="2"/>
  <c r="P89" i="2"/>
  <c r="N42" i="7" s="1"/>
  <c r="F4" i="9" s="1"/>
  <c r="R41" i="7"/>
  <c r="J3" i="9" s="1"/>
  <c r="R47" i="7"/>
  <c r="J9" i="9" s="1"/>
  <c r="R6" i="7"/>
  <c r="J6" i="8" s="1"/>
  <c r="Q14" i="7"/>
  <c r="I14" i="8" s="1"/>
  <c r="Q18" i="7"/>
  <c r="I18" i="8" s="1"/>
  <c r="Q32" i="7"/>
  <c r="I32" i="8" s="1"/>
  <c r="Q42" i="7"/>
  <c r="I4" i="9" s="1"/>
  <c r="Q46" i="7"/>
  <c r="I8" i="9" s="1"/>
  <c r="Q50" i="7"/>
  <c r="I12" i="9" s="1"/>
  <c r="Q82" i="7"/>
  <c r="I44" i="9" s="1"/>
  <c r="Q100" i="7"/>
  <c r="I62" i="9" s="1"/>
  <c r="P87" i="2"/>
  <c r="N111" i="7" s="1"/>
  <c r="F73" i="9" s="1"/>
  <c r="P95" i="2"/>
  <c r="P103" i="2"/>
  <c r="U103" i="2" s="1"/>
  <c r="G67" i="7" s="1"/>
  <c r="R56" i="7"/>
  <c r="J18" i="9" s="1"/>
  <c r="P65" i="7"/>
  <c r="H27" i="9" s="1"/>
  <c r="R72" i="7"/>
  <c r="J34" i="9" s="1"/>
  <c r="R74" i="7"/>
  <c r="J36" i="9" s="1"/>
  <c r="P75" i="7"/>
  <c r="H37" i="9" s="1"/>
  <c r="R76" i="7"/>
  <c r="J38" i="9" s="1"/>
  <c r="R88" i="7"/>
  <c r="J50" i="9" s="1"/>
  <c r="R94" i="7"/>
  <c r="J56" i="9" s="1"/>
  <c r="R102" i="7"/>
  <c r="J64" i="9" s="1"/>
  <c r="R104" i="7"/>
  <c r="J66" i="9" s="1"/>
  <c r="R106" i="7"/>
  <c r="J68" i="9" s="1"/>
  <c r="R110" i="7"/>
  <c r="J72" i="9" s="1"/>
  <c r="P111" i="7"/>
  <c r="H73" i="9" s="1"/>
  <c r="O7" i="2"/>
  <c r="U7" i="2" s="1"/>
  <c r="G113" i="7" s="1"/>
  <c r="P7" i="2"/>
  <c r="O11" i="2"/>
  <c r="P11" i="2"/>
  <c r="N82" i="7" s="1"/>
  <c r="F44" i="9" s="1"/>
  <c r="O15" i="2"/>
  <c r="P15" i="2"/>
  <c r="O19" i="2"/>
  <c r="P19" i="2"/>
  <c r="O23" i="2"/>
  <c r="U23" i="2" s="1"/>
  <c r="G83" i="7" s="1"/>
  <c r="P23" i="2"/>
  <c r="O27" i="2"/>
  <c r="P27" i="2"/>
  <c r="N32" i="7" s="1"/>
  <c r="F32" i="8" s="1"/>
  <c r="O31" i="2"/>
  <c r="P31" i="2"/>
  <c r="O35" i="2"/>
  <c r="P35" i="2"/>
  <c r="O39" i="2"/>
  <c r="P39" i="2"/>
  <c r="O43" i="2"/>
  <c r="P43" i="2"/>
  <c r="O47" i="2"/>
  <c r="U47" i="2" s="1"/>
  <c r="G5" i="7" s="1"/>
  <c r="P47" i="2"/>
  <c r="O51" i="2"/>
  <c r="P51" i="2"/>
  <c r="O55" i="2"/>
  <c r="P55" i="2"/>
  <c r="N108" i="7" s="1"/>
  <c r="F70" i="9" s="1"/>
  <c r="O59" i="2"/>
  <c r="P59" i="2"/>
  <c r="O63" i="2"/>
  <c r="U63" i="2" s="1"/>
  <c r="G50" i="7" s="1"/>
  <c r="P63" i="2"/>
  <c r="N50" i="7" s="1"/>
  <c r="F12" i="9" s="1"/>
  <c r="O67" i="2"/>
  <c r="P67" i="2"/>
  <c r="O71" i="2"/>
  <c r="P71" i="2"/>
  <c r="N100" i="7" s="1"/>
  <c r="F62" i="9" s="1"/>
  <c r="O75" i="2"/>
  <c r="P75" i="2"/>
  <c r="O79" i="2"/>
  <c r="U79" i="2" s="1"/>
  <c r="G46" i="7" s="1"/>
  <c r="P79" i="2"/>
  <c r="N46" i="7" s="1"/>
  <c r="F8" i="9" s="1"/>
  <c r="O83" i="2"/>
  <c r="P83" i="2"/>
  <c r="P6" i="2"/>
  <c r="N31" i="7" s="1"/>
  <c r="F31" i="8" s="1"/>
  <c r="O6" i="2"/>
  <c r="P10" i="2"/>
  <c r="N23" i="7" s="1"/>
  <c r="F23" i="8" s="1"/>
  <c r="O10" i="2"/>
  <c r="P14" i="2"/>
  <c r="N28" i="7" s="1"/>
  <c r="F28" i="8" s="1"/>
  <c r="O14" i="2"/>
  <c r="P18" i="2"/>
  <c r="N65" i="7" s="1"/>
  <c r="F27" i="9" s="1"/>
  <c r="O18" i="2"/>
  <c r="P22" i="2"/>
  <c r="N77" i="7" s="1"/>
  <c r="F39" i="9" s="1"/>
  <c r="O22" i="2"/>
  <c r="P26" i="2"/>
  <c r="N38" i="7" s="1"/>
  <c r="F38" i="8" s="1"/>
  <c r="O26" i="2"/>
  <c r="P30" i="2"/>
  <c r="N98" i="7" s="1"/>
  <c r="F60" i="9" s="1"/>
  <c r="O30" i="2"/>
  <c r="P34" i="2"/>
  <c r="N30" i="7" s="1"/>
  <c r="F30" i="8" s="1"/>
  <c r="O34" i="2"/>
  <c r="P38" i="2"/>
  <c r="N15" i="7" s="1"/>
  <c r="F15" i="8" s="1"/>
  <c r="O38" i="2"/>
  <c r="P42" i="2"/>
  <c r="N26" i="7" s="1"/>
  <c r="F26" i="8" s="1"/>
  <c r="O42" i="2"/>
  <c r="P46" i="2"/>
  <c r="N10" i="7" s="1"/>
  <c r="F10" i="8" s="1"/>
  <c r="O46" i="2"/>
  <c r="P50" i="2"/>
  <c r="N11" i="7" s="1"/>
  <c r="F11" i="8" s="1"/>
  <c r="O50" i="2"/>
  <c r="P54" i="2"/>
  <c r="N29" i="7" s="1"/>
  <c r="F29" i="8" s="1"/>
  <c r="O54" i="2"/>
  <c r="P58" i="2"/>
  <c r="N59" i="7" s="1"/>
  <c r="F21" i="9" s="1"/>
  <c r="O58" i="2"/>
  <c r="P62" i="2"/>
  <c r="N92" i="7" s="1"/>
  <c r="F54" i="9" s="1"/>
  <c r="O62" i="2"/>
  <c r="P66" i="2"/>
  <c r="O66" i="2"/>
  <c r="P70" i="2"/>
  <c r="N68" i="7" s="1"/>
  <c r="F30" i="9" s="1"/>
  <c r="O70" i="2"/>
  <c r="P74" i="2"/>
  <c r="N64" i="7" s="1"/>
  <c r="F26" i="9" s="1"/>
  <c r="O74" i="2"/>
  <c r="P78" i="2"/>
  <c r="N22" i="7" s="1"/>
  <c r="F22" i="8" s="1"/>
  <c r="O78" i="2"/>
  <c r="P82" i="2"/>
  <c r="N55" i="7" s="1"/>
  <c r="F17" i="9" s="1"/>
  <c r="O82" i="2"/>
  <c r="O5" i="2"/>
  <c r="U5" i="2" s="1"/>
  <c r="G34" i="7" s="1"/>
  <c r="P5" i="2"/>
  <c r="N34" i="7" s="1"/>
  <c r="F34" i="8" s="1"/>
  <c r="O9" i="2"/>
  <c r="P9" i="2"/>
  <c r="O13" i="2"/>
  <c r="P13" i="2"/>
  <c r="O17" i="2"/>
  <c r="P17" i="2"/>
  <c r="O21" i="2"/>
  <c r="U21" i="2" s="1"/>
  <c r="G78" i="7" s="1"/>
  <c r="P21" i="2"/>
  <c r="N78" i="7" s="1"/>
  <c r="F40" i="9" s="1"/>
  <c r="O25" i="2"/>
  <c r="P25" i="2"/>
  <c r="O29" i="2"/>
  <c r="P29" i="2"/>
  <c r="O33" i="2"/>
  <c r="P33" i="2"/>
  <c r="N96" i="7" s="1"/>
  <c r="F58" i="9" s="1"/>
  <c r="O37" i="2"/>
  <c r="U37" i="2" s="1"/>
  <c r="G33" i="7" s="1"/>
  <c r="P37" i="2"/>
  <c r="O41" i="2"/>
  <c r="P41" i="2"/>
  <c r="N40" i="7" s="1"/>
  <c r="F40" i="8" s="1"/>
  <c r="O45" i="2"/>
  <c r="P45" i="2"/>
  <c r="O49" i="2"/>
  <c r="P49" i="2"/>
  <c r="O53" i="2"/>
  <c r="U53" i="2" s="1"/>
  <c r="G12" i="7" s="1"/>
  <c r="P53" i="2"/>
  <c r="O57" i="2"/>
  <c r="P57" i="2"/>
  <c r="N58" i="7" s="1"/>
  <c r="F20" i="9" s="1"/>
  <c r="O61" i="2"/>
  <c r="P61" i="2"/>
  <c r="O65" i="2"/>
  <c r="P65" i="2"/>
  <c r="O69" i="2"/>
  <c r="U69" i="2" s="1"/>
  <c r="G63" i="7" s="1"/>
  <c r="P69" i="2"/>
  <c r="O73" i="2"/>
  <c r="P73" i="2"/>
  <c r="N112" i="7" s="1"/>
  <c r="F74" i="9" s="1"/>
  <c r="O77" i="2"/>
  <c r="P77" i="2"/>
  <c r="N48" i="7" s="1"/>
  <c r="F10" i="9" s="1"/>
  <c r="O81" i="2"/>
  <c r="P81" i="2"/>
  <c r="O85" i="2"/>
  <c r="P85" i="2"/>
  <c r="P4" i="2"/>
  <c r="N44" i="7" s="1"/>
  <c r="F6" i="9" s="1"/>
  <c r="O4" i="2"/>
  <c r="P8" i="2"/>
  <c r="U8" i="2" s="1"/>
  <c r="O8" i="2"/>
  <c r="P12" i="2"/>
  <c r="N6" i="7" s="1"/>
  <c r="F6" i="8" s="1"/>
  <c r="O12" i="2"/>
  <c r="P16" i="2"/>
  <c r="N56" i="7" s="1"/>
  <c r="F18" i="9" s="1"/>
  <c r="O16" i="2"/>
  <c r="P20" i="2"/>
  <c r="N53" i="7" s="1"/>
  <c r="F15" i="9" s="1"/>
  <c r="O20" i="2"/>
  <c r="P24" i="2"/>
  <c r="N106" i="7" s="1"/>
  <c r="F68" i="9" s="1"/>
  <c r="O24" i="2"/>
  <c r="P28" i="2"/>
  <c r="N79" i="7" s="1"/>
  <c r="F41" i="9" s="1"/>
  <c r="O28" i="2"/>
  <c r="P32" i="2"/>
  <c r="U32" i="2" s="1"/>
  <c r="G76" i="7" s="1"/>
  <c r="O32" i="2"/>
  <c r="P36" i="2"/>
  <c r="N36" i="7" s="1"/>
  <c r="F36" i="8" s="1"/>
  <c r="O36" i="2"/>
  <c r="P40" i="2"/>
  <c r="N37" i="7" s="1"/>
  <c r="F37" i="8" s="1"/>
  <c r="O40" i="2"/>
  <c r="P44" i="2"/>
  <c r="N20" i="7" s="1"/>
  <c r="F20" i="8" s="1"/>
  <c r="O44" i="2"/>
  <c r="P48" i="2"/>
  <c r="N24" i="7" s="1"/>
  <c r="F24" i="8" s="1"/>
  <c r="O48" i="2"/>
  <c r="P52" i="2"/>
  <c r="N3" i="7" s="1"/>
  <c r="F3" i="8" s="1"/>
  <c r="O52" i="2"/>
  <c r="P56" i="2"/>
  <c r="N47" i="7" s="1"/>
  <c r="F9" i="9" s="1"/>
  <c r="O56" i="2"/>
  <c r="P60" i="2"/>
  <c r="N88" i="7" s="1"/>
  <c r="F50" i="9" s="1"/>
  <c r="O60" i="2"/>
  <c r="P64" i="2"/>
  <c r="U64" i="2" s="1"/>
  <c r="O64" i="2"/>
  <c r="P68" i="2"/>
  <c r="N41" i="7" s="1"/>
  <c r="F3" i="9" s="1"/>
  <c r="O68" i="2"/>
  <c r="P72" i="2"/>
  <c r="N101" i="7" s="1"/>
  <c r="F63" i="9" s="1"/>
  <c r="O72" i="2"/>
  <c r="P76" i="2"/>
  <c r="N110" i="7" s="1"/>
  <c r="F72" i="9" s="1"/>
  <c r="O76" i="2"/>
  <c r="P80" i="2"/>
  <c r="N102" i="7" s="1"/>
  <c r="F64" i="9" s="1"/>
  <c r="O80" i="2"/>
  <c r="P84" i="2"/>
  <c r="N104" i="7" s="1"/>
  <c r="F66" i="9" s="1"/>
  <c r="O84" i="2"/>
  <c r="O109" i="2"/>
  <c r="U109" i="2" s="1"/>
  <c r="G80" i="7" s="1"/>
  <c r="O111" i="2"/>
  <c r="U111" i="2" s="1"/>
  <c r="G72" i="7" s="1"/>
  <c r="O113" i="2"/>
  <c r="U113" i="2" s="1"/>
  <c r="G62" i="7" s="1"/>
  <c r="U85" i="2"/>
  <c r="G97" i="7" s="1"/>
  <c r="P22" i="7"/>
  <c r="H22" i="8" s="1"/>
  <c r="P42" i="7"/>
  <c r="H4" i="9" s="1"/>
  <c r="P46" i="7"/>
  <c r="H8" i="9" s="1"/>
  <c r="P48" i="7"/>
  <c r="H10" i="9" s="1"/>
  <c r="P54" i="7"/>
  <c r="H16" i="9" s="1"/>
  <c r="P62" i="7"/>
  <c r="H24" i="9" s="1"/>
  <c r="P72" i="7"/>
  <c r="H34" i="9" s="1"/>
  <c r="R95" i="7"/>
  <c r="J57" i="9" s="1"/>
  <c r="R103" i="7"/>
  <c r="J65" i="9" s="1"/>
  <c r="R107" i="7"/>
  <c r="J69" i="9" s="1"/>
  <c r="R13" i="7"/>
  <c r="J13" i="8" s="1"/>
  <c r="U58" i="7"/>
  <c r="L20" i="9" s="1"/>
  <c r="U78" i="7"/>
  <c r="L40" i="9" s="1"/>
  <c r="U3" i="2"/>
  <c r="G35" i="7" s="1"/>
  <c r="P4" i="7"/>
  <c r="H4" i="8" s="1"/>
  <c r="P8" i="7"/>
  <c r="H8" i="8" s="1"/>
  <c r="P10" i="7"/>
  <c r="H10" i="8" s="1"/>
  <c r="P12" i="7"/>
  <c r="H12" i="8" s="1"/>
  <c r="Q49" i="7"/>
  <c r="I11" i="9" s="1"/>
  <c r="Q61" i="7"/>
  <c r="I23" i="9" s="1"/>
  <c r="Q73" i="7"/>
  <c r="I35" i="9" s="1"/>
  <c r="Q91" i="7"/>
  <c r="I53" i="9" s="1"/>
  <c r="Q95" i="7"/>
  <c r="I57" i="9" s="1"/>
  <c r="Q103" i="7"/>
  <c r="I65" i="9" s="1"/>
  <c r="Q107" i="7"/>
  <c r="I69" i="9" s="1"/>
  <c r="U91" i="2"/>
  <c r="G66" i="7" s="1"/>
  <c r="U93" i="2"/>
  <c r="G54" i="7" s="1"/>
  <c r="U95" i="2"/>
  <c r="G75" i="7" s="1"/>
  <c r="U97" i="2"/>
  <c r="G71" i="7" s="1"/>
  <c r="U99" i="2"/>
  <c r="G89" i="7" s="1"/>
  <c r="U101" i="2"/>
  <c r="G17" i="7" s="1"/>
  <c r="U105" i="2"/>
  <c r="G43" i="7" s="1"/>
  <c r="U107" i="2"/>
  <c r="G74" i="7" s="1"/>
  <c r="P14" i="7"/>
  <c r="H14" i="8" s="1"/>
  <c r="P20" i="7"/>
  <c r="H20" i="8" s="1"/>
  <c r="P26" i="7"/>
  <c r="H26" i="8" s="1"/>
  <c r="P30" i="7"/>
  <c r="H30" i="8" s="1"/>
  <c r="P38" i="7"/>
  <c r="H38" i="8" s="1"/>
  <c r="P40" i="7"/>
  <c r="H40" i="8" s="1"/>
  <c r="P50" i="7"/>
  <c r="H12" i="9" s="1"/>
  <c r="P56" i="7"/>
  <c r="H18" i="9" s="1"/>
  <c r="P58" i="7"/>
  <c r="H20" i="9" s="1"/>
  <c r="P64" i="7"/>
  <c r="H26" i="9" s="1"/>
  <c r="P66" i="7"/>
  <c r="H28" i="9" s="1"/>
  <c r="P68" i="7"/>
  <c r="H30" i="9" s="1"/>
  <c r="P74" i="7"/>
  <c r="H36" i="9" s="1"/>
  <c r="P76" i="7"/>
  <c r="H38" i="9" s="1"/>
  <c r="P78" i="7"/>
  <c r="H40" i="9" s="1"/>
  <c r="P80" i="7"/>
  <c r="H42" i="9" s="1"/>
  <c r="P88" i="7"/>
  <c r="H50" i="9" s="1"/>
  <c r="P92" i="7"/>
  <c r="H54" i="9" s="1"/>
  <c r="P96" i="7"/>
  <c r="H58" i="9" s="1"/>
  <c r="P98" i="7"/>
  <c r="H60" i="9" s="1"/>
  <c r="P100" i="7"/>
  <c r="H62" i="9" s="1"/>
  <c r="P102" i="7"/>
  <c r="H64" i="9" s="1"/>
  <c r="P104" i="7"/>
  <c r="H66" i="9" s="1"/>
  <c r="P106" i="7"/>
  <c r="H68" i="9" s="1"/>
  <c r="P108" i="7"/>
  <c r="H70" i="9" s="1"/>
  <c r="P110" i="7"/>
  <c r="H72" i="9" s="1"/>
  <c r="P112" i="7"/>
  <c r="H74" i="9" s="1"/>
  <c r="P24" i="7"/>
  <c r="H24" i="8" s="1"/>
  <c r="P32" i="7"/>
  <c r="H32" i="8" s="1"/>
  <c r="P36" i="7"/>
  <c r="H36" i="8" s="1"/>
  <c r="P3" i="7"/>
  <c r="H3" i="8" s="1"/>
  <c r="P5" i="7"/>
  <c r="H5" i="8" s="1"/>
  <c r="P7" i="7"/>
  <c r="H7" i="8" s="1"/>
  <c r="P9" i="7"/>
  <c r="H9" i="8" s="1"/>
  <c r="P11" i="7"/>
  <c r="H11" i="8" s="1"/>
  <c r="Q16" i="7"/>
  <c r="I16" i="8" s="1"/>
  <c r="Q70" i="7"/>
  <c r="I32" i="9" s="1"/>
  <c r="Q84" i="7"/>
  <c r="I46" i="9" s="1"/>
  <c r="Q86" i="7"/>
  <c r="I48" i="9" s="1"/>
  <c r="Q90" i="7"/>
  <c r="I52" i="9" s="1"/>
  <c r="Q94" i="7"/>
  <c r="I56" i="9" s="1"/>
  <c r="P6" i="7"/>
  <c r="H6" i="8" s="1"/>
  <c r="P18" i="7"/>
  <c r="H18" i="8" s="1"/>
  <c r="P44" i="7"/>
  <c r="H6" i="9" s="1"/>
  <c r="P82" i="7"/>
  <c r="H44" i="9" s="1"/>
  <c r="P28" i="7"/>
  <c r="H28" i="8" s="1"/>
  <c r="P34" i="7"/>
  <c r="H34" i="8" s="1"/>
  <c r="P13" i="7"/>
  <c r="H13" i="8" s="1"/>
  <c r="U6" i="2"/>
  <c r="G31" i="7" s="1"/>
  <c r="U70" i="2"/>
  <c r="G68" i="7" s="1"/>
  <c r="I77" i="7"/>
  <c r="I60" i="7"/>
  <c r="I39" i="7"/>
  <c r="I52" i="7"/>
  <c r="O5" i="1"/>
  <c r="F5" i="7" s="1"/>
  <c r="O4" i="1"/>
  <c r="F4" i="7" s="1"/>
  <c r="O8" i="1"/>
  <c r="F8" i="7" s="1"/>
  <c r="O12" i="1"/>
  <c r="F12" i="7" s="1"/>
  <c r="O7" i="1"/>
  <c r="F7" i="7" s="1"/>
  <c r="O15" i="1"/>
  <c r="F15" i="7" s="1"/>
  <c r="O19" i="1"/>
  <c r="F19" i="7" s="1"/>
  <c r="O23" i="1"/>
  <c r="F23" i="7" s="1"/>
  <c r="O31" i="1"/>
  <c r="F31" i="7" s="1"/>
  <c r="O39" i="1"/>
  <c r="O43" i="1"/>
  <c r="F43" i="7" s="1"/>
  <c r="O51" i="1"/>
  <c r="F51" i="7" s="1"/>
  <c r="O55" i="1"/>
  <c r="F55" i="7" s="1"/>
  <c r="O59" i="1"/>
  <c r="F59" i="7" s="1"/>
  <c r="P77" i="7"/>
  <c r="H39" i="9" s="1"/>
  <c r="P60" i="7"/>
  <c r="H22" i="9" s="1"/>
  <c r="O67" i="1"/>
  <c r="F67" i="7" s="1"/>
  <c r="O75" i="1"/>
  <c r="F75" i="7" s="1"/>
  <c r="O83" i="1"/>
  <c r="F83" i="7" s="1"/>
  <c r="O103" i="1"/>
  <c r="F103" i="7" s="1"/>
  <c r="O107" i="1"/>
  <c r="F107" i="7" s="1"/>
  <c r="O111" i="1"/>
  <c r="F111" i="7" s="1"/>
  <c r="O39" i="7"/>
  <c r="G39" i="8" s="1"/>
  <c r="O52" i="7"/>
  <c r="G14" i="9" s="1"/>
  <c r="O86" i="2"/>
  <c r="U86" i="2" s="1"/>
  <c r="G49" i="7" s="1"/>
  <c r="O88" i="2"/>
  <c r="U88" i="2" s="1"/>
  <c r="G91" i="7" s="1"/>
  <c r="O90" i="2"/>
  <c r="U90" i="2" s="1"/>
  <c r="G95" i="7" s="1"/>
  <c r="O92" i="2"/>
  <c r="U92" i="2" s="1"/>
  <c r="G86" i="7" s="1"/>
  <c r="O94" i="2"/>
  <c r="U94" i="2" s="1"/>
  <c r="G70" i="7" s="1"/>
  <c r="O96" i="2"/>
  <c r="U96" i="2" s="1"/>
  <c r="G103" i="7" s="1"/>
  <c r="O98" i="2"/>
  <c r="U98" i="2" s="1"/>
  <c r="O100" i="2"/>
  <c r="U100" i="2" s="1"/>
  <c r="G16" i="7" s="1"/>
  <c r="O102" i="2"/>
  <c r="U102" i="2" s="1"/>
  <c r="G84" i="7" s="1"/>
  <c r="O104" i="2"/>
  <c r="U104" i="2" s="1"/>
  <c r="G90" i="7" s="1"/>
  <c r="O106" i="2"/>
  <c r="U106" i="2" s="1"/>
  <c r="G94" i="7" s="1"/>
  <c r="O74" i="7"/>
  <c r="G36" i="9" s="1"/>
  <c r="O108" i="2"/>
  <c r="U108" i="2" s="1"/>
  <c r="G61" i="7" s="1"/>
  <c r="O110" i="2"/>
  <c r="U110" i="2" s="1"/>
  <c r="G107" i="7" s="1"/>
  <c r="O112" i="2"/>
  <c r="U112" i="2" s="1"/>
  <c r="G73" i="7" s="1"/>
  <c r="O3" i="3"/>
  <c r="U3" i="3" s="1"/>
  <c r="H3" i="7" s="1"/>
  <c r="O5" i="3"/>
  <c r="U5" i="3" s="1"/>
  <c r="H5" i="7" s="1"/>
  <c r="O7" i="3"/>
  <c r="U7" i="3" s="1"/>
  <c r="H7" i="7" s="1"/>
  <c r="O9" i="3"/>
  <c r="U9" i="3" s="1"/>
  <c r="H9" i="7" s="1"/>
  <c r="O11" i="3"/>
  <c r="U11" i="3" s="1"/>
  <c r="H11" i="7" s="1"/>
  <c r="O13" i="3"/>
  <c r="U13" i="3" s="1"/>
  <c r="H13" i="7" s="1"/>
  <c r="O15" i="3"/>
  <c r="U15" i="3" s="1"/>
  <c r="H15" i="7" s="1"/>
  <c r="O17" i="3"/>
  <c r="U17" i="3" s="1"/>
  <c r="H17" i="7" s="1"/>
  <c r="O19" i="3"/>
  <c r="U19" i="3" s="1"/>
  <c r="H19" i="7" s="1"/>
  <c r="O21" i="3"/>
  <c r="U21" i="3" s="1"/>
  <c r="H21" i="7" s="1"/>
  <c r="O23" i="3"/>
  <c r="U23" i="3" s="1"/>
  <c r="H23" i="7" s="1"/>
  <c r="O25" i="3"/>
  <c r="U25" i="3" s="1"/>
  <c r="H25" i="7" s="1"/>
  <c r="O27" i="3"/>
  <c r="U27" i="3" s="1"/>
  <c r="H27" i="7" s="1"/>
  <c r="O29" i="3"/>
  <c r="U29" i="3" s="1"/>
  <c r="H29" i="7" s="1"/>
  <c r="O31" i="3"/>
  <c r="U31" i="3" s="1"/>
  <c r="H31" i="7" s="1"/>
  <c r="O33" i="3"/>
  <c r="U33" i="3" s="1"/>
  <c r="H33" i="7" s="1"/>
  <c r="O35" i="3"/>
  <c r="U35" i="3" s="1"/>
  <c r="H35" i="7" s="1"/>
  <c r="O37" i="3"/>
  <c r="U37" i="3" s="1"/>
  <c r="H37" i="7" s="1"/>
  <c r="O39" i="3"/>
  <c r="U39" i="3" s="1"/>
  <c r="O41" i="3"/>
  <c r="U41" i="3" s="1"/>
  <c r="H41" i="7" s="1"/>
  <c r="O43" i="3"/>
  <c r="U43" i="3" s="1"/>
  <c r="H43" i="7" s="1"/>
  <c r="O45" i="3"/>
  <c r="U45" i="3" s="1"/>
  <c r="H45" i="7" s="1"/>
  <c r="O47" i="3"/>
  <c r="U47" i="3" s="1"/>
  <c r="H47" i="7" s="1"/>
  <c r="O49" i="3"/>
  <c r="U49" i="3" s="1"/>
  <c r="H49" i="7" s="1"/>
  <c r="O51" i="3"/>
  <c r="U51" i="3" s="1"/>
  <c r="H51" i="7" s="1"/>
  <c r="O53" i="3"/>
  <c r="U53" i="3" s="1"/>
  <c r="H53" i="7" s="1"/>
  <c r="O55" i="3"/>
  <c r="U55" i="3" s="1"/>
  <c r="H55" i="7" s="1"/>
  <c r="O57" i="3"/>
  <c r="U57" i="3" s="1"/>
  <c r="H57" i="7" s="1"/>
  <c r="O59" i="3"/>
  <c r="U59" i="3" s="1"/>
  <c r="H59" i="7" s="1"/>
  <c r="O61" i="3"/>
  <c r="U61" i="3" s="1"/>
  <c r="H61" i="7" s="1"/>
  <c r="O63" i="3"/>
  <c r="U63" i="3" s="1"/>
  <c r="H63" i="7" s="1"/>
  <c r="O65" i="3"/>
  <c r="U65" i="3" s="1"/>
  <c r="H65" i="7" s="1"/>
  <c r="O67" i="3"/>
  <c r="U67" i="3" s="1"/>
  <c r="H67" i="7" s="1"/>
  <c r="O69" i="3"/>
  <c r="U69" i="3" s="1"/>
  <c r="H69" i="7" s="1"/>
  <c r="O71" i="3"/>
  <c r="U71" i="3" s="1"/>
  <c r="H71" i="7" s="1"/>
  <c r="O73" i="3"/>
  <c r="U73" i="3" s="1"/>
  <c r="H73" i="7" s="1"/>
  <c r="O75" i="3"/>
  <c r="U75" i="3" s="1"/>
  <c r="H75" i="7" s="1"/>
  <c r="O77" i="3"/>
  <c r="U77" i="3" s="1"/>
  <c r="H77" i="7" s="1"/>
  <c r="O79" i="3"/>
  <c r="U79" i="3" s="1"/>
  <c r="H79" i="7" s="1"/>
  <c r="O81" i="3"/>
  <c r="U81" i="3" s="1"/>
  <c r="O83" i="3"/>
  <c r="U83" i="3" s="1"/>
  <c r="H83" i="7" s="1"/>
  <c r="O85" i="3"/>
  <c r="U85" i="3" s="1"/>
  <c r="H85" i="7" s="1"/>
  <c r="O87" i="3"/>
  <c r="U87" i="3" s="1"/>
  <c r="H87" i="7" s="1"/>
  <c r="O89" i="3"/>
  <c r="U89" i="3" s="1"/>
  <c r="H89" i="7" s="1"/>
  <c r="O91" i="3"/>
  <c r="U91" i="3" s="1"/>
  <c r="H91" i="7" s="1"/>
  <c r="O93" i="3"/>
  <c r="U93" i="3" s="1"/>
  <c r="H93" i="7" s="1"/>
  <c r="O95" i="3"/>
  <c r="U95" i="3" s="1"/>
  <c r="H95" i="7" s="1"/>
  <c r="O97" i="3"/>
  <c r="U97" i="3" s="1"/>
  <c r="H97" i="7" s="1"/>
  <c r="O99" i="3"/>
  <c r="U99" i="3" s="1"/>
  <c r="O101" i="3"/>
  <c r="U101" i="3" s="1"/>
  <c r="H101" i="7" s="1"/>
  <c r="O103" i="3"/>
  <c r="U103" i="3" s="1"/>
  <c r="H103" i="7" s="1"/>
  <c r="O105" i="3"/>
  <c r="U105" i="3" s="1"/>
  <c r="H105" i="7" s="1"/>
  <c r="O107" i="3"/>
  <c r="U107" i="3" s="1"/>
  <c r="H107" i="7" s="1"/>
  <c r="O109" i="3"/>
  <c r="U109" i="3" s="1"/>
  <c r="H109" i="7" s="1"/>
  <c r="O111" i="3"/>
  <c r="U111" i="3" s="1"/>
  <c r="H111" i="7" s="1"/>
  <c r="O113" i="3"/>
  <c r="U113" i="3" s="1"/>
  <c r="H113" i="7" s="1"/>
  <c r="O4" i="4"/>
  <c r="U4" i="4" s="1"/>
  <c r="I4" i="7" s="1"/>
  <c r="O6" i="4"/>
  <c r="U6" i="4" s="1"/>
  <c r="I6" i="7" s="1"/>
  <c r="O8" i="4"/>
  <c r="U8" i="4" s="1"/>
  <c r="I8" i="7" s="1"/>
  <c r="O10" i="4"/>
  <c r="U10" i="4" s="1"/>
  <c r="I10" i="7" s="1"/>
  <c r="O12" i="4"/>
  <c r="U12" i="4" s="1"/>
  <c r="I12" i="7" s="1"/>
  <c r="O14" i="4"/>
  <c r="U14" i="4" s="1"/>
  <c r="I14" i="7" s="1"/>
  <c r="O16" i="4"/>
  <c r="U16" i="4" s="1"/>
  <c r="I16" i="7" s="1"/>
  <c r="O18" i="4"/>
  <c r="U18" i="4" s="1"/>
  <c r="I18" i="7" s="1"/>
  <c r="O20" i="4"/>
  <c r="U20" i="4" s="1"/>
  <c r="I20" i="7" s="1"/>
  <c r="O22" i="4"/>
  <c r="U22" i="4" s="1"/>
  <c r="I22" i="7" s="1"/>
  <c r="O24" i="4"/>
  <c r="U24" i="4" s="1"/>
  <c r="I24" i="7" s="1"/>
  <c r="O26" i="4"/>
  <c r="U26" i="4" s="1"/>
  <c r="I26" i="7" s="1"/>
  <c r="O28" i="4"/>
  <c r="U28" i="4" s="1"/>
  <c r="I28" i="7" s="1"/>
  <c r="O30" i="4"/>
  <c r="U30" i="4" s="1"/>
  <c r="I30" i="7" s="1"/>
  <c r="O32" i="4"/>
  <c r="U32" i="4" s="1"/>
  <c r="I32" i="7" s="1"/>
  <c r="O35" i="4"/>
  <c r="U35" i="4" s="1"/>
  <c r="I35" i="7" s="1"/>
  <c r="O40" i="4"/>
  <c r="U40" i="4" s="1"/>
  <c r="I40" i="7" s="1"/>
  <c r="O43" i="4"/>
  <c r="U43" i="4" s="1"/>
  <c r="I43" i="7" s="1"/>
  <c r="O48" i="4"/>
  <c r="U48" i="4" s="1"/>
  <c r="I48" i="7" s="1"/>
  <c r="O51" i="4"/>
  <c r="U51" i="4" s="1"/>
  <c r="I51" i="7" s="1"/>
  <c r="O56" i="4"/>
  <c r="U56" i="4" s="1"/>
  <c r="I56" i="7" s="1"/>
  <c r="O59" i="4"/>
  <c r="U59" i="4" s="1"/>
  <c r="I59" i="7" s="1"/>
  <c r="O64" i="4"/>
  <c r="U64" i="4" s="1"/>
  <c r="I64" i="7" s="1"/>
  <c r="O67" i="4"/>
  <c r="U67" i="4" s="1"/>
  <c r="I67" i="7" s="1"/>
  <c r="P72" i="4"/>
  <c r="O72" i="4"/>
  <c r="U72" i="4" s="1"/>
  <c r="I72" i="7" s="1"/>
  <c r="O17" i="1"/>
  <c r="F17" i="7" s="1"/>
  <c r="O21" i="1"/>
  <c r="F21" i="7" s="1"/>
  <c r="O3" i="1"/>
  <c r="F3" i="7" s="1"/>
  <c r="O11" i="1"/>
  <c r="F11" i="7" s="1"/>
  <c r="O27" i="1"/>
  <c r="F27" i="7" s="1"/>
  <c r="O35" i="1"/>
  <c r="F35" i="7" s="1"/>
  <c r="O47" i="1"/>
  <c r="F47" i="7" s="1"/>
  <c r="O63" i="1"/>
  <c r="F63" i="7" s="1"/>
  <c r="O71" i="1"/>
  <c r="F71" i="7" s="1"/>
  <c r="O79" i="1"/>
  <c r="F79" i="7" s="1"/>
  <c r="Q99" i="7"/>
  <c r="I61" i="9" s="1"/>
  <c r="Q81" i="7"/>
  <c r="I43" i="9" s="1"/>
  <c r="O87" i="1"/>
  <c r="F87" i="7" s="1"/>
  <c r="O91" i="1"/>
  <c r="F91" i="7" s="1"/>
  <c r="O95" i="1"/>
  <c r="F95" i="7" s="1"/>
  <c r="O6" i="1"/>
  <c r="F6" i="7" s="1"/>
  <c r="O10" i="1"/>
  <c r="F10" i="7" s="1"/>
  <c r="O14" i="1"/>
  <c r="F14" i="7" s="1"/>
  <c r="O18" i="1"/>
  <c r="F18" i="7" s="1"/>
  <c r="O22" i="1"/>
  <c r="F22" i="7" s="1"/>
  <c r="O26" i="1"/>
  <c r="F26" i="7" s="1"/>
  <c r="O30" i="1"/>
  <c r="F30" i="7" s="1"/>
  <c r="O34" i="1"/>
  <c r="F34" i="7" s="1"/>
  <c r="O38" i="1"/>
  <c r="F38" i="7" s="1"/>
  <c r="P52" i="7"/>
  <c r="H14" i="9" s="1"/>
  <c r="P39" i="7"/>
  <c r="H39" i="8" s="1"/>
  <c r="O42" i="1"/>
  <c r="F42" i="7" s="1"/>
  <c r="O46" i="1"/>
  <c r="F46" i="7" s="1"/>
  <c r="O50" i="1"/>
  <c r="F50" i="7" s="1"/>
  <c r="O54" i="1"/>
  <c r="F54" i="7" s="1"/>
  <c r="O58" i="1"/>
  <c r="F58" i="7" s="1"/>
  <c r="Q77" i="7"/>
  <c r="I39" i="9" s="1"/>
  <c r="Q60" i="7"/>
  <c r="I22" i="9" s="1"/>
  <c r="O62" i="1"/>
  <c r="F62" i="7" s="1"/>
  <c r="O66" i="1"/>
  <c r="F66" i="7" s="1"/>
  <c r="R69" i="7"/>
  <c r="J31" i="9" s="1"/>
  <c r="O70" i="1"/>
  <c r="F70" i="7" s="1"/>
  <c r="O74" i="1"/>
  <c r="F74" i="7" s="1"/>
  <c r="O78" i="1"/>
  <c r="F78" i="7" s="1"/>
  <c r="P79" i="7"/>
  <c r="H41" i="9" s="1"/>
  <c r="R99" i="7"/>
  <c r="J61" i="9" s="1"/>
  <c r="R81" i="7"/>
  <c r="J43" i="9" s="1"/>
  <c r="O82" i="1"/>
  <c r="F82" i="7" s="1"/>
  <c r="R85" i="7"/>
  <c r="J47" i="9" s="1"/>
  <c r="O86" i="1"/>
  <c r="F86" i="7" s="1"/>
  <c r="O90" i="1"/>
  <c r="F90" i="7" s="1"/>
  <c r="O94" i="1"/>
  <c r="F94" i="7" s="1"/>
  <c r="Q96" i="7"/>
  <c r="I58" i="9" s="1"/>
  <c r="O98" i="1"/>
  <c r="F98" i="7" s="1"/>
  <c r="O102" i="1"/>
  <c r="F102" i="7" s="1"/>
  <c r="R105" i="7"/>
  <c r="J67" i="9" s="1"/>
  <c r="O106" i="1"/>
  <c r="F106" i="7" s="1"/>
  <c r="Q108" i="7"/>
  <c r="I70" i="9" s="1"/>
  <c r="R109" i="7"/>
  <c r="J71" i="9" s="1"/>
  <c r="O110" i="1"/>
  <c r="F110" i="7" s="1"/>
  <c r="Q112" i="7"/>
  <c r="I74" i="9" s="1"/>
  <c r="R113" i="7"/>
  <c r="J75" i="9" s="1"/>
  <c r="O33" i="4"/>
  <c r="U33" i="4" s="1"/>
  <c r="I33" i="7" s="1"/>
  <c r="O38" i="4"/>
  <c r="U38" i="4" s="1"/>
  <c r="I38" i="7" s="1"/>
  <c r="O41" i="4"/>
  <c r="U41" i="4" s="1"/>
  <c r="I41" i="7" s="1"/>
  <c r="O46" i="4"/>
  <c r="U46" i="4" s="1"/>
  <c r="I46" i="7" s="1"/>
  <c r="O49" i="4"/>
  <c r="U49" i="4" s="1"/>
  <c r="I49" i="7" s="1"/>
  <c r="O54" i="4"/>
  <c r="U54" i="4" s="1"/>
  <c r="I54" i="7" s="1"/>
  <c r="O57" i="4"/>
  <c r="U57" i="4" s="1"/>
  <c r="I57" i="7" s="1"/>
  <c r="O62" i="4"/>
  <c r="U62" i="4" s="1"/>
  <c r="I62" i="7" s="1"/>
  <c r="O65" i="4"/>
  <c r="U65" i="4" s="1"/>
  <c r="I65" i="7" s="1"/>
  <c r="U71" i="4"/>
  <c r="I71" i="7" s="1"/>
  <c r="P74" i="4"/>
  <c r="O74" i="4"/>
  <c r="U74" i="4" s="1"/>
  <c r="I74" i="7" s="1"/>
  <c r="O29" i="1"/>
  <c r="F29" i="7" s="1"/>
  <c r="O33" i="1"/>
  <c r="F33" i="7" s="1"/>
  <c r="O37" i="1"/>
  <c r="F37" i="7" s="1"/>
  <c r="Q52" i="7"/>
  <c r="I14" i="9" s="1"/>
  <c r="Q39" i="7"/>
  <c r="I39" i="8" s="1"/>
  <c r="O41" i="1"/>
  <c r="F41" i="7" s="1"/>
  <c r="O45" i="1"/>
  <c r="F45" i="7" s="1"/>
  <c r="O49" i="1"/>
  <c r="F49" i="7" s="1"/>
  <c r="O53" i="1"/>
  <c r="F53" i="7" s="1"/>
  <c r="O57" i="1"/>
  <c r="F57" i="7" s="1"/>
  <c r="R77" i="7"/>
  <c r="J39" i="9" s="1"/>
  <c r="R60" i="7"/>
  <c r="J22" i="9" s="1"/>
  <c r="O61" i="1"/>
  <c r="F61" i="7" s="1"/>
  <c r="O65" i="1"/>
  <c r="F65" i="7" s="1"/>
  <c r="O69" i="1"/>
  <c r="F69" i="7" s="1"/>
  <c r="O73" i="1"/>
  <c r="F73" i="7" s="1"/>
  <c r="O81" i="1"/>
  <c r="O85" i="1"/>
  <c r="F85" i="7" s="1"/>
  <c r="O89" i="1"/>
  <c r="F89" i="7" s="1"/>
  <c r="O93" i="1"/>
  <c r="F93" i="7" s="1"/>
  <c r="O97" i="1"/>
  <c r="F97" i="7" s="1"/>
  <c r="O101" i="1"/>
  <c r="F101" i="7" s="1"/>
  <c r="O105" i="1"/>
  <c r="F105" i="7" s="1"/>
  <c r="O109" i="1"/>
  <c r="F109" i="7" s="1"/>
  <c r="O113" i="1"/>
  <c r="F113" i="7" s="1"/>
  <c r="O99" i="7"/>
  <c r="G61" i="9" s="1"/>
  <c r="O81" i="7"/>
  <c r="G43" i="9" s="1"/>
  <c r="O60" i="7"/>
  <c r="G22" i="9" s="1"/>
  <c r="O77" i="7"/>
  <c r="G39" i="9" s="1"/>
  <c r="U73" i="4"/>
  <c r="I73" i="7" s="1"/>
  <c r="P76" i="4"/>
  <c r="O76" i="4"/>
  <c r="U76" i="4" s="1"/>
  <c r="I76" i="7" s="1"/>
  <c r="O25" i="1"/>
  <c r="F25" i="7" s="1"/>
  <c r="O16" i="1"/>
  <c r="F16" i="7" s="1"/>
  <c r="O20" i="1"/>
  <c r="F20" i="7" s="1"/>
  <c r="O24" i="1"/>
  <c r="F24" i="7" s="1"/>
  <c r="O28" i="1"/>
  <c r="F28" i="7" s="1"/>
  <c r="O32" i="1"/>
  <c r="F32" i="7" s="1"/>
  <c r="O36" i="1"/>
  <c r="F36" i="7" s="1"/>
  <c r="R52" i="7"/>
  <c r="J14" i="9" s="1"/>
  <c r="R39" i="7"/>
  <c r="J39" i="8" s="1"/>
  <c r="O40" i="1"/>
  <c r="F40" i="7" s="1"/>
  <c r="O44" i="1"/>
  <c r="F44" i="7" s="1"/>
  <c r="O48" i="1"/>
  <c r="F48" i="7" s="1"/>
  <c r="O56" i="1"/>
  <c r="F56" i="7" s="1"/>
  <c r="O60" i="1"/>
  <c r="O64" i="1"/>
  <c r="F64" i="7" s="1"/>
  <c r="O68" i="1"/>
  <c r="F68" i="7" s="1"/>
  <c r="O72" i="1"/>
  <c r="F72" i="7" s="1"/>
  <c r="O76" i="1"/>
  <c r="F76" i="7" s="1"/>
  <c r="O80" i="1"/>
  <c r="F80" i="7" s="1"/>
  <c r="P99" i="7"/>
  <c r="H61" i="9" s="1"/>
  <c r="P81" i="7"/>
  <c r="H43" i="9" s="1"/>
  <c r="O84" i="1"/>
  <c r="F84" i="7" s="1"/>
  <c r="O88" i="1"/>
  <c r="F88" i="7" s="1"/>
  <c r="O92" i="1"/>
  <c r="F92" i="7" s="1"/>
  <c r="O96" i="1"/>
  <c r="F96" i="7" s="1"/>
  <c r="O100" i="1"/>
  <c r="F100" i="7" s="1"/>
  <c r="O104" i="1"/>
  <c r="F104" i="7" s="1"/>
  <c r="O108" i="1"/>
  <c r="F108" i="7" s="1"/>
  <c r="O112" i="1"/>
  <c r="F112" i="7" s="1"/>
  <c r="N35" i="7"/>
  <c r="F35" i="8" s="1"/>
  <c r="N113" i="7"/>
  <c r="F75" i="9" s="1"/>
  <c r="N87" i="7"/>
  <c r="F49" i="9" s="1"/>
  <c r="N13" i="7"/>
  <c r="F13" i="8" s="1"/>
  <c r="N18" i="7"/>
  <c r="F18" i="8" s="1"/>
  <c r="N69" i="7"/>
  <c r="F31" i="9" s="1"/>
  <c r="N14" i="7"/>
  <c r="F14" i="8" s="1"/>
  <c r="N83" i="7"/>
  <c r="F45" i="9" s="1"/>
  <c r="N105" i="7"/>
  <c r="F67" i="9" s="1"/>
  <c r="N57" i="7"/>
  <c r="F19" i="9" s="1"/>
  <c r="N85" i="7"/>
  <c r="F47" i="9" s="1"/>
  <c r="N27" i="7"/>
  <c r="F27" i="8" s="1"/>
  <c r="N33" i="7"/>
  <c r="F33" i="8" s="1"/>
  <c r="N25" i="7"/>
  <c r="F25" i="8" s="1"/>
  <c r="N8" i="7"/>
  <c r="F8" i="8" s="1"/>
  <c r="N9" i="7"/>
  <c r="F9" i="8" s="1"/>
  <c r="N5" i="7"/>
  <c r="F5" i="8" s="1"/>
  <c r="N7" i="7"/>
  <c r="F7" i="8" s="1"/>
  <c r="N21" i="7"/>
  <c r="F21" i="8" s="1"/>
  <c r="N12" i="7"/>
  <c r="F12" i="8" s="1"/>
  <c r="N19" i="7"/>
  <c r="F19" i="8" s="1"/>
  <c r="N4" i="7"/>
  <c r="F4" i="8" s="1"/>
  <c r="N52" i="7"/>
  <c r="F14" i="9" s="1"/>
  <c r="N51" i="7"/>
  <c r="F13" i="9" s="1"/>
  <c r="N63" i="7"/>
  <c r="F25" i="9" s="1"/>
  <c r="N109" i="7"/>
  <c r="F71" i="9" s="1"/>
  <c r="N45" i="7"/>
  <c r="F7" i="9" s="1"/>
  <c r="N93" i="7"/>
  <c r="F55" i="9" s="1"/>
  <c r="N97" i="7"/>
  <c r="F59" i="9" s="1"/>
  <c r="N75" i="7"/>
  <c r="F37" i="9" s="1"/>
  <c r="N71" i="7"/>
  <c r="F33" i="9" s="1"/>
  <c r="N89" i="7"/>
  <c r="F51" i="9" s="1"/>
  <c r="N17" i="7"/>
  <c r="F17" i="8" s="1"/>
  <c r="N67" i="7"/>
  <c r="F29" i="9" s="1"/>
  <c r="N43" i="7"/>
  <c r="F5" i="9" s="1"/>
  <c r="N74" i="7"/>
  <c r="F36" i="9" s="1"/>
  <c r="N72" i="7"/>
  <c r="F34" i="9" s="1"/>
  <c r="P70" i="4"/>
  <c r="N70" i="7" s="1"/>
  <c r="F32" i="9" s="1"/>
  <c r="O70" i="4"/>
  <c r="U70" i="4" s="1"/>
  <c r="I70" i="7" s="1"/>
  <c r="I99" i="7"/>
  <c r="I81" i="7"/>
  <c r="K52" i="7"/>
  <c r="K99" i="7"/>
  <c r="K81" i="7"/>
  <c r="O78" i="4"/>
  <c r="U78" i="4" s="1"/>
  <c r="I78" i="7" s="1"/>
  <c r="O80" i="4"/>
  <c r="U80" i="4" s="1"/>
  <c r="I80" i="7" s="1"/>
  <c r="O82" i="4"/>
  <c r="U82" i="4" s="1"/>
  <c r="I82" i="7" s="1"/>
  <c r="O84" i="4"/>
  <c r="U84" i="4" s="1"/>
  <c r="I84" i="7" s="1"/>
  <c r="O86" i="4"/>
  <c r="U86" i="4" s="1"/>
  <c r="I86" i="7" s="1"/>
  <c r="O88" i="4"/>
  <c r="U88" i="4" s="1"/>
  <c r="I88" i="7" s="1"/>
  <c r="O90" i="4"/>
  <c r="U90" i="4" s="1"/>
  <c r="I90" i="7" s="1"/>
  <c r="O92" i="4"/>
  <c r="U92" i="4" s="1"/>
  <c r="I92" i="7" s="1"/>
  <c r="O94" i="4"/>
  <c r="U94" i="4" s="1"/>
  <c r="I94" i="7" s="1"/>
  <c r="O96" i="4"/>
  <c r="U96" i="4" s="1"/>
  <c r="I96" i="7" s="1"/>
  <c r="O98" i="4"/>
  <c r="U98" i="4" s="1"/>
  <c r="I98" i="7" s="1"/>
  <c r="O100" i="4"/>
  <c r="U100" i="4" s="1"/>
  <c r="I100" i="7" s="1"/>
  <c r="O102" i="4"/>
  <c r="U102" i="4" s="1"/>
  <c r="I102" i="7" s="1"/>
  <c r="O104" i="4"/>
  <c r="U104" i="4" s="1"/>
  <c r="I104" i="7" s="1"/>
  <c r="O106" i="4"/>
  <c r="U106" i="4" s="1"/>
  <c r="I106" i="7" s="1"/>
  <c r="O108" i="4"/>
  <c r="U108" i="4" s="1"/>
  <c r="I108" i="7" s="1"/>
  <c r="O110" i="4"/>
  <c r="U110" i="4" s="1"/>
  <c r="I110" i="7" s="1"/>
  <c r="O112" i="4"/>
  <c r="U112" i="4" s="1"/>
  <c r="I112" i="7" s="1"/>
  <c r="O3" i="5"/>
  <c r="U3" i="5" s="1"/>
  <c r="J3" i="7" s="1"/>
  <c r="O5" i="5"/>
  <c r="U5" i="5" s="1"/>
  <c r="J5" i="7" s="1"/>
  <c r="O7" i="5"/>
  <c r="U7" i="5" s="1"/>
  <c r="J7" i="7" s="1"/>
  <c r="O9" i="5"/>
  <c r="U9" i="5" s="1"/>
  <c r="J9" i="7" s="1"/>
  <c r="O11" i="5"/>
  <c r="U11" i="5" s="1"/>
  <c r="J11" i="7" s="1"/>
  <c r="O13" i="5"/>
  <c r="U13" i="5" s="1"/>
  <c r="J13" i="7" s="1"/>
  <c r="O15" i="5"/>
  <c r="U15" i="5" s="1"/>
  <c r="J15" i="7" s="1"/>
  <c r="O17" i="5"/>
  <c r="U17" i="5" s="1"/>
  <c r="J17" i="7" s="1"/>
  <c r="O19" i="5"/>
  <c r="U19" i="5" s="1"/>
  <c r="J19" i="7" s="1"/>
  <c r="O21" i="5"/>
  <c r="U21" i="5" s="1"/>
  <c r="J21" i="7" s="1"/>
  <c r="O23" i="5"/>
  <c r="U23" i="5" s="1"/>
  <c r="J23" i="7" s="1"/>
  <c r="O25" i="5"/>
  <c r="U25" i="5" s="1"/>
  <c r="J25" i="7" s="1"/>
  <c r="O27" i="5"/>
  <c r="U27" i="5" s="1"/>
  <c r="J27" i="7" s="1"/>
  <c r="O29" i="5"/>
  <c r="U29" i="5" s="1"/>
  <c r="J29" i="7" s="1"/>
  <c r="O31" i="5"/>
  <c r="U31" i="5" s="1"/>
  <c r="J31" i="7" s="1"/>
  <c r="O33" i="5"/>
  <c r="U33" i="5" s="1"/>
  <c r="J33" i="7" s="1"/>
  <c r="O35" i="5"/>
  <c r="U35" i="5" s="1"/>
  <c r="J35" i="7" s="1"/>
  <c r="O37" i="5"/>
  <c r="U37" i="5" s="1"/>
  <c r="J37" i="7" s="1"/>
  <c r="O39" i="5"/>
  <c r="U39" i="5" s="1"/>
  <c r="O41" i="5"/>
  <c r="U41" i="5" s="1"/>
  <c r="J41" i="7" s="1"/>
  <c r="O43" i="5"/>
  <c r="U43" i="5" s="1"/>
  <c r="J43" i="7" s="1"/>
  <c r="O45" i="5"/>
  <c r="U45" i="5" s="1"/>
  <c r="J45" i="7" s="1"/>
  <c r="O47" i="5"/>
  <c r="U47" i="5" s="1"/>
  <c r="J47" i="7" s="1"/>
  <c r="O49" i="5"/>
  <c r="U49" i="5" s="1"/>
  <c r="J49" i="7" s="1"/>
  <c r="O51" i="5"/>
  <c r="U51" i="5" s="1"/>
  <c r="J51" i="7" s="1"/>
  <c r="O53" i="5"/>
  <c r="U53" i="5" s="1"/>
  <c r="J53" i="7" s="1"/>
  <c r="O55" i="5"/>
  <c r="U55" i="5" s="1"/>
  <c r="J55" i="7" s="1"/>
  <c r="O57" i="5"/>
  <c r="U57" i="5" s="1"/>
  <c r="J57" i="7" s="1"/>
  <c r="O59" i="5"/>
  <c r="U59" i="5" s="1"/>
  <c r="J59" i="7" s="1"/>
  <c r="O61" i="5"/>
  <c r="U61" i="5" s="1"/>
  <c r="J61" i="7" s="1"/>
  <c r="O63" i="5"/>
  <c r="U63" i="5" s="1"/>
  <c r="J63" i="7" s="1"/>
  <c r="O65" i="5"/>
  <c r="U65" i="5" s="1"/>
  <c r="J65" i="7" s="1"/>
  <c r="O67" i="5"/>
  <c r="U67" i="5" s="1"/>
  <c r="J67" i="7" s="1"/>
  <c r="O69" i="5"/>
  <c r="U69" i="5" s="1"/>
  <c r="J69" i="7" s="1"/>
  <c r="O71" i="5"/>
  <c r="U71" i="5" s="1"/>
  <c r="J71" i="7" s="1"/>
  <c r="O73" i="5"/>
  <c r="U73" i="5" s="1"/>
  <c r="J73" i="7" s="1"/>
  <c r="O75" i="5"/>
  <c r="U75" i="5" s="1"/>
  <c r="J75" i="7" s="1"/>
  <c r="O77" i="5"/>
  <c r="U77" i="5" s="1"/>
  <c r="J60" i="7" s="1"/>
  <c r="O79" i="5"/>
  <c r="U79" i="5" s="1"/>
  <c r="J79" i="7" s="1"/>
  <c r="O81" i="5"/>
  <c r="U81" i="5" s="1"/>
  <c r="O83" i="5"/>
  <c r="U83" i="5" s="1"/>
  <c r="J83" i="7" s="1"/>
  <c r="O85" i="5"/>
  <c r="U85" i="5" s="1"/>
  <c r="J85" i="7" s="1"/>
  <c r="O87" i="5"/>
  <c r="U87" i="5" s="1"/>
  <c r="J87" i="7" s="1"/>
  <c r="O89" i="5"/>
  <c r="U89" i="5" s="1"/>
  <c r="J89" i="7" s="1"/>
  <c r="O91" i="5"/>
  <c r="U91" i="5" s="1"/>
  <c r="J91" i="7" s="1"/>
  <c r="O93" i="5"/>
  <c r="U93" i="5" s="1"/>
  <c r="J93" i="7" s="1"/>
  <c r="O95" i="5"/>
  <c r="U95" i="5" s="1"/>
  <c r="J95" i="7" s="1"/>
  <c r="O97" i="5"/>
  <c r="U97" i="5" s="1"/>
  <c r="J97" i="7" s="1"/>
  <c r="O99" i="5"/>
  <c r="U99" i="5" s="1"/>
  <c r="O101" i="5"/>
  <c r="U101" i="5" s="1"/>
  <c r="J101" i="7" s="1"/>
  <c r="O103" i="5"/>
  <c r="U103" i="5" s="1"/>
  <c r="J103" i="7" s="1"/>
  <c r="O105" i="5"/>
  <c r="U105" i="5" s="1"/>
  <c r="J105" i="7" s="1"/>
  <c r="O107" i="5"/>
  <c r="U107" i="5" s="1"/>
  <c r="J107" i="7" s="1"/>
  <c r="O109" i="5"/>
  <c r="U109" i="5" s="1"/>
  <c r="J109" i="7" s="1"/>
  <c r="O111" i="5"/>
  <c r="U111" i="5" s="1"/>
  <c r="J111" i="7" s="1"/>
  <c r="O113" i="5"/>
  <c r="U113" i="5" s="1"/>
  <c r="J113" i="7" s="1"/>
  <c r="J4" i="6"/>
  <c r="P4" i="6" s="1"/>
  <c r="K4" i="7" s="1"/>
  <c r="J6" i="6"/>
  <c r="P6" i="6" s="1"/>
  <c r="K6" i="7" s="1"/>
  <c r="J8" i="6"/>
  <c r="P8" i="6" s="1"/>
  <c r="K8" i="7" s="1"/>
  <c r="J10" i="6"/>
  <c r="P10" i="6" s="1"/>
  <c r="K10" i="7" s="1"/>
  <c r="J12" i="6"/>
  <c r="P12" i="6" s="1"/>
  <c r="K12" i="7" s="1"/>
  <c r="J14" i="6"/>
  <c r="P14" i="6" s="1"/>
  <c r="K14" i="7" s="1"/>
  <c r="J16" i="6"/>
  <c r="P16" i="6" s="1"/>
  <c r="K16" i="7" s="1"/>
  <c r="J18" i="6"/>
  <c r="P18" i="6" s="1"/>
  <c r="K18" i="7" s="1"/>
  <c r="J20" i="6"/>
  <c r="P20" i="6" s="1"/>
  <c r="K20" i="7" s="1"/>
  <c r="J22" i="6"/>
  <c r="P22" i="6" s="1"/>
  <c r="K22" i="7" s="1"/>
  <c r="J24" i="6"/>
  <c r="P24" i="6" s="1"/>
  <c r="K24" i="7" s="1"/>
  <c r="J26" i="6"/>
  <c r="P26" i="6" s="1"/>
  <c r="K26" i="7" s="1"/>
  <c r="J28" i="6"/>
  <c r="P28" i="6" s="1"/>
  <c r="K28" i="7" s="1"/>
  <c r="J30" i="6"/>
  <c r="P30" i="6" s="1"/>
  <c r="K30" i="7" s="1"/>
  <c r="J32" i="6"/>
  <c r="P32" i="6" s="1"/>
  <c r="K32" i="7" s="1"/>
  <c r="J34" i="6"/>
  <c r="P34" i="6" s="1"/>
  <c r="K34" i="7" s="1"/>
  <c r="J36" i="6"/>
  <c r="P36" i="6" s="1"/>
  <c r="K36" i="7" s="1"/>
  <c r="J38" i="6"/>
  <c r="P38" i="6" s="1"/>
  <c r="K38" i="7" s="1"/>
  <c r="J40" i="6"/>
  <c r="P40" i="6" s="1"/>
  <c r="K40" i="7" s="1"/>
  <c r="J42" i="6"/>
  <c r="P42" i="6" s="1"/>
  <c r="K42" i="7" s="1"/>
  <c r="J44" i="6"/>
  <c r="P44" i="6" s="1"/>
  <c r="K44" i="7" s="1"/>
  <c r="J46" i="6"/>
  <c r="P46" i="6" s="1"/>
  <c r="K46" i="7" s="1"/>
  <c r="J48" i="6"/>
  <c r="P48" i="6" s="1"/>
  <c r="K48" i="7" s="1"/>
  <c r="J50" i="6"/>
  <c r="P50" i="6" s="1"/>
  <c r="K50" i="7" s="1"/>
  <c r="J52" i="6"/>
  <c r="P52" i="6" s="1"/>
  <c r="K39" i="7" s="1"/>
  <c r="J54" i="6"/>
  <c r="P54" i="6" s="1"/>
  <c r="K54" i="7" s="1"/>
  <c r="J56" i="6"/>
  <c r="P56" i="6" s="1"/>
  <c r="K56" i="7" s="1"/>
  <c r="J58" i="6"/>
  <c r="P58" i="6" s="1"/>
  <c r="K58" i="7" s="1"/>
  <c r="J60" i="6"/>
  <c r="P60" i="6" s="1"/>
  <c r="J62" i="6"/>
  <c r="P62" i="6" s="1"/>
  <c r="K62" i="7" s="1"/>
  <c r="J64" i="6"/>
  <c r="P64" i="6" s="1"/>
  <c r="K64" i="7" s="1"/>
  <c r="J66" i="6"/>
  <c r="P66" i="6" s="1"/>
  <c r="K66" i="7" s="1"/>
  <c r="J68" i="6"/>
  <c r="P68" i="6" s="1"/>
  <c r="K68" i="7" s="1"/>
  <c r="J70" i="6"/>
  <c r="P70" i="6" s="1"/>
  <c r="K70" i="7" s="1"/>
  <c r="J72" i="6"/>
  <c r="P72" i="6" s="1"/>
  <c r="K72" i="7" s="1"/>
  <c r="J74" i="6"/>
  <c r="P74" i="6" s="1"/>
  <c r="K74" i="7" s="1"/>
  <c r="J76" i="6"/>
  <c r="P76" i="6" s="1"/>
  <c r="K76" i="7" s="1"/>
  <c r="J78" i="6"/>
  <c r="P78" i="6" s="1"/>
  <c r="K78" i="7" s="1"/>
  <c r="J80" i="6"/>
  <c r="P80" i="6" s="1"/>
  <c r="K80" i="7" s="1"/>
  <c r="J82" i="6"/>
  <c r="P82" i="6" s="1"/>
  <c r="K82" i="7" s="1"/>
  <c r="J84" i="6"/>
  <c r="P84" i="6" s="1"/>
  <c r="K84" i="7" s="1"/>
  <c r="J86" i="6"/>
  <c r="P86" i="6" s="1"/>
  <c r="K86" i="7" s="1"/>
  <c r="J88" i="6"/>
  <c r="P88" i="6" s="1"/>
  <c r="K88" i="7" s="1"/>
  <c r="J90" i="6"/>
  <c r="P90" i="6" s="1"/>
  <c r="K90" i="7" s="1"/>
  <c r="J92" i="6"/>
  <c r="P92" i="6" s="1"/>
  <c r="K92" i="7" s="1"/>
  <c r="J94" i="6"/>
  <c r="P94" i="6" s="1"/>
  <c r="K94" i="7" s="1"/>
  <c r="J96" i="6"/>
  <c r="P96" i="6" s="1"/>
  <c r="K96" i="7" s="1"/>
  <c r="J98" i="6"/>
  <c r="P98" i="6" s="1"/>
  <c r="K98" i="7" s="1"/>
  <c r="J100" i="6"/>
  <c r="P100" i="6" s="1"/>
  <c r="K100" i="7" s="1"/>
  <c r="J102" i="6"/>
  <c r="P102" i="6" s="1"/>
  <c r="K102" i="7" s="1"/>
  <c r="J104" i="6"/>
  <c r="P104" i="6" s="1"/>
  <c r="K104" i="7" s="1"/>
  <c r="J106" i="6"/>
  <c r="P106" i="6" s="1"/>
  <c r="K106" i="7" s="1"/>
  <c r="J108" i="6"/>
  <c r="P108" i="6" s="1"/>
  <c r="K108" i="7" s="1"/>
  <c r="J110" i="6"/>
  <c r="P110" i="6" s="1"/>
  <c r="K110" i="7" s="1"/>
  <c r="J112" i="6"/>
  <c r="P112" i="6" s="1"/>
  <c r="K112" i="7" s="1"/>
  <c r="P113" i="6"/>
  <c r="K113" i="7" s="1"/>
  <c r="U54" i="2" l="1"/>
  <c r="G29" i="7" s="1"/>
  <c r="U89" i="2"/>
  <c r="G42" i="7" s="1"/>
  <c r="U38" i="2"/>
  <c r="G15" i="7" s="1"/>
  <c r="U22" i="2"/>
  <c r="N60" i="7"/>
  <c r="F22" i="9" s="1"/>
  <c r="U80" i="2"/>
  <c r="G102" i="7" s="1"/>
  <c r="U48" i="2"/>
  <c r="G24" i="7" s="1"/>
  <c r="U16" i="2"/>
  <c r="G56" i="7" s="1"/>
  <c r="L56" i="7" s="1"/>
  <c r="N81" i="7"/>
  <c r="F43" i="9" s="1"/>
  <c r="U87" i="2"/>
  <c r="G111" i="7" s="1"/>
  <c r="U78" i="2"/>
  <c r="G22" i="7" s="1"/>
  <c r="U62" i="2"/>
  <c r="G92" i="7" s="1"/>
  <c r="L92" i="7" s="1"/>
  <c r="U46" i="2"/>
  <c r="G10" i="7" s="1"/>
  <c r="U30" i="2"/>
  <c r="G98" i="7" s="1"/>
  <c r="U14" i="2"/>
  <c r="G28" i="7" s="1"/>
  <c r="N99" i="7"/>
  <c r="F61" i="9" s="1"/>
  <c r="U81" i="2"/>
  <c r="G45" i="7" s="1"/>
  <c r="U73" i="2"/>
  <c r="G112" i="7" s="1"/>
  <c r="U65" i="2"/>
  <c r="U57" i="2"/>
  <c r="G58" i="7" s="1"/>
  <c r="L58" i="7" s="1"/>
  <c r="U49" i="2"/>
  <c r="G7" i="7" s="1"/>
  <c r="U41" i="2"/>
  <c r="G40" i="7" s="1"/>
  <c r="U33" i="2"/>
  <c r="G96" i="7" s="1"/>
  <c r="U25" i="2"/>
  <c r="G105" i="7" s="1"/>
  <c r="L105" i="7" s="1"/>
  <c r="U17" i="2"/>
  <c r="G69" i="7" s="1"/>
  <c r="U9" i="2"/>
  <c r="G87" i="7" s="1"/>
  <c r="U66" i="2"/>
  <c r="U83" i="2"/>
  <c r="G93" i="7" s="1"/>
  <c r="L93" i="7" s="1"/>
  <c r="U75" i="2"/>
  <c r="G109" i="7" s="1"/>
  <c r="U67" i="2"/>
  <c r="G51" i="7" s="1"/>
  <c r="U59" i="2"/>
  <c r="G19" i="7" s="1"/>
  <c r="U51" i="2"/>
  <c r="G21" i="7" s="1"/>
  <c r="L21" i="7" s="1"/>
  <c r="U43" i="2"/>
  <c r="G8" i="7" s="1"/>
  <c r="U35" i="2"/>
  <c r="G27" i="7" s="1"/>
  <c r="U27" i="2"/>
  <c r="G32" i="7" s="1"/>
  <c r="U19" i="2"/>
  <c r="G14" i="7" s="1"/>
  <c r="L14" i="7" s="1"/>
  <c r="U11" i="2"/>
  <c r="G82" i="7" s="1"/>
  <c r="N76" i="7"/>
  <c r="F38" i="9" s="1"/>
  <c r="U72" i="2"/>
  <c r="G101" i="7" s="1"/>
  <c r="U56" i="2"/>
  <c r="G47" i="7" s="1"/>
  <c r="L47" i="7" s="1"/>
  <c r="U40" i="2"/>
  <c r="G37" i="7" s="1"/>
  <c r="U24" i="2"/>
  <c r="G106" i="7" s="1"/>
  <c r="U61" i="2"/>
  <c r="G4" i="7" s="1"/>
  <c r="U45" i="2"/>
  <c r="G9" i="7" s="1"/>
  <c r="L9" i="7" s="1"/>
  <c r="U29" i="2"/>
  <c r="G57" i="7" s="1"/>
  <c r="U13" i="2"/>
  <c r="G13" i="7" s="1"/>
  <c r="L13" i="7" s="1"/>
  <c r="U39" i="2"/>
  <c r="G25" i="7" s="1"/>
  <c r="U31" i="2"/>
  <c r="G85" i="7" s="1"/>
  <c r="L85" i="7" s="1"/>
  <c r="U15" i="2"/>
  <c r="G18" i="7" s="1"/>
  <c r="U77" i="2"/>
  <c r="G48" i="7" s="1"/>
  <c r="L48" i="7" s="1"/>
  <c r="U71" i="2"/>
  <c r="G100" i="7" s="1"/>
  <c r="L100" i="7" s="1"/>
  <c r="U55" i="2"/>
  <c r="G108" i="7" s="1"/>
  <c r="L108" i="7" s="1"/>
  <c r="G52" i="7"/>
  <c r="N39" i="7"/>
  <c r="F39" i="8" s="1"/>
  <c r="U84" i="2"/>
  <c r="G104" i="7" s="1"/>
  <c r="L104" i="7" s="1"/>
  <c r="U76" i="2"/>
  <c r="G110" i="7" s="1"/>
  <c r="L110" i="7" s="1"/>
  <c r="U68" i="2"/>
  <c r="G41" i="7" s="1"/>
  <c r="U60" i="2"/>
  <c r="G88" i="7" s="1"/>
  <c r="U52" i="2"/>
  <c r="G3" i="7" s="1"/>
  <c r="U44" i="2"/>
  <c r="G20" i="7" s="1"/>
  <c r="L20" i="7" s="1"/>
  <c r="U36" i="2"/>
  <c r="G36" i="7" s="1"/>
  <c r="U28" i="2"/>
  <c r="G79" i="7" s="1"/>
  <c r="U20" i="2"/>
  <c r="G53" i="7" s="1"/>
  <c r="U12" i="2"/>
  <c r="G6" i="7" s="1"/>
  <c r="L6" i="7" s="1"/>
  <c r="U4" i="2"/>
  <c r="G44" i="7" s="1"/>
  <c r="U82" i="2"/>
  <c r="G55" i="7" s="1"/>
  <c r="U74" i="2"/>
  <c r="G64" i="7" s="1"/>
  <c r="U58" i="2"/>
  <c r="G59" i="7" s="1"/>
  <c r="L59" i="7" s="1"/>
  <c r="U50" i="2"/>
  <c r="G11" i="7" s="1"/>
  <c r="U42" i="2"/>
  <c r="G26" i="7" s="1"/>
  <c r="U34" i="2"/>
  <c r="G30" i="7" s="1"/>
  <c r="U26" i="2"/>
  <c r="G38" i="7" s="1"/>
  <c r="L38" i="7" s="1"/>
  <c r="U18" i="2"/>
  <c r="G65" i="7" s="1"/>
  <c r="U10" i="2"/>
  <c r="G23" i="7" s="1"/>
  <c r="J99" i="7"/>
  <c r="J81" i="7"/>
  <c r="J39" i="7"/>
  <c r="J52" i="7"/>
  <c r="M112" i="7"/>
  <c r="M96" i="7"/>
  <c r="L84" i="7"/>
  <c r="L76" i="7"/>
  <c r="M72" i="7"/>
  <c r="F77" i="7"/>
  <c r="F60" i="7"/>
  <c r="M44" i="7"/>
  <c r="M36" i="7"/>
  <c r="L24" i="7"/>
  <c r="M20" i="7"/>
  <c r="M25" i="7"/>
  <c r="L113" i="7"/>
  <c r="M109" i="7"/>
  <c r="L97" i="7"/>
  <c r="M93" i="7"/>
  <c r="F99" i="7"/>
  <c r="F81" i="7"/>
  <c r="L73" i="7"/>
  <c r="M69" i="7"/>
  <c r="L53" i="7"/>
  <c r="M49" i="7"/>
  <c r="L29" i="7"/>
  <c r="M106" i="7"/>
  <c r="M102" i="7"/>
  <c r="L90" i="7"/>
  <c r="M86" i="7"/>
  <c r="M82" i="7"/>
  <c r="L74" i="7"/>
  <c r="M70" i="7"/>
  <c r="M66" i="7"/>
  <c r="L50" i="7"/>
  <c r="M46" i="7"/>
  <c r="M34" i="7"/>
  <c r="L22" i="7"/>
  <c r="M18" i="7"/>
  <c r="L91" i="7"/>
  <c r="M87" i="7"/>
  <c r="L79" i="7"/>
  <c r="L71" i="7"/>
  <c r="M63" i="7"/>
  <c r="M47" i="7"/>
  <c r="L3" i="7"/>
  <c r="M21" i="7"/>
  <c r="M9" i="7"/>
  <c r="H52" i="7"/>
  <c r="H39" i="7"/>
  <c r="L107" i="7"/>
  <c r="M103" i="7"/>
  <c r="L75" i="7"/>
  <c r="M67" i="7"/>
  <c r="M59" i="7"/>
  <c r="M51" i="7"/>
  <c r="M23" i="7"/>
  <c r="L7" i="7"/>
  <c r="M12" i="7"/>
  <c r="M4" i="7"/>
  <c r="G99" i="7"/>
  <c r="G81" i="7"/>
  <c r="G39" i="7"/>
  <c r="M100" i="7"/>
  <c r="L88" i="7"/>
  <c r="M84" i="7"/>
  <c r="L80" i="7"/>
  <c r="M76" i="7"/>
  <c r="L64" i="7"/>
  <c r="M60" i="7"/>
  <c r="M56" i="7"/>
  <c r="M48" i="7"/>
  <c r="L28" i="7"/>
  <c r="M24" i="7"/>
  <c r="M113" i="7"/>
  <c r="L101" i="7"/>
  <c r="M97" i="7"/>
  <c r="M81" i="7"/>
  <c r="M73" i="7"/>
  <c r="L61" i="7"/>
  <c r="L57" i="7"/>
  <c r="M53" i="7"/>
  <c r="L41" i="7"/>
  <c r="L33" i="7"/>
  <c r="M29" i="7"/>
  <c r="M90" i="7"/>
  <c r="L78" i="7"/>
  <c r="M74" i="7"/>
  <c r="L54" i="7"/>
  <c r="M50" i="7"/>
  <c r="M38" i="7"/>
  <c r="L26" i="7"/>
  <c r="M22" i="7"/>
  <c r="L10" i="7"/>
  <c r="M6" i="7"/>
  <c r="L95" i="7"/>
  <c r="M91" i="7"/>
  <c r="M79" i="7"/>
  <c r="M71" i="7"/>
  <c r="L11" i="7"/>
  <c r="M3" i="7"/>
  <c r="L17" i="7"/>
  <c r="L111" i="7"/>
  <c r="M107" i="7"/>
  <c r="M75" i="7"/>
  <c r="L55" i="7"/>
  <c r="F52" i="7"/>
  <c r="F39" i="7"/>
  <c r="L31" i="7"/>
  <c r="L15" i="7"/>
  <c r="M7" i="7"/>
  <c r="L8" i="7"/>
  <c r="M13" i="7"/>
  <c r="G77" i="7"/>
  <c r="G60" i="7"/>
  <c r="J77" i="7"/>
  <c r="K60" i="7"/>
  <c r="K77" i="7"/>
  <c r="M104" i="7"/>
  <c r="M88" i="7"/>
  <c r="M80" i="7"/>
  <c r="L68" i="7"/>
  <c r="M64" i="7"/>
  <c r="M77" i="7"/>
  <c r="L40" i="7"/>
  <c r="L32" i="7"/>
  <c r="M28" i="7"/>
  <c r="L16" i="7"/>
  <c r="M101" i="7"/>
  <c r="L89" i="7"/>
  <c r="M85" i="7"/>
  <c r="M99" i="7"/>
  <c r="L65" i="7"/>
  <c r="M61" i="7"/>
  <c r="M57" i="7"/>
  <c r="L45" i="7"/>
  <c r="M41" i="7"/>
  <c r="L37" i="7"/>
  <c r="M33" i="7"/>
  <c r="L98" i="7"/>
  <c r="L94" i="7"/>
  <c r="M78" i="7"/>
  <c r="L62" i="7"/>
  <c r="M54" i="7"/>
  <c r="L42" i="7"/>
  <c r="L30" i="7"/>
  <c r="M26" i="7"/>
  <c r="M10" i="7"/>
  <c r="M95" i="7"/>
  <c r="L35" i="7"/>
  <c r="L27" i="7"/>
  <c r="M11" i="7"/>
  <c r="M17" i="7"/>
  <c r="M111" i="7"/>
  <c r="L83" i="7"/>
  <c r="M55" i="7"/>
  <c r="L43" i="7"/>
  <c r="M39" i="7"/>
  <c r="M31" i="7"/>
  <c r="L19" i="7"/>
  <c r="M15" i="7"/>
  <c r="M8" i="7"/>
  <c r="L5" i="7"/>
  <c r="H60" i="7"/>
  <c r="L112" i="7"/>
  <c r="M108" i="7"/>
  <c r="L96" i="7"/>
  <c r="M92" i="7"/>
  <c r="L72" i="7"/>
  <c r="M68" i="7"/>
  <c r="L44" i="7"/>
  <c r="M40" i="7"/>
  <c r="L36" i="7"/>
  <c r="M32" i="7"/>
  <c r="M16" i="7"/>
  <c r="L25" i="7"/>
  <c r="L109" i="7"/>
  <c r="M105" i="7"/>
  <c r="M89" i="7"/>
  <c r="L69" i="7"/>
  <c r="M65" i="7"/>
  <c r="L49" i="7"/>
  <c r="M45" i="7"/>
  <c r="M37" i="7"/>
  <c r="M110" i="7"/>
  <c r="L106" i="7"/>
  <c r="L102" i="7"/>
  <c r="M98" i="7"/>
  <c r="M94" i="7"/>
  <c r="L86" i="7"/>
  <c r="L82" i="7"/>
  <c r="L70" i="7"/>
  <c r="L66" i="7"/>
  <c r="M62" i="7"/>
  <c r="M58" i="7"/>
  <c r="L46" i="7"/>
  <c r="M42" i="7"/>
  <c r="L34" i="7"/>
  <c r="M30" i="7"/>
  <c r="L18" i="7"/>
  <c r="M14" i="7"/>
  <c r="L87" i="7"/>
  <c r="L63" i="7"/>
  <c r="M35" i="7"/>
  <c r="M27" i="7"/>
  <c r="H99" i="7"/>
  <c r="H81" i="7"/>
  <c r="L103" i="7"/>
  <c r="M83" i="7"/>
  <c r="L67" i="7"/>
  <c r="L51" i="7"/>
  <c r="M43" i="7"/>
  <c r="M52" i="7"/>
  <c r="L23" i="7"/>
  <c r="M19" i="7"/>
  <c r="L12" i="7"/>
  <c r="L4" i="7"/>
  <c r="M5" i="7"/>
  <c r="L39" i="7" l="1"/>
  <c r="L60" i="7"/>
  <c r="E32" i="8"/>
  <c r="T32" i="7"/>
  <c r="U32" i="7" s="1"/>
  <c r="L32" i="8" s="1"/>
  <c r="E8" i="8"/>
  <c r="T8" i="7"/>
  <c r="U8" i="7" s="1"/>
  <c r="L8" i="8" s="1"/>
  <c r="E3" i="9"/>
  <c r="T41" i="7"/>
  <c r="U41" i="7" s="1"/>
  <c r="L3" i="9" s="1"/>
  <c r="E69" i="9"/>
  <c r="T107" i="7"/>
  <c r="E18" i="8"/>
  <c r="T18" i="7"/>
  <c r="U18" i="7" s="1"/>
  <c r="L18" i="8" s="1"/>
  <c r="E64" i="9"/>
  <c r="T102" i="7"/>
  <c r="U102" i="7" s="1"/>
  <c r="L64" i="9" s="1"/>
  <c r="E19" i="8"/>
  <c r="T19" i="7"/>
  <c r="U19" i="7" s="1"/>
  <c r="L19" i="8" s="1"/>
  <c r="E27" i="8"/>
  <c r="T27" i="7"/>
  <c r="U27" i="7" s="1"/>
  <c r="L27" i="8" s="1"/>
  <c r="E24" i="9"/>
  <c r="T62" i="7"/>
  <c r="U62" i="7" s="1"/>
  <c r="L24" i="9" s="1"/>
  <c r="E16" i="8"/>
  <c r="T16" i="7"/>
  <c r="U16" i="7" s="1"/>
  <c r="L16" i="8" s="1"/>
  <c r="E40" i="8"/>
  <c r="T40" i="7"/>
  <c r="U40" i="7" s="1"/>
  <c r="L40" i="8" s="1"/>
  <c r="E54" i="9"/>
  <c r="T92" i="7"/>
  <c r="U92" i="7" s="1"/>
  <c r="L54" i="9" s="1"/>
  <c r="E17" i="9"/>
  <c r="T55" i="7"/>
  <c r="U55" i="7" s="1"/>
  <c r="L17" i="9" s="1"/>
  <c r="E11" i="8"/>
  <c r="T11" i="7"/>
  <c r="E10" i="8"/>
  <c r="T10" i="7"/>
  <c r="U10" i="7" s="1"/>
  <c r="L10" i="8" s="1"/>
  <c r="E40" i="9"/>
  <c r="T78" i="7"/>
  <c r="K40" i="9" s="1"/>
  <c r="E33" i="8"/>
  <c r="T33" i="7"/>
  <c r="U33" i="7" s="1"/>
  <c r="L33" i="8" s="1"/>
  <c r="E19" i="9"/>
  <c r="T57" i="7"/>
  <c r="U57" i="7" s="1"/>
  <c r="L19" i="9" s="1"/>
  <c r="E47" i="9"/>
  <c r="T85" i="7"/>
  <c r="U85" i="7" s="1"/>
  <c r="L47" i="9" s="1"/>
  <c r="E39" i="9"/>
  <c r="T77" i="7"/>
  <c r="E50" i="9"/>
  <c r="T88" i="7"/>
  <c r="E41" i="9"/>
  <c r="T79" i="7"/>
  <c r="U79" i="7" s="1"/>
  <c r="L41" i="9" s="1"/>
  <c r="E12" i="9"/>
  <c r="T50" i="7"/>
  <c r="U50" i="7" s="1"/>
  <c r="L12" i="9" s="1"/>
  <c r="E52" i="9"/>
  <c r="T90" i="7"/>
  <c r="E15" i="9"/>
  <c r="T53" i="7"/>
  <c r="U53" i="7" s="1"/>
  <c r="L15" i="9" s="1"/>
  <c r="E43" i="9"/>
  <c r="T81" i="7"/>
  <c r="E75" i="9"/>
  <c r="T113" i="7"/>
  <c r="U113" i="7" s="1"/>
  <c r="L75" i="9" s="1"/>
  <c r="E18" i="9"/>
  <c r="T56" i="7"/>
  <c r="U56" i="7" s="1"/>
  <c r="L18" i="9" s="1"/>
  <c r="E4" i="8"/>
  <c r="T4" i="7"/>
  <c r="U4" i="7" s="1"/>
  <c r="L4" i="8" s="1"/>
  <c r="E13" i="9"/>
  <c r="T51" i="7"/>
  <c r="U51" i="7" s="1"/>
  <c r="L13" i="9" s="1"/>
  <c r="E65" i="9"/>
  <c r="T103" i="7"/>
  <c r="U103" i="7" s="1"/>
  <c r="L65" i="9" s="1"/>
  <c r="E9" i="8"/>
  <c r="T9" i="7"/>
  <c r="E25" i="9"/>
  <c r="T63" i="7"/>
  <c r="E34" i="8"/>
  <c r="T34" i="7"/>
  <c r="E28" i="9"/>
  <c r="T66" i="7"/>
  <c r="U66" i="7" s="1"/>
  <c r="L28" i="9" s="1"/>
  <c r="E48" i="9"/>
  <c r="T86" i="7"/>
  <c r="U86" i="7" s="1"/>
  <c r="L48" i="9" s="1"/>
  <c r="E20" i="8"/>
  <c r="T20" i="7"/>
  <c r="U20" i="7" s="1"/>
  <c r="L20" i="8" s="1"/>
  <c r="E34" i="9"/>
  <c r="T72" i="7"/>
  <c r="E14" i="9"/>
  <c r="T52" i="7"/>
  <c r="E60" i="9"/>
  <c r="T98" i="7"/>
  <c r="U98" i="7" s="1"/>
  <c r="L60" i="9" s="1"/>
  <c r="E30" i="9"/>
  <c r="T68" i="7"/>
  <c r="U68" i="7" s="1"/>
  <c r="L30" i="9" s="1"/>
  <c r="E73" i="9"/>
  <c r="T111" i="7"/>
  <c r="U111" i="7" s="1"/>
  <c r="L73" i="9" s="1"/>
  <c r="E63" i="9"/>
  <c r="T101" i="7"/>
  <c r="U101" i="7" s="1"/>
  <c r="L63" i="9" s="1"/>
  <c r="E59" i="9"/>
  <c r="T97" i="7"/>
  <c r="U97" i="7" s="1"/>
  <c r="L59" i="9" s="1"/>
  <c r="L99" i="7"/>
  <c r="E45" i="9"/>
  <c r="T83" i="7"/>
  <c r="U83" i="7" s="1"/>
  <c r="L45" i="9" s="1"/>
  <c r="E20" i="9"/>
  <c r="T58" i="7"/>
  <c r="K20" i="9" s="1"/>
  <c r="E51" i="9"/>
  <c r="T89" i="7"/>
  <c r="U89" i="7" s="1"/>
  <c r="L51" i="9" s="1"/>
  <c r="E5" i="8"/>
  <c r="T5" i="7"/>
  <c r="U5" i="7" s="1"/>
  <c r="L5" i="8" s="1"/>
  <c r="E35" i="8"/>
  <c r="T35" i="7"/>
  <c r="U35" i="7" s="1"/>
  <c r="L35" i="8" s="1"/>
  <c r="E14" i="8"/>
  <c r="T14" i="7"/>
  <c r="U14" i="7" s="1"/>
  <c r="L14" i="8" s="1"/>
  <c r="E4" i="9"/>
  <c r="T42" i="7"/>
  <c r="E56" i="9"/>
  <c r="T94" i="7"/>
  <c r="U94" i="7" s="1"/>
  <c r="L56" i="9" s="1"/>
  <c r="E72" i="9"/>
  <c r="T110" i="7"/>
  <c r="U110" i="7" s="1"/>
  <c r="L72" i="9" s="1"/>
  <c r="E27" i="9"/>
  <c r="T65" i="7"/>
  <c r="E67" i="9"/>
  <c r="T105" i="7"/>
  <c r="U105" i="7" s="1"/>
  <c r="L67" i="9" s="1"/>
  <c r="E31" i="8"/>
  <c r="T31" i="7"/>
  <c r="U31" i="7" s="1"/>
  <c r="L31" i="8" s="1"/>
  <c r="E16" i="9"/>
  <c r="T54" i="7"/>
  <c r="U54" i="7" s="1"/>
  <c r="L16" i="9" s="1"/>
  <c r="E23" i="9"/>
  <c r="T61" i="7"/>
  <c r="E28" i="8"/>
  <c r="T28" i="7"/>
  <c r="U28" i="7" s="1"/>
  <c r="L28" i="8" s="1"/>
  <c r="E26" i="9"/>
  <c r="T64" i="7"/>
  <c r="E13" i="8"/>
  <c r="T13" i="7"/>
  <c r="E37" i="9"/>
  <c r="T75" i="7"/>
  <c r="U75" i="7" s="1"/>
  <c r="L37" i="9" s="1"/>
  <c r="E3" i="8"/>
  <c r="T3" i="7"/>
  <c r="E53" i="9"/>
  <c r="T91" i="7"/>
  <c r="K53" i="9" s="1"/>
  <c r="E22" i="8"/>
  <c r="T22" i="7"/>
  <c r="E29" i="8"/>
  <c r="T29" i="7"/>
  <c r="E24" i="8"/>
  <c r="T24" i="7"/>
  <c r="E22" i="9"/>
  <c r="T60" i="7"/>
  <c r="U60" i="7" s="1"/>
  <c r="L22" i="9" s="1"/>
  <c r="E46" i="9"/>
  <c r="T84" i="7"/>
  <c r="E12" i="8"/>
  <c r="T12" i="7"/>
  <c r="U12" i="7" s="1"/>
  <c r="L12" i="8" s="1"/>
  <c r="E21" i="9"/>
  <c r="T59" i="7"/>
  <c r="K21" i="9" s="1"/>
  <c r="U107" i="7"/>
  <c r="L69" i="9" s="1"/>
  <c r="E21" i="8"/>
  <c r="T21" i="7"/>
  <c r="U21" i="7" s="1"/>
  <c r="L21" i="8" s="1"/>
  <c r="E32" i="9"/>
  <c r="T70" i="7"/>
  <c r="U90" i="7"/>
  <c r="L52" i="9" s="1"/>
  <c r="E11" i="9"/>
  <c r="T49" i="7"/>
  <c r="L81" i="7"/>
  <c r="E71" i="9"/>
  <c r="T109" i="7"/>
  <c r="U109" i="7" s="1"/>
  <c r="L71" i="9" s="1"/>
  <c r="E74" i="9"/>
  <c r="T112" i="7"/>
  <c r="U112" i="7" s="1"/>
  <c r="L74" i="9" s="1"/>
  <c r="E39" i="8"/>
  <c r="T39" i="7"/>
  <c r="U39" i="7" s="1"/>
  <c r="L39" i="8" s="1"/>
  <c r="E37" i="8"/>
  <c r="T37" i="7"/>
  <c r="E70" i="9"/>
  <c r="T108" i="7"/>
  <c r="U108" i="7" s="1"/>
  <c r="L70" i="9" s="1"/>
  <c r="E26" i="8"/>
  <c r="T26" i="7"/>
  <c r="E66" i="9"/>
  <c r="T104" i="7"/>
  <c r="E36" i="9"/>
  <c r="T74" i="7"/>
  <c r="E29" i="9"/>
  <c r="T67" i="7"/>
  <c r="E8" i="9"/>
  <c r="T46" i="7"/>
  <c r="U46" i="7" s="1"/>
  <c r="L8" i="9" s="1"/>
  <c r="E36" i="8"/>
  <c r="T36" i="7"/>
  <c r="E5" i="9"/>
  <c r="T43" i="7"/>
  <c r="U43" i="7" s="1"/>
  <c r="L5" i="9" s="1"/>
  <c r="E30" i="8"/>
  <c r="T30" i="7"/>
  <c r="U30" i="7" s="1"/>
  <c r="L30" i="8" s="1"/>
  <c r="E7" i="9"/>
  <c r="T45" i="7"/>
  <c r="U45" i="7" s="1"/>
  <c r="L7" i="9" s="1"/>
  <c r="U72" i="7"/>
  <c r="L34" i="9" s="1"/>
  <c r="E15" i="8"/>
  <c r="T15" i="7"/>
  <c r="E17" i="8"/>
  <c r="T17" i="7"/>
  <c r="E57" i="9"/>
  <c r="T95" i="7"/>
  <c r="E61" i="9"/>
  <c r="T99" i="7"/>
  <c r="E42" i="9"/>
  <c r="T80" i="7"/>
  <c r="E7" i="8"/>
  <c r="T7" i="7"/>
  <c r="L52" i="7"/>
  <c r="E33" i="9"/>
  <c r="T71" i="7"/>
  <c r="E6" i="8"/>
  <c r="T6" i="7"/>
  <c r="U6" i="7" s="1"/>
  <c r="L6" i="8" s="1"/>
  <c r="E38" i="8"/>
  <c r="T38" i="7"/>
  <c r="E35" i="9"/>
  <c r="T73" i="7"/>
  <c r="E10" i="9"/>
  <c r="T48" i="7"/>
  <c r="U48" i="7" s="1"/>
  <c r="L10" i="9" s="1"/>
  <c r="E38" i="9"/>
  <c r="T76" i="7"/>
  <c r="E62" i="9"/>
  <c r="T100" i="7"/>
  <c r="E23" i="8"/>
  <c r="T23" i="7"/>
  <c r="U23" i="7" s="1"/>
  <c r="L23" i="8" s="1"/>
  <c r="E9" i="9"/>
  <c r="T47" i="7"/>
  <c r="U47" i="7" s="1"/>
  <c r="L9" i="9" s="1"/>
  <c r="E49" i="9"/>
  <c r="T87" i="7"/>
  <c r="U87" i="7" s="1"/>
  <c r="L49" i="9" s="1"/>
  <c r="E44" i="9"/>
  <c r="T82" i="7"/>
  <c r="E68" i="9"/>
  <c r="T106" i="7"/>
  <c r="E31" i="9"/>
  <c r="T69" i="7"/>
  <c r="U69" i="7" s="1"/>
  <c r="L31" i="9" s="1"/>
  <c r="E55" i="9"/>
  <c r="T93" i="7"/>
  <c r="E25" i="8"/>
  <c r="T25" i="7"/>
  <c r="E6" i="9"/>
  <c r="T44" i="7"/>
  <c r="L77" i="7"/>
  <c r="E58" i="9"/>
  <c r="T96" i="7"/>
  <c r="U96" i="7" s="1"/>
  <c r="L58" i="9" s="1"/>
  <c r="U81" i="7" l="1"/>
  <c r="L43" i="9" s="1"/>
  <c r="U52" i="7"/>
  <c r="L14" i="9" s="1"/>
  <c r="U77" i="7"/>
  <c r="L39" i="9" s="1"/>
  <c r="K9" i="9"/>
  <c r="K39" i="8"/>
  <c r="U71" i="7"/>
  <c r="L33" i="9" s="1"/>
  <c r="U13" i="7"/>
  <c r="L13" i="8" s="1"/>
  <c r="K16" i="9"/>
  <c r="K35" i="8"/>
  <c r="K51" i="9"/>
  <c r="K59" i="9"/>
  <c r="U73" i="7"/>
  <c r="L35" i="9" s="1"/>
  <c r="K28" i="9"/>
  <c r="K65" i="9"/>
  <c r="K4" i="8"/>
  <c r="K18" i="9"/>
  <c r="K43" i="9"/>
  <c r="K52" i="9"/>
  <c r="K10" i="8"/>
  <c r="K17" i="9"/>
  <c r="K19" i="8"/>
  <c r="K69" i="9"/>
  <c r="K3" i="9"/>
  <c r="K32" i="8"/>
  <c r="K31" i="9"/>
  <c r="K49" i="9"/>
  <c r="K30" i="8"/>
  <c r="K58" i="9"/>
  <c r="U22" i="7"/>
  <c r="L22" i="8" s="1"/>
  <c r="K10" i="9"/>
  <c r="K6" i="8"/>
  <c r="K7" i="9"/>
  <c r="K5" i="9"/>
  <c r="K8" i="9"/>
  <c r="K70" i="9"/>
  <c r="K74" i="9"/>
  <c r="U24" i="7"/>
  <c r="L24" i="8" s="1"/>
  <c r="K21" i="8"/>
  <c r="K37" i="9"/>
  <c r="K28" i="8"/>
  <c r="K31" i="8"/>
  <c r="U44" i="7"/>
  <c r="L6" i="9" s="1"/>
  <c r="K56" i="9"/>
  <c r="K45" i="9"/>
  <c r="U99" i="7"/>
  <c r="L61" i="9" s="1"/>
  <c r="U3" i="7"/>
  <c r="L3" i="8" s="1"/>
  <c r="K73" i="9"/>
  <c r="K60" i="9"/>
  <c r="U100" i="7"/>
  <c r="L62" i="9" s="1"/>
  <c r="K20" i="8"/>
  <c r="U29" i="7"/>
  <c r="L29" i="8" s="1"/>
  <c r="K41" i="9"/>
  <c r="U15" i="7"/>
  <c r="L15" i="8" s="1"/>
  <c r="K19" i="9"/>
  <c r="K40" i="8"/>
  <c r="U93" i="7"/>
  <c r="L55" i="9" s="1"/>
  <c r="K24" i="9"/>
  <c r="K27" i="8"/>
  <c r="K18" i="8"/>
  <c r="U61" i="7"/>
  <c r="L23" i="9" s="1"/>
  <c r="K71" i="9"/>
  <c r="U38" i="7"/>
  <c r="L38" i="8" s="1"/>
  <c r="K12" i="8"/>
  <c r="K22" i="9"/>
  <c r="U37" i="7"/>
  <c r="L37" i="8" s="1"/>
  <c r="K14" i="8"/>
  <c r="U36" i="7"/>
  <c r="L36" i="8" s="1"/>
  <c r="U82" i="7"/>
  <c r="L44" i="9" s="1"/>
  <c r="U7" i="7"/>
  <c r="L7" i="8" s="1"/>
  <c r="U95" i="7"/>
  <c r="L57" i="9" s="1"/>
  <c r="K34" i="9"/>
  <c r="K48" i="9"/>
  <c r="U9" i="7"/>
  <c r="L9" i="8" s="1"/>
  <c r="K13" i="9"/>
  <c r="U104" i="7"/>
  <c r="L66" i="9" s="1"/>
  <c r="K75" i="9"/>
  <c r="K15" i="9"/>
  <c r="K12" i="9"/>
  <c r="U49" i="7"/>
  <c r="L11" i="9" s="1"/>
  <c r="U84" i="7"/>
  <c r="L46" i="9" s="1"/>
  <c r="U26" i="7"/>
  <c r="L26" i="8" s="1"/>
  <c r="K8" i="8"/>
  <c r="U70" i="7"/>
  <c r="L32" i="9" s="1"/>
  <c r="K23" i="8"/>
  <c r="U76" i="7"/>
  <c r="L38" i="9" s="1"/>
  <c r="K67" i="9"/>
  <c r="K72" i="9"/>
  <c r="K5" i="8"/>
  <c r="U25" i="7"/>
  <c r="L25" i="8" s="1"/>
  <c r="U74" i="7"/>
  <c r="L36" i="9" s="1"/>
  <c r="U64" i="7"/>
  <c r="L26" i="9" s="1"/>
  <c r="K63" i="9"/>
  <c r="K30" i="9"/>
  <c r="K14" i="9"/>
  <c r="U80" i="7"/>
  <c r="L42" i="9" s="1"/>
  <c r="U17" i="7"/>
  <c r="L17" i="8" s="1"/>
  <c r="K47" i="9"/>
  <c r="K33" i="8"/>
  <c r="U42" i="7"/>
  <c r="L4" i="9" s="1"/>
  <c r="K54" i="9"/>
  <c r="K16" i="8"/>
  <c r="U106" i="7"/>
  <c r="L68" i="9" s="1"/>
  <c r="U34" i="7"/>
  <c r="L34" i="8" s="1"/>
  <c r="U63" i="7"/>
  <c r="L25" i="9" s="1"/>
  <c r="K64" i="9"/>
  <c r="U88" i="7"/>
  <c r="L50" i="9" s="1"/>
  <c r="U11" i="7"/>
  <c r="L11" i="8" s="1"/>
  <c r="U65" i="7"/>
  <c r="L27" i="9" s="1"/>
  <c r="U67" i="7"/>
  <c r="L29" i="9" s="1"/>
  <c r="K13" i="8" l="1"/>
  <c r="K36" i="9"/>
  <c r="K11" i="9"/>
  <c r="K36" i="8"/>
  <c r="K38" i="9"/>
  <c r="K39" i="9"/>
  <c r="K9" i="8"/>
  <c r="K15" i="8"/>
  <c r="K66" i="9"/>
  <c r="K55" i="9"/>
  <c r="K4" i="9"/>
  <c r="K35" i="9"/>
  <c r="K22" i="8"/>
  <c r="K17" i="8"/>
  <c r="K6" i="9"/>
  <c r="K25" i="8"/>
  <c r="K29" i="8"/>
  <c r="K32" i="9"/>
  <c r="K7" i="8"/>
  <c r="K11" i="8"/>
  <c r="K61" i="9"/>
  <c r="K27" i="9"/>
  <c r="K57" i="9"/>
  <c r="K26" i="8"/>
  <c r="K25" i="9"/>
  <c r="K23" i="9"/>
  <c r="K24" i="8"/>
  <c r="K26" i="9"/>
  <c r="K33" i="9"/>
  <c r="K50" i="9"/>
  <c r="K34" i="8"/>
  <c r="K42" i="9"/>
  <c r="K62" i="9"/>
  <c r="K68" i="9"/>
  <c r="K29" i="9"/>
  <c r="K44" i="9"/>
  <c r="K46" i="9"/>
  <c r="K37" i="8"/>
  <c r="K3" i="8"/>
  <c r="K38" i="8"/>
</calcChain>
</file>

<file path=xl/sharedStrings.xml><?xml version="1.0" encoding="utf-8"?>
<sst xmlns="http://schemas.openxmlformats.org/spreadsheetml/2006/main" count="11071" uniqueCount="1672">
  <si>
    <t>S1 — 26/07 AU 26/07/2026 — STANDARD 0 H</t>
  </si>
  <si>
    <t>ID ZK</t>
  </si>
  <si>
    <t>Nom</t>
  </si>
  <si>
    <t>Prénom</t>
  </si>
  <si>
    <t>Département</t>
  </si>
  <si>
    <t>Catégorie MOI/MOD</t>
  </si>
  <si>
    <t>Dim. 26/07</t>
  </si>
  <si>
    <t>Heures standard (h)</t>
  </si>
  <si>
    <t>Travail total (h)</t>
  </si>
  <si>
    <t>Heures normales (h)</t>
  </si>
  <si>
    <t>HS 75% (h)</t>
  </si>
  <si>
    <t>HS 100% (h)</t>
  </si>
  <si>
    <t>ABS</t>
  </si>
  <si>
    <t>Congé payé (j) — seulement « Congé »</t>
  </si>
  <si>
    <t>Jour férié (j)</t>
  </si>
  <si>
    <t>Total (h)</t>
  </si>
  <si>
    <t>Contrôle</t>
  </si>
  <si>
    <t>0025</t>
  </si>
  <si>
    <t>JABNOUN</t>
  </si>
  <si>
    <t>MOUNA</t>
  </si>
  <si>
    <t>01. Direction</t>
  </si>
  <si>
    <t>MOI</t>
  </si>
  <si>
    <t>Repos</t>
  </si>
  <si>
    <t>0081</t>
  </si>
  <si>
    <t>LAKHEL</t>
  </si>
  <si>
    <t>MOHAMED</t>
  </si>
  <si>
    <t>0019</t>
  </si>
  <si>
    <t>TRIMECHE</t>
  </si>
  <si>
    <t>CHAIMA</t>
  </si>
  <si>
    <t>AKKARI</t>
  </si>
  <si>
    <t>FAROUK</t>
  </si>
  <si>
    <t>02. Production</t>
  </si>
  <si>
    <t>0022</t>
  </si>
  <si>
    <t>AMAMOU</t>
  </si>
  <si>
    <t>ALI</t>
  </si>
  <si>
    <t>0013</t>
  </si>
  <si>
    <t>DHIBI</t>
  </si>
  <si>
    <t>TAOUFIK</t>
  </si>
  <si>
    <t>0016</t>
  </si>
  <si>
    <t>EZZEDINI</t>
  </si>
  <si>
    <t>HASSEN</t>
  </si>
  <si>
    <t>0017</t>
  </si>
  <si>
    <t>FERJANI</t>
  </si>
  <si>
    <t>MOKHLES</t>
  </si>
  <si>
    <t>0023</t>
  </si>
  <si>
    <t>TLILI</t>
  </si>
  <si>
    <t>ABDELMAJID</t>
  </si>
  <si>
    <t>0029</t>
  </si>
  <si>
    <t>MASSOUDI</t>
  </si>
  <si>
    <t>03. Qualité</t>
  </si>
  <si>
    <t>GHARSALLAH</t>
  </si>
  <si>
    <t>RAWYA</t>
  </si>
  <si>
    <t>HAMAD</t>
  </si>
  <si>
    <t>MOURAD</t>
  </si>
  <si>
    <t>0003</t>
  </si>
  <si>
    <t>JEDDA</t>
  </si>
  <si>
    <t>SAFA</t>
  </si>
  <si>
    <t>0197</t>
  </si>
  <si>
    <t>SAIDI</t>
  </si>
  <si>
    <t>SANA</t>
  </si>
  <si>
    <t>0198</t>
  </si>
  <si>
    <t>SONIA</t>
  </si>
  <si>
    <t>SEHLI</t>
  </si>
  <si>
    <t>EYA</t>
  </si>
  <si>
    <t>0066</t>
  </si>
  <si>
    <t>ZAAG</t>
  </si>
  <si>
    <t>NAOURES</t>
  </si>
  <si>
    <t>0014</t>
  </si>
  <si>
    <t>ABDENNOUR</t>
  </si>
  <si>
    <t>04. Maintenance</t>
  </si>
  <si>
    <t>0024</t>
  </si>
  <si>
    <t>DRIDI</t>
  </si>
  <si>
    <t>SLAH</t>
  </si>
  <si>
    <t>0140</t>
  </si>
  <si>
    <t>FRIGUI</t>
  </si>
  <si>
    <t>KOUSSAY</t>
  </si>
  <si>
    <t>KHEDHER</t>
  </si>
  <si>
    <t>SALEM</t>
  </si>
  <si>
    <t>0020</t>
  </si>
  <si>
    <t>LAAYOUNI</t>
  </si>
  <si>
    <t>ANOUAR</t>
  </si>
  <si>
    <t>0004</t>
  </si>
  <si>
    <t>ZAIDI</t>
  </si>
  <si>
    <t>SEIFEDDINE</t>
  </si>
  <si>
    <t>0012</t>
  </si>
  <si>
    <t>SOUSSI</t>
  </si>
  <si>
    <t>FATEN</t>
  </si>
  <si>
    <t>05. Logistique</t>
  </si>
  <si>
    <t>WERFELLI</t>
  </si>
  <si>
    <t>OUSSEMA</t>
  </si>
  <si>
    <t>ABID</t>
  </si>
  <si>
    <t>KHMAIS</t>
  </si>
  <si>
    <t>06. RH</t>
  </si>
  <si>
    <t>0031</t>
  </si>
  <si>
    <t>ALAYA</t>
  </si>
  <si>
    <t>ZOHRA</t>
  </si>
  <si>
    <t>ATTIYA</t>
  </si>
  <si>
    <t>NAJEH</t>
  </si>
  <si>
    <t>AZZEBI</t>
  </si>
  <si>
    <t>ATEF</t>
  </si>
  <si>
    <t>BEN SAAD</t>
  </si>
  <si>
    <t>ZIED</t>
  </si>
  <si>
    <t>BRAHEM</t>
  </si>
  <si>
    <t>WISSEM</t>
  </si>
  <si>
    <t>BRAHIM</t>
  </si>
  <si>
    <t>HAMDI</t>
  </si>
  <si>
    <t>CHOGHRANI</t>
  </si>
  <si>
    <t>HAYKEL</t>
  </si>
  <si>
    <t>EL AYEB</t>
  </si>
  <si>
    <t>0006</t>
  </si>
  <si>
    <t>ESSID</t>
  </si>
  <si>
    <t>HOUSSEM EDDINE</t>
  </si>
  <si>
    <t>GUEDER</t>
  </si>
  <si>
    <t>AHLEM</t>
  </si>
  <si>
    <t>0100</t>
  </si>
  <si>
    <t>MLAIKIA</t>
  </si>
  <si>
    <t>JAWAHER</t>
  </si>
  <si>
    <t>0010</t>
  </si>
  <si>
    <t>RTIBI</t>
  </si>
  <si>
    <t>MOKHTAR</t>
  </si>
  <si>
    <t>0107</t>
  </si>
  <si>
    <t>ABBES</t>
  </si>
  <si>
    <t>WALID</t>
  </si>
  <si>
    <t>MOD</t>
  </si>
  <si>
    <t>0167</t>
  </si>
  <si>
    <t>ALAA</t>
  </si>
  <si>
    <t>0205</t>
  </si>
  <si>
    <t>AJEJ</t>
  </si>
  <si>
    <t>MOOTEZ</t>
  </si>
  <si>
    <t>ALLEGUI</t>
  </si>
  <si>
    <t>AMEL</t>
  </si>
  <si>
    <t>0148</t>
  </si>
  <si>
    <t>ALOUI</t>
  </si>
  <si>
    <t>HANADI</t>
  </si>
  <si>
    <t>0141</t>
  </si>
  <si>
    <t>AMMAR</t>
  </si>
  <si>
    <t>NJIMA</t>
  </si>
  <si>
    <t>0047</t>
  </si>
  <si>
    <t>ASSADI</t>
  </si>
  <si>
    <t>HAJER</t>
  </si>
  <si>
    <t>0136</t>
  </si>
  <si>
    <t>ATTAFI</t>
  </si>
  <si>
    <t>SKANDER</t>
  </si>
  <si>
    <t>0156</t>
  </si>
  <si>
    <t>BACCAR</t>
  </si>
  <si>
    <t>Islem</t>
  </si>
  <si>
    <t>0093</t>
  </si>
  <si>
    <t>BEN ABDELKADER</t>
  </si>
  <si>
    <t>HADIR</t>
  </si>
  <si>
    <t>0104</t>
  </si>
  <si>
    <t>BEN IBRAHIM</t>
  </si>
  <si>
    <t>BADREDDINE</t>
  </si>
  <si>
    <t>MOHANNED</t>
  </si>
  <si>
    <t>BESSWA</t>
  </si>
  <si>
    <t>YASMINE</t>
  </si>
  <si>
    <t>0179</t>
  </si>
  <si>
    <t>BORJI</t>
  </si>
  <si>
    <t>0150</t>
  </si>
  <si>
    <t>BOUATAY</t>
  </si>
  <si>
    <t>ALMA</t>
  </si>
  <si>
    <t>BOUYATTAY</t>
  </si>
  <si>
    <t>SENDA</t>
  </si>
  <si>
    <t>BRICHNI</t>
  </si>
  <si>
    <t>ZAINEB</t>
  </si>
  <si>
    <t>0052</t>
  </si>
  <si>
    <t>CHEDLY</t>
  </si>
  <si>
    <t>LAMIS</t>
  </si>
  <si>
    <t>0061</t>
  </si>
  <si>
    <t>CHENCHEN</t>
  </si>
  <si>
    <t>MANEL</t>
  </si>
  <si>
    <t>CHIBA</t>
  </si>
  <si>
    <t>RANIM</t>
  </si>
  <si>
    <t>0211</t>
  </si>
  <si>
    <t>CHIKHAOUI</t>
  </si>
  <si>
    <t>KHOULOUD</t>
  </si>
  <si>
    <t>0222</t>
  </si>
  <si>
    <t>DACHRAOUI</t>
  </si>
  <si>
    <t>TAYSIR</t>
  </si>
  <si>
    <t>0109</t>
  </si>
  <si>
    <t>DHIFALLAH</t>
  </si>
  <si>
    <t>INES</t>
  </si>
  <si>
    <t>0119</t>
  </si>
  <si>
    <t>DIWANI</t>
  </si>
  <si>
    <t>RAHMA</t>
  </si>
  <si>
    <t>EDWENI</t>
  </si>
  <si>
    <t>ONS</t>
  </si>
  <si>
    <t>0175</t>
  </si>
  <si>
    <t>ELOUAER</t>
  </si>
  <si>
    <t>AMENI</t>
  </si>
  <si>
    <t>0201</t>
  </si>
  <si>
    <t>GAABEL</t>
  </si>
  <si>
    <t>ZAHRA</t>
  </si>
  <si>
    <t>0111</t>
  </si>
  <si>
    <t>GARHELAL</t>
  </si>
  <si>
    <t>AZZA</t>
  </si>
  <si>
    <t>GUEZMIL</t>
  </si>
  <si>
    <t>DOUAA</t>
  </si>
  <si>
    <t>0182</t>
  </si>
  <si>
    <t>NESRINE</t>
  </si>
  <si>
    <t>0191</t>
  </si>
  <si>
    <t>Sirine</t>
  </si>
  <si>
    <t>0217</t>
  </si>
  <si>
    <t>YOSRA</t>
  </si>
  <si>
    <t>0220</t>
  </si>
  <si>
    <t>GURISSA</t>
  </si>
  <si>
    <t>FARAH</t>
  </si>
  <si>
    <t>0210</t>
  </si>
  <si>
    <t>HAMROUNI</t>
  </si>
  <si>
    <t>KHADIJA</t>
  </si>
  <si>
    <t>0185</t>
  </si>
  <si>
    <t>HAMZAOUI</t>
  </si>
  <si>
    <t>ARWA</t>
  </si>
  <si>
    <t>HASNI</t>
  </si>
  <si>
    <t>0192</t>
  </si>
  <si>
    <t>HOUASSE</t>
  </si>
  <si>
    <t>HRABI</t>
  </si>
  <si>
    <t>ISSA</t>
  </si>
  <si>
    <t>KACEM</t>
  </si>
  <si>
    <t>MALEK</t>
  </si>
  <si>
    <t>0212</t>
  </si>
  <si>
    <t>KHALFALLAH</t>
  </si>
  <si>
    <t>IBTISSEM</t>
  </si>
  <si>
    <t>0094</t>
  </si>
  <si>
    <t>KHAMMAR</t>
  </si>
  <si>
    <t>KHMISSI</t>
  </si>
  <si>
    <t>ASMA</t>
  </si>
  <si>
    <t>KLAII</t>
  </si>
  <si>
    <t>MARAM</t>
  </si>
  <si>
    <t>0200</t>
  </si>
  <si>
    <t>NERMINE</t>
  </si>
  <si>
    <t>LABBEN</t>
  </si>
  <si>
    <t>0176</t>
  </si>
  <si>
    <t>LADJIMI</t>
  </si>
  <si>
    <t>BOCHRA</t>
  </si>
  <si>
    <t>FRADJ</t>
  </si>
  <si>
    <t>0067</t>
  </si>
  <si>
    <t>MAROUEN</t>
  </si>
  <si>
    <t>0196</t>
  </si>
  <si>
    <t>LTAIEFA</t>
  </si>
  <si>
    <t>ILEF</t>
  </si>
  <si>
    <t>0202</t>
  </si>
  <si>
    <t>MABROUK</t>
  </si>
  <si>
    <t>FERIEL</t>
  </si>
  <si>
    <t>0162</t>
  </si>
  <si>
    <t>MAHJOUB</t>
  </si>
  <si>
    <t>ABDELAZIZ</t>
  </si>
  <si>
    <t>0092</t>
  </si>
  <si>
    <t>MANAI</t>
  </si>
  <si>
    <t>SARRA</t>
  </si>
  <si>
    <t>0152</t>
  </si>
  <si>
    <t>MANSOUR</t>
  </si>
  <si>
    <t>Nour</t>
  </si>
  <si>
    <t>0208</t>
  </si>
  <si>
    <t>MASOUD</t>
  </si>
  <si>
    <t>ISLEM</t>
  </si>
  <si>
    <t>0172</t>
  </si>
  <si>
    <t>MZOUGHI</t>
  </si>
  <si>
    <t>TASNIM</t>
  </si>
  <si>
    <t>NASRALLI</t>
  </si>
  <si>
    <t>THOURAYA</t>
  </si>
  <si>
    <t>0155</t>
  </si>
  <si>
    <t>OUESLETI</t>
  </si>
  <si>
    <t>REZGUI</t>
  </si>
  <si>
    <t>MAJED</t>
  </si>
  <si>
    <t>RJEYBI</t>
  </si>
  <si>
    <t>AMAL</t>
  </si>
  <si>
    <t>0113</t>
  </si>
  <si>
    <t>ROUISSI</t>
  </si>
  <si>
    <t>0115</t>
  </si>
  <si>
    <t>SALHI</t>
  </si>
  <si>
    <t>ROMDHANA</t>
  </si>
  <si>
    <t>0143</t>
  </si>
  <si>
    <t>SGHAEIR</t>
  </si>
  <si>
    <t>MAHDI</t>
  </si>
  <si>
    <t>0187</t>
  </si>
  <si>
    <t>NOUHA</t>
  </si>
  <si>
    <t>0154</t>
  </si>
  <si>
    <t>SNOUSSI</t>
  </si>
  <si>
    <t>SAMAR</t>
  </si>
  <si>
    <t>ZAIRI</t>
  </si>
  <si>
    <t>FADOUA</t>
  </si>
  <si>
    <t>ZAOUALI</t>
  </si>
  <si>
    <t>CHAYMA</t>
  </si>
  <si>
    <t>0214</t>
  </si>
  <si>
    <t>ZAYERi</t>
  </si>
  <si>
    <t>HAZAR</t>
  </si>
  <si>
    <t>0033</t>
  </si>
  <si>
    <t>OUERTATANI</t>
  </si>
  <si>
    <t>0121</t>
  </si>
  <si>
    <t>AYED</t>
  </si>
  <si>
    <t>HAZEM</t>
  </si>
  <si>
    <t>0133</t>
  </si>
  <si>
    <t>BEN KHEDHER</t>
  </si>
  <si>
    <t>0159</t>
  </si>
  <si>
    <t>BOUAKROUCHA</t>
  </si>
  <si>
    <t>YASSINE</t>
  </si>
  <si>
    <t>0116</t>
  </si>
  <si>
    <t>OMAR</t>
  </si>
  <si>
    <t>MANNAI</t>
  </si>
  <si>
    <t>SAMI</t>
  </si>
  <si>
    <t>S2 — 27/07 AU 02/08/2026 — STANDARD 48 H</t>
  </si>
  <si>
    <t>Lun. 27/07</t>
  </si>
  <si>
    <t>Mar. 28/07</t>
  </si>
  <si>
    <t>Mer. 29/07</t>
  </si>
  <si>
    <t>Jeu. 30/07</t>
  </si>
  <si>
    <t>Ven. 31/07</t>
  </si>
  <si>
    <t>Sam. 01/08</t>
  </si>
  <si>
    <t>Dim. 02/08</t>
  </si>
  <si>
    <t>repos</t>
  </si>
  <si>
    <t>STC</t>
  </si>
  <si>
    <t>CM</t>
  </si>
  <si>
    <t>congé</t>
  </si>
  <si>
    <t>Congé</t>
  </si>
  <si>
    <t>CSS</t>
  </si>
  <si>
    <t>S3 — 03/08 AU 09/08/2026 — STANDARD 48 H</t>
  </si>
  <si>
    <t>Lun. 03/08</t>
  </si>
  <si>
    <t>Mar. 04/08</t>
  </si>
  <si>
    <t>Mer. 05/08</t>
  </si>
  <si>
    <t>Jeu. 06/08</t>
  </si>
  <si>
    <t>Ven. 07/08</t>
  </si>
  <si>
    <t>Sam. 08/08</t>
  </si>
  <si>
    <t>Dim. 09/08</t>
  </si>
  <si>
    <t>S4 — 10/08 AU 16/08/2026 — STANDARD 48 H</t>
  </si>
  <si>
    <t>Lun. 10/08</t>
  </si>
  <si>
    <t>Mar. 11/08</t>
  </si>
  <si>
    <t>Mer. 12/08</t>
  </si>
  <si>
    <t>Jeu. 13/08</t>
  </si>
  <si>
    <t>Ven. 14/08</t>
  </si>
  <si>
    <t>Sam. 15/08</t>
  </si>
  <si>
    <t>Dim. 16/08</t>
  </si>
  <si>
    <t>S5 — 17/08 AU 23/08/2026 — STANDARD 48 H</t>
  </si>
  <si>
    <t>Lun. 17/08</t>
  </si>
  <si>
    <t>Mar. 18/08</t>
  </si>
  <si>
    <t>Mer. 19/08</t>
  </si>
  <si>
    <t>Jeu. 20/08</t>
  </si>
  <si>
    <t>Ven. 21/08</t>
  </si>
  <si>
    <t>Sam. 22/08</t>
  </si>
  <si>
    <t>Dim. 23/08</t>
  </si>
  <si>
    <t>S6 — 24/08 AU 25/08/2026 — STANDARD 16 H</t>
  </si>
  <si>
    <t>Lun. 24/08</t>
  </si>
  <si>
    <t>Mar. 25/08</t>
  </si>
  <si>
    <t>TOTAL DU MOIS — 26/07 AU 25/08/2026</t>
  </si>
  <si>
    <t>S1_26_JUIL</t>
  </si>
  <si>
    <t>S2_27_JUIL-02_AOUT</t>
  </si>
  <si>
    <t>S3_03-09_AOUT</t>
  </si>
  <si>
    <t>S4_10-16_AOUT</t>
  </si>
  <si>
    <t>S5_17-23_AOUT</t>
  </si>
  <si>
    <t>S6_24-25_AOUT</t>
  </si>
  <si>
    <t>Total mois (h)</t>
  </si>
  <si>
    <t>Matricule ZK</t>
  </si>
  <si>
    <t>Jours standards</t>
  </si>
  <si>
    <t>Jours normaux</t>
  </si>
  <si>
    <t>HS 75% (j)</t>
  </si>
  <si>
    <t>HS 100% (j)</t>
  </si>
  <si>
    <t>ABS (j)</t>
  </si>
  <si>
    <t>Jours fériés payés</t>
  </si>
  <si>
    <t>Total (j)</t>
  </si>
  <si>
    <t>Heures standard</t>
  </si>
  <si>
    <t>Heures normales</t>
  </si>
  <si>
    <t>Congé payé (h) — seulement « Congé »</t>
  </si>
  <si>
    <t>Heures fériées payées</t>
  </si>
  <si>
    <t>PARAMÈTRES DES RÉGIMES DE TRAVAIL</t>
  </si>
  <si>
    <t>Nom et prénom</t>
  </si>
  <si>
    <t>Service</t>
  </si>
  <si>
    <t>Règle appliquée</t>
  </si>
  <si>
    <t>Poste</t>
  </si>
  <si>
    <t>Durée à saisir</t>
  </si>
  <si>
    <t>ESSID HOUSSEM EDDINE</t>
  </si>
  <si>
    <t>GARDIENNAGE</t>
  </si>
  <si>
    <t>Dimanche = heures normales, jamais HS 100 %</t>
  </si>
  <si>
    <t>INJ</t>
  </si>
  <si>
    <t>06:00 à 14:00</t>
  </si>
  <si>
    <t>08:00</t>
  </si>
  <si>
    <t>135</t>
  </si>
  <si>
    <t>ABID KHMAIS</t>
  </si>
  <si>
    <t>14:00 à 22:00</t>
  </si>
  <si>
    <t>227</t>
  </si>
  <si>
    <t>BEN SAAD ZIED</t>
  </si>
  <si>
    <t>22:00 à 06:00</t>
  </si>
  <si>
    <t>251</t>
  </si>
  <si>
    <t>BRAHEM WISSEM</t>
  </si>
  <si>
    <t>50</t>
  </si>
  <si>
    <t>CHOGHRANI HAYKEL</t>
  </si>
  <si>
    <t>Important</t>
  </si>
  <si>
    <t>Saisie dans le pointage</t>
  </si>
  <si>
    <t>Entrer 08:00 pour chaque poste complet</t>
  </si>
  <si>
    <t>70</t>
  </si>
  <si>
    <t>BRAHIM HAMDI</t>
  </si>
  <si>
    <t>Gardiens</t>
  </si>
  <si>
    <t>Travail du dimanche</t>
  </si>
  <si>
    <t>Compté en normal, HS 100 % = 0</t>
  </si>
  <si>
    <t>71</t>
  </si>
  <si>
    <t>AZZEBI ATEF</t>
  </si>
  <si>
    <t>EZZEDINI HASSEN</t>
  </si>
  <si>
    <t>Poste 8 h : 06–14 / 14–22 / 22–06</t>
  </si>
  <si>
    <t>RÈGLE DES 3 TYPES DE CONGÉ</t>
  </si>
  <si>
    <t>FERJANI MOKHLES</t>
  </si>
  <si>
    <t>Valeur calculée</t>
  </si>
  <si>
    <t>Traitement paie</t>
  </si>
  <si>
    <t>AMAMOU ALI</t>
  </si>
  <si>
    <t>1 jour</t>
  </si>
  <si>
    <t>Payé / ajouté au total</t>
  </si>
  <si>
    <t>TLILI ABDELMAJID</t>
  </si>
  <si>
    <t>Congé sans solde</t>
  </si>
  <si>
    <t>0 jour</t>
  </si>
  <si>
    <t>Non payé / non ajouté</t>
  </si>
  <si>
    <t>EYA OUERTATANI</t>
  </si>
  <si>
    <t>Congé maladie</t>
  </si>
  <si>
    <t>Non ajouté au total</t>
  </si>
  <si>
    <t>ASSADI HAJER</t>
  </si>
  <si>
    <t>GARHELAL AZZA</t>
  </si>
  <si>
    <t>ROUISSI EYA</t>
  </si>
  <si>
    <t>SALHI ROMDHANA</t>
  </si>
  <si>
    <t>DIWANI RAHMA</t>
  </si>
  <si>
    <t>ATTAFI SKANDER</t>
  </si>
  <si>
    <t>Code</t>
  </si>
  <si>
    <t>Libellé</t>
  </si>
  <si>
    <t>Calcul</t>
  </si>
  <si>
    <t>SGHAEIR MAHDI</t>
  </si>
  <si>
    <t>Congé payé</t>
  </si>
  <si>
    <t>HOUASSE SONIA</t>
  </si>
  <si>
    <t>MASOUD ISLEM</t>
  </si>
  <si>
    <t>118</t>
  </si>
  <si>
    <t>KHMISSI ASMA</t>
  </si>
  <si>
    <t>Couleur</t>
  </si>
  <si>
    <t>CSS et CM en bleu</t>
  </si>
  <si>
    <t>Information</t>
  </si>
  <si>
    <t>234</t>
  </si>
  <si>
    <t>KACEM MALEK</t>
  </si>
  <si>
    <t>94</t>
  </si>
  <si>
    <t>RJEYBI AMAL</t>
  </si>
  <si>
    <t>Coché</t>
  </si>
  <si>
    <t>SEKANDER.ATTAFI</t>
  </si>
  <si>
    <t>07/28/2026 17:30:03</t>
  </si>
  <si>
    <t>CheckStatus6</t>
  </si>
  <si>
    <t>MYC-INJECTION</t>
  </si>
  <si>
    <t>ROMDHANA.SALHI</t>
  </si>
  <si>
    <t>07/26/2026 22:12:48</t>
  </si>
  <si>
    <t>07/27/2026 06:18:41</t>
  </si>
  <si>
    <t>07/27/2026 21:42:08</t>
  </si>
  <si>
    <t>07/28/2026 06:05:06</t>
  </si>
  <si>
    <t>07/29/2026 07:11:46</t>
  </si>
  <si>
    <t>07/29/2026 17:30:35</t>
  </si>
  <si>
    <t>ASMA.KHMISSI</t>
  </si>
  <si>
    <t>07/26/2026 22:13:06</t>
  </si>
  <si>
    <t>07/27/2026 06:18:44</t>
  </si>
  <si>
    <t>07/27/2026 21:42:14</t>
  </si>
  <si>
    <t>07/28/2026 06:05:27</t>
  </si>
  <si>
    <t>07/29/2026 07:26:21</t>
  </si>
  <si>
    <t>07/29/2026 17:30:29</t>
  </si>
  <si>
    <t>RAHMA.DIOUANI</t>
  </si>
  <si>
    <t>07/27/2026 06:04:36</t>
  </si>
  <si>
    <t>07/27/2026 14:02:43</t>
  </si>
  <si>
    <t>07/28/2026 07:31:39</t>
  </si>
  <si>
    <t>07/28/2026 17:30:27</t>
  </si>
  <si>
    <t>07/29/2026 07:26:32</t>
  </si>
  <si>
    <t>07/29/2026 17:30:13</t>
  </si>
  <si>
    <t>MOUNA.KHAMMAR</t>
  </si>
  <si>
    <t>07/27/2026 07:19:26</t>
  </si>
  <si>
    <t>MYC-METALLISATION</t>
  </si>
  <si>
    <t>07/27/2026 17:32:33</t>
  </si>
  <si>
    <t>07/28/2026 07:22:07</t>
  </si>
  <si>
    <t>07/28/2026 17:29:42</t>
  </si>
  <si>
    <t>CheckStatus5</t>
  </si>
  <si>
    <t>07/29/2026 07:26:35</t>
  </si>
  <si>
    <t>07/29/2026 17:32:52</t>
  </si>
  <si>
    <t>FAROUK.AKKARI</t>
  </si>
  <si>
    <t>07/27/2026 07:55:06</t>
  </si>
  <si>
    <t>07/27/2026 17:38:03</t>
  </si>
  <si>
    <t>07/28/2026 07:21:47</t>
  </si>
  <si>
    <t>07/28/2026 17:34:58</t>
  </si>
  <si>
    <t>07/29/2026 07:26:45</t>
  </si>
  <si>
    <t>07/29/2026 07:26:46</t>
  </si>
  <si>
    <t>07/29/2026 17:35:58</t>
  </si>
  <si>
    <t>MYC-DIRECTION</t>
  </si>
  <si>
    <t>RAWYA.GHARSALLAH</t>
  </si>
  <si>
    <t>07/27/2026 07:20:25</t>
  </si>
  <si>
    <t>07/27/2026 17:31:12</t>
  </si>
  <si>
    <t>07/27/2026 17:31:19</t>
  </si>
  <si>
    <t>07/29/2026 17:38:12</t>
  </si>
  <si>
    <t>KHMAIS.ABID</t>
  </si>
  <si>
    <t>07/26/2026 14:06:29</t>
  </si>
  <si>
    <t>07/26/2026 22:49:34</t>
  </si>
  <si>
    <t>07/27/2026 14:54:59</t>
  </si>
  <si>
    <t>07/27/2026 23:00:58</t>
  </si>
  <si>
    <t>07/28/2026 14:31:22</t>
  </si>
  <si>
    <t>07/28/2026 22:49:12</t>
  </si>
  <si>
    <t>07/29/2026 14:54:27</t>
  </si>
  <si>
    <t>07/29/2026 23:00:36</t>
  </si>
  <si>
    <t>NJIMA.AMMAR</t>
  </si>
  <si>
    <t>07/27/2026 07:19:15</t>
  </si>
  <si>
    <t>07/27/2026 17:36:24</t>
  </si>
  <si>
    <t>07/28/2026 07:25:08</t>
  </si>
  <si>
    <t>07/28/2026 17:37:09</t>
  </si>
  <si>
    <t>HAZEM.AYED</t>
  </si>
  <si>
    <t>07/27/2026 07:18:45</t>
  </si>
  <si>
    <t>07/27/2026 17:40:10</t>
  </si>
  <si>
    <t>07/28/2026 07:21:39</t>
  </si>
  <si>
    <t>07/28/2026 17:36:00</t>
  </si>
  <si>
    <t>07/29/2026 07:23:11</t>
  </si>
  <si>
    <t>07/29/2026 17:36:57</t>
  </si>
  <si>
    <t>Abbes.Walid</t>
  </si>
  <si>
    <t>07/27/2026 07:02:43</t>
  </si>
  <si>
    <t>07/27/2026 18:07:53</t>
  </si>
  <si>
    <t>07/28/2026 07:12:16</t>
  </si>
  <si>
    <t>07/28/2026 18:13:51</t>
  </si>
  <si>
    <t>07/29/2026 07:09:08</t>
  </si>
  <si>
    <t>07/29/2026 18:14:38</t>
  </si>
  <si>
    <t>MAHDI.SGHAIR</t>
  </si>
  <si>
    <t>07/27/2026 06:03:11</t>
  </si>
  <si>
    <t>07/27/2026 14:00:08</t>
  </si>
  <si>
    <t>07/28/2026 07:30:25</t>
  </si>
  <si>
    <t>07/28/2026 17:30:33</t>
  </si>
  <si>
    <t>07/29/2026 07:10:50</t>
  </si>
  <si>
    <t>07/29/2026 17:30:37</t>
  </si>
  <si>
    <t>hanadi.aloui</t>
  </si>
  <si>
    <t>07/28/2026 07:29:23</t>
  </si>
  <si>
    <t>07/28/2026 17:35:07</t>
  </si>
  <si>
    <t>07/29/2026 07:28:27</t>
  </si>
  <si>
    <t>07/29/2026 17:36:30</t>
  </si>
  <si>
    <t>ALMA.BOUATTAY</t>
  </si>
  <si>
    <t>07/27/2026 07:19:50</t>
  </si>
  <si>
    <t>07/27/2026 17:33:17</t>
  </si>
  <si>
    <t>07/28/2026 07:22:49</t>
  </si>
  <si>
    <t>07/28/2026 17:36:19</t>
  </si>
  <si>
    <t>07/29/2026 07:27:36</t>
  </si>
  <si>
    <t>07/29/2026 17:33:56</t>
  </si>
  <si>
    <t>NOUR.MANSOUR</t>
  </si>
  <si>
    <t>07/27/2026 07:26:36</t>
  </si>
  <si>
    <t>07/27/2026 17:34:05</t>
  </si>
  <si>
    <t>07/28/2026 07:29:48</t>
  </si>
  <si>
    <t>07/28/2026 17:36:03</t>
  </si>
  <si>
    <t>SAMAR.SNOUSSI</t>
  </si>
  <si>
    <t>07/28/2026 07:25:01</t>
  </si>
  <si>
    <t>07/28/2026 17:30:37</t>
  </si>
  <si>
    <t>07/29/2026 07:24:51</t>
  </si>
  <si>
    <t>AMENI.WESLETI</t>
  </si>
  <si>
    <t>07/28/2026 07:29:26</t>
  </si>
  <si>
    <t>07/28/2026 17:35:41</t>
  </si>
  <si>
    <t>07/29/2026 07:24:49</t>
  </si>
  <si>
    <t>07/29/2026 17:34:06</t>
  </si>
  <si>
    <t>ISLEM.BACCQAR</t>
  </si>
  <si>
    <t>07/27/2026 07:25:56</t>
  </si>
  <si>
    <t>07/27/2026 17:33:49</t>
  </si>
  <si>
    <t>07/28/2026 07:29:04</t>
  </si>
  <si>
    <t>07/28/2026 17:35:04</t>
  </si>
  <si>
    <t>07/29/2026 07:25:07</t>
  </si>
  <si>
    <t>07/29/2026 17:38:53</t>
  </si>
  <si>
    <t>EYA.SEHLI</t>
  </si>
  <si>
    <t>07/27/2026 11:28:41</t>
  </si>
  <si>
    <t>07/27/2026 17:31:09</t>
  </si>
  <si>
    <t>07/28/2026 07:24:13</t>
  </si>
  <si>
    <t>07/28/2026 17:33:50</t>
  </si>
  <si>
    <t>07/29/2026 07:23:44</t>
  </si>
  <si>
    <t>07/29/2026 17:37:14</t>
  </si>
  <si>
    <t>YASSIN.BOUAKROUCHA</t>
  </si>
  <si>
    <t>07/27/2026 07:18:51</t>
  </si>
  <si>
    <t>07/27/2026 17:34:38</t>
  </si>
  <si>
    <t>07/28/2026 07:21:36</t>
  </si>
  <si>
    <t>07/28/2026 17:32:24</t>
  </si>
  <si>
    <t>07/29/2026 07:26:30</t>
  </si>
  <si>
    <t>07/29/2026 17:31:17</t>
  </si>
  <si>
    <t>ABDELAZIZ.MAHJOUB</t>
  </si>
  <si>
    <t>07/27/2026 07:20:27</t>
  </si>
  <si>
    <t>07/27/2026 17:38:55</t>
  </si>
  <si>
    <t>SENDA.BOUYATTAY</t>
  </si>
  <si>
    <t>07/27/2026 07:19:44</t>
  </si>
  <si>
    <t>07/27/2026 17:42:14</t>
  </si>
  <si>
    <t>07/28/2026 07:22:40</t>
  </si>
  <si>
    <t>07/28/2026 17:35:01</t>
  </si>
  <si>
    <t>07/29/2026 07:29:22</t>
  </si>
  <si>
    <t>07/29/2026 17:38:06</t>
  </si>
  <si>
    <t>DOUAA.GUEZMIL</t>
  </si>
  <si>
    <t>07/27/2026 07:19:41</t>
  </si>
  <si>
    <t>07/27/2026 17:42:27</t>
  </si>
  <si>
    <t>07/27/2026 17:42:29</t>
  </si>
  <si>
    <t>07/27/2026 17:42:34</t>
  </si>
  <si>
    <t>07/28/2026 07:23:26</t>
  </si>
  <si>
    <t>07/28/2026 17:35:11</t>
  </si>
  <si>
    <t>07/29/2026 07:29:27</t>
  </si>
  <si>
    <t>07/29/2026 17:38:16</t>
  </si>
  <si>
    <t>ALAA.ABDENNOUR</t>
  </si>
  <si>
    <t>07/27/2026 07:26:12</t>
  </si>
  <si>
    <t>07/27/2026 17:30:45</t>
  </si>
  <si>
    <t>07/28/2026 07:33:14</t>
  </si>
  <si>
    <t>07/28/2026 17:30:50</t>
  </si>
  <si>
    <t>07/29/2026 07:25:16</t>
  </si>
  <si>
    <t>07/29/2026 07:25:24</t>
  </si>
  <si>
    <t>07/29/2026 17:33:10</t>
  </si>
  <si>
    <t>ONS .EDWENI</t>
  </si>
  <si>
    <t>07/28/2026 07:24:33</t>
  </si>
  <si>
    <t>07/28/2026 17:36:22</t>
  </si>
  <si>
    <t>07/29/2026 07:23:51</t>
  </si>
  <si>
    <t>07/29/2026 17:34:42</t>
  </si>
  <si>
    <t>TASNIM.MZOUGHI</t>
  </si>
  <si>
    <t>07/27/2026 07:26:44</t>
  </si>
  <si>
    <t>07/27/2026 17:34:08</t>
  </si>
  <si>
    <t>07/28/2026 07:29:59</t>
  </si>
  <si>
    <t>07/28/2026 17:36:14</t>
  </si>
  <si>
    <t>07/29/2026 07:25:46</t>
  </si>
  <si>
    <t>07/29/2026 17:38:33</t>
  </si>
  <si>
    <t>MOURAD.HAMAD</t>
  </si>
  <si>
    <t>07/27/2026 07:24:35</t>
  </si>
  <si>
    <t>07/27/2026 17:33:00</t>
  </si>
  <si>
    <t>07/28/2026 07:24:06</t>
  </si>
  <si>
    <t>07/28/2026 17:35:53</t>
  </si>
  <si>
    <t>07/29/2026 07:24:07</t>
  </si>
  <si>
    <t>07/29/2026 17:34:12</t>
  </si>
  <si>
    <t>AMENI.ELOUAER</t>
  </si>
  <si>
    <t>07/28/2026 07:24:52</t>
  </si>
  <si>
    <t>07/28/2026 17:31:14</t>
  </si>
  <si>
    <t>07/29/2026 07:24:29</t>
  </si>
  <si>
    <t>07/29/2026 17:33:32</t>
  </si>
  <si>
    <t>YASMINE.BESSWA</t>
  </si>
  <si>
    <t>07/27/2026 07:25:06</t>
  </si>
  <si>
    <t>07/27/2026 17:31:56</t>
  </si>
  <si>
    <t>YASMINE.GORJI</t>
  </si>
  <si>
    <t>07/27/2026 07:24:40</t>
  </si>
  <si>
    <t>07/27/2026 17:32:55</t>
  </si>
  <si>
    <t>07/28/2026 07:24:10</t>
  </si>
  <si>
    <t>07/28/2026 17:34:52</t>
  </si>
  <si>
    <t>07/29/2026 07:23:42</t>
  </si>
  <si>
    <t>07/29/2026 17:36:00</t>
  </si>
  <si>
    <t>NESRINE.GUEZMIL</t>
  </si>
  <si>
    <t>07/28/2026 07:23:21</t>
  </si>
  <si>
    <t>07/28/2026 17:35:16</t>
  </si>
  <si>
    <t>07/29/2026 07:27:40</t>
  </si>
  <si>
    <t>07/29/2026 17:37:12</t>
  </si>
  <si>
    <t>07/29/2026 17:38:09</t>
  </si>
  <si>
    <t>AROUA.HAMZAOUI</t>
  </si>
  <si>
    <t>07/27/2026 07:25:36</t>
  </si>
  <si>
    <t>07/27/2026 17:34:21</t>
  </si>
  <si>
    <t>07/28/2026 07:25:05</t>
  </si>
  <si>
    <t>07/28/2026 17:33:27</t>
  </si>
  <si>
    <t>07/29/2026 07:23:55</t>
  </si>
  <si>
    <t>07/29/2026 17:32:17</t>
  </si>
  <si>
    <t>NOUHA.SGHAEIR</t>
  </si>
  <si>
    <t>07/28/2026 07:22:02</t>
  </si>
  <si>
    <t>07/28/2026 17:33:30</t>
  </si>
  <si>
    <t>07/29/2026 07:26:42</t>
  </si>
  <si>
    <t>07/29/2026 17:35:01</t>
  </si>
  <si>
    <t>SIRINE.GUEZMIL</t>
  </si>
  <si>
    <t>07/28/2026 07:23:10</t>
  </si>
  <si>
    <t>07/28/2026 17:35:21</t>
  </si>
  <si>
    <t>07/29/2026 07:27:57</t>
  </si>
  <si>
    <t>07/29/2026 17:38:01</t>
  </si>
  <si>
    <t>RANIM.CHIBA</t>
  </si>
  <si>
    <t>07/29/2026 07:27:51</t>
  </si>
  <si>
    <t>07/29/2026 17:34:37</t>
  </si>
  <si>
    <t>07/29/2026 17:37:02</t>
  </si>
  <si>
    <t>ILEF.LTAIFA</t>
  </si>
  <si>
    <t>07/27/2026 07:26:29</t>
  </si>
  <si>
    <t>07/27/2026 17:34:11</t>
  </si>
  <si>
    <t>07/28/2026 07:29:40</t>
  </si>
  <si>
    <t>07/29/2026 07:25:35</t>
  </si>
  <si>
    <t>07/29/2026 17:38:41</t>
  </si>
  <si>
    <t>SANA.SAIIDI</t>
  </si>
  <si>
    <t>07/27/2026 07:20:01</t>
  </si>
  <si>
    <t>07/27/2026 17:32:09</t>
  </si>
  <si>
    <t>07/28/2026 07:22:29</t>
  </si>
  <si>
    <t>07/28/2026 17:33:58</t>
  </si>
  <si>
    <t>07/29/2026 07:27:33</t>
  </si>
  <si>
    <t>07/29/2026 17:35:48</t>
  </si>
  <si>
    <t>SONIA.SAIIDI</t>
  </si>
  <si>
    <t>07/27/2026 07:39:48</t>
  </si>
  <si>
    <t>MARAM.KLAI</t>
  </si>
  <si>
    <t>07/28/2026 07:24:40</t>
  </si>
  <si>
    <t>07/28/2026 17:33:13</t>
  </si>
  <si>
    <t>07/29/2026 07:24:12</t>
  </si>
  <si>
    <t>07/29/2026 17:35:19</t>
  </si>
  <si>
    <t>NERMINE.KLAII</t>
  </si>
  <si>
    <t>07/27/2026 07:37:28</t>
  </si>
  <si>
    <t>07/27/2026 17:33:24</t>
  </si>
  <si>
    <t>07/28/2026 07:24:30</t>
  </si>
  <si>
    <t>07/28/2026 17:35:36</t>
  </si>
  <si>
    <t>07/29/2026 07:24:03</t>
  </si>
  <si>
    <t>07/29/2026 07:24:04</t>
  </si>
  <si>
    <t>07/29/2026 17:33:36</t>
  </si>
  <si>
    <t>ZAHRA.GAABEL</t>
  </si>
  <si>
    <t>07/28/2026 07:22:13</t>
  </si>
  <si>
    <t>07/28/2026 17:33:08</t>
  </si>
  <si>
    <t>07/29/2026 07:26:53</t>
  </si>
  <si>
    <t>07/29/2026 17:33:45</t>
  </si>
  <si>
    <t>FERIEL.MABROUK</t>
  </si>
  <si>
    <t>07/27/2026 07:19:36</t>
  </si>
  <si>
    <t>07/27/2026 17:42:24</t>
  </si>
  <si>
    <t>07/28/2026 07:22:11</t>
  </si>
  <si>
    <t>07/28/2026 17:33:03</t>
  </si>
  <si>
    <t>07/29/2026 07:26:50</t>
  </si>
  <si>
    <t>07/29/2026 17:33:20</t>
  </si>
  <si>
    <t>CHAYMA.ZAOUELI</t>
  </si>
  <si>
    <t>07/27/2026 07:24:38</t>
  </si>
  <si>
    <t>07/27/2026 17:32:42</t>
  </si>
  <si>
    <t>07/28/2026 07:24:08</t>
  </si>
  <si>
    <t>07/28/2026 17:34:54</t>
  </si>
  <si>
    <t>07/29/2026 07:23:37</t>
  </si>
  <si>
    <t>07/29/2026 07:23:38</t>
  </si>
  <si>
    <t>07/29/2026 17:35:56</t>
  </si>
  <si>
    <t>MOOTAZ.AJEJ</t>
  </si>
  <si>
    <t>07/27/2026 07:26:16</t>
  </si>
  <si>
    <t>07/27/2026 17:32:11</t>
  </si>
  <si>
    <t>07/28/2026 07:29:29</t>
  </si>
  <si>
    <t>07/28/2026 17:32:01</t>
  </si>
  <si>
    <t>07/29/2026 07:25:12</t>
  </si>
  <si>
    <t>07/29/2026 07:25:26</t>
  </si>
  <si>
    <t>07/29/2026 17:31:50</t>
  </si>
  <si>
    <t>ISLEM.MASSAOUD</t>
  </si>
  <si>
    <t>07/27/2026 07:24:14</t>
  </si>
  <si>
    <t>07/27/2026 17:30:26</t>
  </si>
  <si>
    <t>07/29/2026 07:25:54</t>
  </si>
  <si>
    <t>07/29/2026 17:30:11</t>
  </si>
  <si>
    <t>KHADIJA.HAMROUNI</t>
  </si>
  <si>
    <t>07/27/2026 07:27:24</t>
  </si>
  <si>
    <t>07/27/2026 17:34:24</t>
  </si>
  <si>
    <t>07/29/2026 07:28:22</t>
  </si>
  <si>
    <t>07/29/2026 17:34:50</t>
  </si>
  <si>
    <t>KHOULOUD.CHIKHAOUI</t>
  </si>
  <si>
    <t>07/27/2026 07:24:59</t>
  </si>
  <si>
    <t>07/27/2026 17:32:14</t>
  </si>
  <si>
    <t>07/28/2026 07:24:56</t>
  </si>
  <si>
    <t>07/28/2026 17:32:37</t>
  </si>
  <si>
    <t>07/29/2026 07:24:19</t>
  </si>
  <si>
    <t>07/29/2026 17:32:03</t>
  </si>
  <si>
    <t>IBTISSEM.KHALFALLAH</t>
  </si>
  <si>
    <t>07/27/2026 07:24:53</t>
  </si>
  <si>
    <t>07/27/2026 17:34:29</t>
  </si>
  <si>
    <t>07/28/2026 07:24:25</t>
  </si>
  <si>
    <t>07/28/2026 17:34:31</t>
  </si>
  <si>
    <t>07/29/2026 07:24:17</t>
  </si>
  <si>
    <t>07/29/2026 17:34:29</t>
  </si>
  <si>
    <t>HAZAR.ZAIRI</t>
  </si>
  <si>
    <t>07/27/2026 07:24:24</t>
  </si>
  <si>
    <t>07/27/2026 17:33:35</t>
  </si>
  <si>
    <t>07/28/2026 07:24:45</t>
  </si>
  <si>
    <t>07/28/2026 17:35:28</t>
  </si>
  <si>
    <t>07/29/2026 07:24:00</t>
  </si>
  <si>
    <t>07/29/2026 17:33:25</t>
  </si>
  <si>
    <t>FADOUA.ZAIRI</t>
  </si>
  <si>
    <t>07/27/2026 17:33:41</t>
  </si>
  <si>
    <t>07/28/2026 07:24:36</t>
  </si>
  <si>
    <t>07/28/2026 17:35:32</t>
  </si>
  <si>
    <t>07/29/2026 07:23:33</t>
  </si>
  <si>
    <t>07/29/2026 07:23:34</t>
  </si>
  <si>
    <t>07/29/2026 17:33:59</t>
  </si>
  <si>
    <t>YOSRA.GUEZMIL</t>
  </si>
  <si>
    <t>07/28/2026 07:23:31</t>
  </si>
  <si>
    <t>07/28/2026 17:34:17</t>
  </si>
  <si>
    <t>07/29/2026 07:28:03</t>
  </si>
  <si>
    <t>07/29/2026 17:35:38</t>
  </si>
  <si>
    <t>farah.grissa</t>
  </si>
  <si>
    <t>07/27/2026 07:26:23</t>
  </si>
  <si>
    <t>07/27/2026 17:37:22</t>
  </si>
  <si>
    <t>07/28/2026 07:29:33</t>
  </si>
  <si>
    <t>07/28/2026 17:34:27</t>
  </si>
  <si>
    <t>07/28/2026 17:34:28</t>
  </si>
  <si>
    <t>TAYSIR.DACHRAOUI</t>
  </si>
  <si>
    <t>07/27/2026 07:25:26</t>
  </si>
  <si>
    <t>07/27/2026 17:33:30</t>
  </si>
  <si>
    <t>07/28/2026 07:29:36</t>
  </si>
  <si>
    <t>07/28/2026 17:30:20</t>
  </si>
  <si>
    <t>07/29/2026 07:23:19</t>
  </si>
  <si>
    <t>07/29/2026 17:34:47</t>
  </si>
  <si>
    <t>AHLEM.GUEDER</t>
  </si>
  <si>
    <t>07/27/2026 06:03:43</t>
  </si>
  <si>
    <t>07/27/2026 14:02:32</t>
  </si>
  <si>
    <t>07/28/2026 07:30:23</t>
  </si>
  <si>
    <t>07/28/2026 17:30:18</t>
  </si>
  <si>
    <t>ZIED.BEN SAAD</t>
  </si>
  <si>
    <t>07/27/2026 23:01:19</t>
  </si>
  <si>
    <t>07/27/2026 23:01:21</t>
  </si>
  <si>
    <t>07/27/2026 23:01:22</t>
  </si>
  <si>
    <t>07/29/2026 15:12:13</t>
  </si>
  <si>
    <t>07/29/2026 15:12:15</t>
  </si>
  <si>
    <t>07/29/2026 15:12:16</t>
  </si>
  <si>
    <t>07/29/2026 15:12:18</t>
  </si>
  <si>
    <t>07/29/2026 15:12:19</t>
  </si>
  <si>
    <t>07/29/2026 23:01:15</t>
  </si>
  <si>
    <t>07/29/2026 23:01:16</t>
  </si>
  <si>
    <t>07/29/2026 23:01:17</t>
  </si>
  <si>
    <t>07/29/2026 23:01:19</t>
  </si>
  <si>
    <t>07/29/2026 23:01:20</t>
  </si>
  <si>
    <t>SONIA.HWASSE</t>
  </si>
  <si>
    <t>07/27/2026 13:47:10</t>
  </si>
  <si>
    <t>07/27/2026 21:59:02</t>
  </si>
  <si>
    <t>07/28/2026 07:31:20</t>
  </si>
  <si>
    <t>07/28/2026 17:30:11</t>
  </si>
  <si>
    <t>07/29/2026 07:26:24</t>
  </si>
  <si>
    <t>07/29/2026 17:30:20</t>
  </si>
  <si>
    <t>07/29/2026 17:30:21</t>
  </si>
  <si>
    <t>MALEK.KACEM</t>
  </si>
  <si>
    <t>07/27/2026 13:47:04</t>
  </si>
  <si>
    <t>07/27/2026 21:58:54</t>
  </si>
  <si>
    <t>07/28/2026 07:31:29</t>
  </si>
  <si>
    <t>07/28/2026 17:30:13</t>
  </si>
  <si>
    <t>07/29/2026 07:26:11</t>
  </si>
  <si>
    <t>07/29/2026 17:30:31</t>
  </si>
  <si>
    <t>ZAINEB.BRICHNI</t>
  </si>
  <si>
    <t>07/27/2026 07:26:01</t>
  </si>
  <si>
    <t>07/27/2026 17:31:01</t>
  </si>
  <si>
    <t>07/27/2026 17:31:04</t>
  </si>
  <si>
    <t>07/29/2026 07:25:01</t>
  </si>
  <si>
    <t>07/29/2026 17:30:47</t>
  </si>
  <si>
    <t>MAJED.REZGUI</t>
  </si>
  <si>
    <t>07/27/2026 07:14:51</t>
  </si>
  <si>
    <t>07/27/2026 17:34:00</t>
  </si>
  <si>
    <t>07/29/2026 07:07:09</t>
  </si>
  <si>
    <t>07/29/2026 17:31:36</t>
  </si>
  <si>
    <t>FARAH.LABBEN</t>
  </si>
  <si>
    <t>07/27/2026 07:25:01</t>
  </si>
  <si>
    <t>07/27/2026 17:31:22</t>
  </si>
  <si>
    <t>07/28/2026 07:24:47</t>
  </si>
  <si>
    <t>07/28/2026 17:30:58</t>
  </si>
  <si>
    <t>zaineb.hasni</t>
  </si>
  <si>
    <t>07/28/2026 07:29:20</t>
  </si>
  <si>
    <t>07/28/2026 08:58:51</t>
  </si>
  <si>
    <t>07/28/2026 08:59:08</t>
  </si>
  <si>
    <t>thouraya.nasralli</t>
  </si>
  <si>
    <t>07/27/2026 07:19:21</t>
  </si>
  <si>
    <t>07/27/2026 17:31:29</t>
  </si>
  <si>
    <t>07/28/2026 07:22:18</t>
  </si>
  <si>
    <t>07/28/2026 17:31:26</t>
  </si>
  <si>
    <t>07/29/2026 07:27:08</t>
  </si>
  <si>
    <t>07/29/2026 17:30:56</t>
  </si>
  <si>
    <t>najeh.attiya</t>
  </si>
  <si>
    <t>07/28/2026 07:25:11</t>
  </si>
  <si>
    <t>07/28/2026 17:36:53</t>
  </si>
  <si>
    <t>07/29/2026 08:07:06</t>
  </si>
  <si>
    <t>07/29/2026 17:35:32</t>
  </si>
  <si>
    <t>Oussema.werflli</t>
  </si>
  <si>
    <t>07/27/2026 08:06:01</t>
  </si>
  <si>
    <t>07/27/2026 17:34:52</t>
  </si>
  <si>
    <t>07/28/2026 08:11:29</t>
  </si>
  <si>
    <t>07/28/2026 17:37:36</t>
  </si>
  <si>
    <t>07/29/2026 11:47:51</t>
  </si>
  <si>
    <t>07/29/2026 17:41:03</t>
  </si>
  <si>
    <t>Naoures.Ayeb</t>
  </si>
  <si>
    <t>07/27/2026 07:47:38</t>
  </si>
  <si>
    <t>07/27/2026 18:02:02</t>
  </si>
  <si>
    <t>07/28/2026 07:41:54</t>
  </si>
  <si>
    <t>07/28/2026 18:13:02</t>
  </si>
  <si>
    <t>07/29/2026 07:37:41</t>
  </si>
  <si>
    <t>wissem.brahem</t>
  </si>
  <si>
    <t>07/26/2026 06:59:20</t>
  </si>
  <si>
    <t>07/26/2026 22:51:30</t>
  </si>
  <si>
    <t>07/27/2026 06:45:21</t>
  </si>
  <si>
    <t>07/28/2026 22:48:38</t>
  </si>
  <si>
    <t>07/29/2026 06:45:08</t>
  </si>
  <si>
    <t>07/29/2026 22:51:55</t>
  </si>
  <si>
    <t>ID source</t>
  </si>
  <si>
    <t>Nom source</t>
  </si>
  <si>
    <t>Nom retenu</t>
  </si>
  <si>
    <t>Date affectée</t>
  </si>
  <si>
    <t>Entrée</t>
  </si>
  <si>
    <t>Sortie</t>
  </si>
  <si>
    <t>Durée brute (min)</t>
  </si>
  <si>
    <t>Après pause</t>
  </si>
  <si>
    <t>Arrondi 30 min</t>
  </si>
  <si>
    <t>Règle</t>
  </si>
  <si>
    <t>État</t>
  </si>
  <si>
    <t>ZIED BEN SAAD</t>
  </si>
  <si>
    <t>2026-07-27</t>
  </si>
  <si>
    <t>27/07/2026 23:01</t>
  </si>
  <si>
    <t>Pointage gardien impair</t>
  </si>
  <si>
    <t>À vérifier</t>
  </si>
  <si>
    <t>2026-07-29</t>
  </si>
  <si>
    <t>29/07/2026 15:12</t>
  </si>
  <si>
    <t>29/07/2026 23:01</t>
  </si>
  <si>
    <t>Gardien même jour</t>
  </si>
  <si>
    <t>OK</t>
  </si>
  <si>
    <t>HOUCEM ESSID</t>
  </si>
  <si>
    <t>HOUSSEM EDDINE ESSID</t>
  </si>
  <si>
    <t>2026-07-26</t>
  </si>
  <si>
    <t>26/07/2026 07:02</t>
  </si>
  <si>
    <t>26/07/2026 14:51</t>
  </si>
  <si>
    <t>27/07/2026 06:52</t>
  </si>
  <si>
    <t>27/07/2026 14:54</t>
  </si>
  <si>
    <t>29/07/2026 06:53</t>
  </si>
  <si>
    <t>29/07/2026 14:35</t>
  </si>
  <si>
    <t>KHMAIS ABID</t>
  </si>
  <si>
    <t>26/07/2026 14:06</t>
  </si>
  <si>
    <t>26/07/2026 22:49</t>
  </si>
  <si>
    <t>27/07/2026 23:00</t>
  </si>
  <si>
    <t>2026-07-28</t>
  </si>
  <si>
    <t>28/07/2026 14:31</t>
  </si>
  <si>
    <t>28/07/2026 22:49</t>
  </si>
  <si>
    <t>29/07/2026 14:54</t>
  </si>
  <si>
    <t>29/07/2026 23:00</t>
  </si>
  <si>
    <t>HAMDI BRAHIM</t>
  </si>
  <si>
    <t>26/07/2026 18:26</t>
  </si>
  <si>
    <t>27/07/2026 07:26</t>
  </si>
  <si>
    <t>Gardien nuit → date entrée</t>
  </si>
  <si>
    <t>28/07/2026 07:37</t>
  </si>
  <si>
    <t>Sortie isolée précédente</t>
  </si>
  <si>
    <t>Ignorée</t>
  </si>
  <si>
    <t>29/07/2026 09:36</t>
  </si>
  <si>
    <t>ATEF AZEBI</t>
  </si>
  <si>
    <t>ATEF AZZEBI</t>
  </si>
  <si>
    <t>26/07/2026 07:00</t>
  </si>
  <si>
    <t>26/07/2026 22:43</t>
  </si>
  <si>
    <t>27/07/2026 06:45</t>
  </si>
  <si>
    <t>27/07/2026 22:40</t>
  </si>
  <si>
    <t>28/07/2026 06:45</t>
  </si>
  <si>
    <t>28/07/2026 22:43</t>
  </si>
  <si>
    <t>29/07/2026 06:45</t>
  </si>
  <si>
    <t>HAYKEL CHOGRANI</t>
  </si>
  <si>
    <t>HAYKEL CHOGHRANI</t>
  </si>
  <si>
    <t>27/07/2026 06:16</t>
  </si>
  <si>
    <t>27/07/2026 13:51</t>
  </si>
  <si>
    <t>28/07/2026 06:25</t>
  </si>
  <si>
    <t>28/07/2026 14:37</t>
  </si>
  <si>
    <t>29/07/2026 06:25</t>
  </si>
  <si>
    <t>29/07/2026 14:50</t>
  </si>
  <si>
    <t>WISSEM BRAHEM</t>
  </si>
  <si>
    <t>26/07/2026 06:59</t>
  </si>
  <si>
    <t>26/07/2026 22:51</t>
  </si>
  <si>
    <t>28/07/2026 22:48</t>
  </si>
  <si>
    <t>29/07/2026 22:51</t>
  </si>
  <si>
    <t>MOKHLES FERJANI</t>
  </si>
  <si>
    <t>26/07/2026 22:12</t>
  </si>
  <si>
    <t>27/07/2026 06:14</t>
  </si>
  <si>
    <t>INJ nuit → date sortie</t>
  </si>
  <si>
    <t>27/07/2026 21:42</t>
  </si>
  <si>
    <t>28/07/2026 06:05</t>
  </si>
  <si>
    <t>HASSEN EZZEDINI</t>
  </si>
  <si>
    <t>27/07/2026 21:59</t>
  </si>
  <si>
    <t>28/07/2026 07:30</t>
  </si>
  <si>
    <t>HAJER ASSADI</t>
  </si>
  <si>
    <t>27/07/2026 06:10</t>
  </si>
  <si>
    <t>AMAL RJEYBI</t>
  </si>
  <si>
    <t>26/07/2026 22:13</t>
  </si>
  <si>
    <t>27/07/2026 06:18</t>
  </si>
  <si>
    <t>SEKANDER ATTAFI</t>
  </si>
  <si>
    <t>SKANDER ATTAFI</t>
  </si>
  <si>
    <t>27/07/2026 21:57</t>
  </si>
  <si>
    <t>ROMDHANA SALHI</t>
  </si>
  <si>
    <t>ASMA KHMISSI</t>
  </si>
  <si>
    <t>SONIA HWASSE</t>
  </si>
  <si>
    <t>SONIA HOUASSE</t>
  </si>
  <si>
    <t>28/07/2026 07:31</t>
  </si>
  <si>
    <t>MALEK KACEM</t>
  </si>
  <si>
    <t>27/07/2026 21:58</t>
  </si>
  <si>
    <t>SAFA JEDDA</t>
  </si>
  <si>
    <t>27/07/2026 08:12</t>
  </si>
  <si>
    <t>27/07/2026 17:44</t>
  </si>
  <si>
    <t>Première entrée / dernière sortie</t>
  </si>
  <si>
    <t>28/07/2026 07:56</t>
  </si>
  <si>
    <t>Pointage impair</t>
  </si>
  <si>
    <t>SEIFEDDINE ZAIDI</t>
  </si>
  <si>
    <t>27/07/2026 07:37</t>
  </si>
  <si>
    <t>27/07/2026 17:34</t>
  </si>
  <si>
    <t>28/07/2026 17:36</t>
  </si>
  <si>
    <t>29/07/2026 07:19</t>
  </si>
  <si>
    <t>29/07/2026 17:35</t>
  </si>
  <si>
    <t>FATEN SOUSSI</t>
  </si>
  <si>
    <t>27/07/2026 08:08</t>
  </si>
  <si>
    <t>27/07/2026 17:41</t>
  </si>
  <si>
    <t>28/07/2026 09:24</t>
  </si>
  <si>
    <t>28/07/2026 17:41</t>
  </si>
  <si>
    <t>29/07/2026 08:29</t>
  </si>
  <si>
    <t>29/07/2026 17:36</t>
  </si>
  <si>
    <t>27/07/2026 13:46</t>
  </si>
  <si>
    <t>28/07/2026 17:31</t>
  </si>
  <si>
    <t>29/07/2026 07:11</t>
  </si>
  <si>
    <t>29/07/2026 17:30</t>
  </si>
  <si>
    <t>MOHAMED TAOUFIK DHIBI</t>
  </si>
  <si>
    <t>TAOUFIK DHIBI</t>
  </si>
  <si>
    <t>27/07/2026 07:33</t>
  </si>
  <si>
    <t>27/07/2026 17:35</t>
  </si>
  <si>
    <t>28/07/2026 17:47</t>
  </si>
  <si>
    <t>29/07/2026 07:25</t>
  </si>
  <si>
    <t>29/07/2026 17:38</t>
  </si>
  <si>
    <t>MOHAMED ABDENNOUR</t>
  </si>
  <si>
    <t>27/07/2026 07:35</t>
  </si>
  <si>
    <t>27/07/2026 17:28</t>
  </si>
  <si>
    <t>28/07/2026 07:35</t>
  </si>
  <si>
    <t>28/07/2026 17:33</t>
  </si>
  <si>
    <t>29/07/2026 07:23</t>
  </si>
  <si>
    <t>29/07/2026 17:31</t>
  </si>
  <si>
    <t>CHAIMA TRIMECHE</t>
  </si>
  <si>
    <t>27/07/2026 08:41</t>
  </si>
  <si>
    <t>27/07/2026 17:36</t>
  </si>
  <si>
    <t>28/07/2026 07:36</t>
  </si>
  <si>
    <t>28/07/2026 16:35</t>
  </si>
  <si>
    <t>29/07/2026 07:34</t>
  </si>
  <si>
    <t>ANOUAR LAAYOUNI</t>
  </si>
  <si>
    <t>27/07/2026 07:36</t>
  </si>
  <si>
    <t>28/07/2026 17:34</t>
  </si>
  <si>
    <t>29/07/2026 06:57</t>
  </si>
  <si>
    <t>29/07/2026 17:25</t>
  </si>
  <si>
    <t>ALI AMAMOU</t>
  </si>
  <si>
    <t>ABDELMAJID TLILI</t>
  </si>
  <si>
    <t>27/07/2026 06:03</t>
  </si>
  <si>
    <t>27/07/2026 14:00</t>
  </si>
  <si>
    <t>28/07/2026 17:30</t>
  </si>
  <si>
    <t>SLAH DRID</t>
  </si>
  <si>
    <t>SLAH DRIDI</t>
  </si>
  <si>
    <t>29/07/2026 07:24</t>
  </si>
  <si>
    <t>29/07/2026 17:34</t>
  </si>
  <si>
    <t>MOUNA JABNOUN</t>
  </si>
  <si>
    <t>27/07/2026 09:33</t>
  </si>
  <si>
    <t>27/07/2026 17:39</t>
  </si>
  <si>
    <t>28/07/2026 08:02</t>
  </si>
  <si>
    <t>29/07/2026 08:03</t>
  </si>
  <si>
    <t>29/07/2026 18:08</t>
  </si>
  <si>
    <t>CHAIMA MASSOUDI</t>
  </si>
  <si>
    <t>MASSOUDI CHAIMA</t>
  </si>
  <si>
    <t>27/07/2026 07:18</t>
  </si>
  <si>
    <t>27/07/2026 17:30</t>
  </si>
  <si>
    <t>28/07/2026 07:21</t>
  </si>
  <si>
    <t>29/07/2026 07:26</t>
  </si>
  <si>
    <t>ZOHRA ALAYA</t>
  </si>
  <si>
    <t>27/07/2026 07:19</t>
  </si>
  <si>
    <t>27/07/2026 17:31</t>
  </si>
  <si>
    <t>28/07/2026 07:23</t>
  </si>
  <si>
    <t>29/07/2026 07:28</t>
  </si>
  <si>
    <t>OUERTATANI EYA</t>
  </si>
  <si>
    <t>27/07/2026 07:17</t>
  </si>
  <si>
    <t>28/07/2026 07:20</t>
  </si>
  <si>
    <t>AMEL ALLEGUI</t>
  </si>
  <si>
    <t>28/07/2026 07:29</t>
  </si>
  <si>
    <t>29/07/2026 17:33</t>
  </si>
  <si>
    <t>NAOURES ZAAG</t>
  </si>
  <si>
    <t>27/07/2026 07:47</t>
  </si>
  <si>
    <t>27/07/2026 18:07</t>
  </si>
  <si>
    <t>28/07/2026 07:41</t>
  </si>
  <si>
    <t>28/07/2026 18:13</t>
  </si>
  <si>
    <t>29/07/2026 07:38</t>
  </si>
  <si>
    <t>29/07/2026 18:14</t>
  </si>
  <si>
    <t>MAROUEN LADJIMI</t>
  </si>
  <si>
    <t>28/07/2026 07:22</t>
  </si>
  <si>
    <t>MOHAMED LAKHEL</t>
  </si>
  <si>
    <t>27/07/2026 07:57</t>
  </si>
  <si>
    <t>27/07/2026 18:01</t>
  </si>
  <si>
    <t>28/07/2026 07:42</t>
  </si>
  <si>
    <t>29/07/2026 07:46</t>
  </si>
  <si>
    <t>29/07/2026 17:37</t>
  </si>
  <si>
    <t>JAWAHER MLAIKIA</t>
  </si>
  <si>
    <t>27/07/2026 07:24</t>
  </si>
  <si>
    <t>28/07/2026 07:28</t>
  </si>
  <si>
    <t>28/07/2026 17:42</t>
  </si>
  <si>
    <t>SAMI MANNI</t>
  </si>
  <si>
    <t>SAMI MANNAI</t>
  </si>
  <si>
    <t>27/07/2026 22:01</t>
  </si>
  <si>
    <t>28/07/2026 13:30</t>
  </si>
  <si>
    <t>SARRA MANAI</t>
  </si>
  <si>
    <t>27/07/2026 07:25</t>
  </si>
  <si>
    <t>27/07/2026 17:38</t>
  </si>
  <si>
    <t>29/07/2026 17:40</t>
  </si>
  <si>
    <t>HADIR BEN ABDELKADER</t>
  </si>
  <si>
    <t>28/07/2026 17:37</t>
  </si>
  <si>
    <t>29/07/2026 07:58</t>
  </si>
  <si>
    <t>FRADJ LADJIMI</t>
  </si>
  <si>
    <t>SALEM BEN KHDHER</t>
  </si>
  <si>
    <t>SALEM BEN KHEDHER</t>
  </si>
  <si>
    <t>28/07/2026 07:24</t>
  </si>
  <si>
    <t>29/07/2026 09:56</t>
  </si>
  <si>
    <t>BADER EDDINE BEN BRAHIM</t>
  </si>
  <si>
    <t>BADREDDINE BEN IBRAHIM</t>
  </si>
  <si>
    <t>28/07/2026 07:25</t>
  </si>
  <si>
    <t>28/07/2026 17:32</t>
  </si>
  <si>
    <t>MOHANNED BEN BRAHIM</t>
  </si>
  <si>
    <t>MOHANNED BEN IBRAHIM</t>
  </si>
  <si>
    <t>27/07/2026 17:32</t>
  </si>
  <si>
    <t>OMAR KACEM</t>
  </si>
  <si>
    <t>27/07/2026 07:40</t>
  </si>
  <si>
    <t>28/07/2026 08:39</t>
  </si>
  <si>
    <t>INES DHIFALLAH</t>
  </si>
  <si>
    <t>27/07/2026 07:27</t>
  </si>
  <si>
    <t>29/07/2026 17:32</t>
  </si>
  <si>
    <t>AZZA GARAHLEL</t>
  </si>
  <si>
    <t>AZZA GARHELAL</t>
  </si>
  <si>
    <t>27/07/2026 06:04</t>
  </si>
  <si>
    <t>27/07/2026 14:02</t>
  </si>
  <si>
    <t>EYA ROUISSI</t>
  </si>
  <si>
    <t>RAHMA DIOUANI</t>
  </si>
  <si>
    <t>RAHMA DIWANI</t>
  </si>
  <si>
    <t>MOUNA KHAMMAR</t>
  </si>
  <si>
    <t>28/07/2026 17:29</t>
  </si>
  <si>
    <t>FAROUK AKKARI</t>
  </si>
  <si>
    <t>27/07/2026 07:55</t>
  </si>
  <si>
    <t>RAWYA GHARSALLAH</t>
  </si>
  <si>
    <t>27/07/2026 07:20</t>
  </si>
  <si>
    <t>NJIMA AMMAR</t>
  </si>
  <si>
    <t>HAZEM AYED</t>
  </si>
  <si>
    <t>27/07/2026 17:40</t>
  </si>
  <si>
    <t>ABBES WALID</t>
  </si>
  <si>
    <t>WALID ABBES</t>
  </si>
  <si>
    <t>27/07/2026 07:02</t>
  </si>
  <si>
    <t>28/07/2026 07:12</t>
  </si>
  <si>
    <t>29/07/2026 07:09</t>
  </si>
  <si>
    <t>MAHDI SGHAIR</t>
  </si>
  <si>
    <t>MAHDI SGHAEIR</t>
  </si>
  <si>
    <t>29/07/2026 07:10</t>
  </si>
  <si>
    <t>HANADI ALOUI</t>
  </si>
  <si>
    <t>28/07/2026 17:35</t>
  </si>
  <si>
    <t>ALMA BOUATTAY</t>
  </si>
  <si>
    <t>ALMA BOUATAY</t>
  </si>
  <si>
    <t>27/07/2026 17:33</t>
  </si>
  <si>
    <t>29/07/2026 07:27</t>
  </si>
  <si>
    <t>NOUR MANSOUR</t>
  </si>
  <si>
    <t>SAMAR SNOUSSI</t>
  </si>
  <si>
    <t>AMENI WESLETI</t>
  </si>
  <si>
    <t>AMENI OUESLETI</t>
  </si>
  <si>
    <t>ISLEM BACCQAR</t>
  </si>
  <si>
    <t>ISLEM BACCAR</t>
  </si>
  <si>
    <t>EYA SEHLI</t>
  </si>
  <si>
    <t>27/07/2026 11:28</t>
  </si>
  <si>
    <t>YASSIN BOUAKROUCHA</t>
  </si>
  <si>
    <t>YASSINE BOUAKROUCHA</t>
  </si>
  <si>
    <t>ABDELAZIZ MAHJOUB</t>
  </si>
  <si>
    <t>SENDA BOUYATTAY</t>
  </si>
  <si>
    <t>27/07/2026 17:42</t>
  </si>
  <si>
    <t>29/07/2026 07:29</t>
  </si>
  <si>
    <t>DOUAA GUEZMIL</t>
  </si>
  <si>
    <t>ALAA ABDENNOUR</t>
  </si>
  <si>
    <t>28/07/2026 07:33</t>
  </si>
  <si>
    <t>ONS EDWENI</t>
  </si>
  <si>
    <t>TASNIM MZOUGHI</t>
  </si>
  <si>
    <t>MOURAD HAMAD</t>
  </si>
  <si>
    <t>AMENI ELOUAER</t>
  </si>
  <si>
    <t>YASMINE BESSWA</t>
  </si>
  <si>
    <t>YASMINE GORJI</t>
  </si>
  <si>
    <t>YASMINE BORJI</t>
  </si>
  <si>
    <t>NESRINE GUEZMIL</t>
  </si>
  <si>
    <t>AROUA HAMZAOUI</t>
  </si>
  <si>
    <t>ARWA HAMZAOUI</t>
  </si>
  <si>
    <t>NOUHA SGHAEIR</t>
  </si>
  <si>
    <t>SIRINE GUEZMIL</t>
  </si>
  <si>
    <t>RANIM CHIBA</t>
  </si>
  <si>
    <t>ILEF LTAIFA</t>
  </si>
  <si>
    <t>ILEF LTAIEFA</t>
  </si>
  <si>
    <t>SANA SAIIDI</t>
  </si>
  <si>
    <t>SANA SAIDI</t>
  </si>
  <si>
    <t>SONIA SAIIDI</t>
  </si>
  <si>
    <t>SONIA SAIDI</t>
  </si>
  <si>
    <t>27/07/2026 07:39</t>
  </si>
  <si>
    <t>MARAM KLAI</t>
  </si>
  <si>
    <t>MARAM KLAII</t>
  </si>
  <si>
    <t>NERMINE KLAII</t>
  </si>
  <si>
    <t>ZAHRA GAABEL</t>
  </si>
  <si>
    <t>FERIEL MABROUK</t>
  </si>
  <si>
    <t>CHAYMA ZAOUELI</t>
  </si>
  <si>
    <t>CHAYMA ZAOUALI</t>
  </si>
  <si>
    <t>MOOTAZ AJEJ</t>
  </si>
  <si>
    <t>MOOTEZ AJEJ</t>
  </si>
  <si>
    <t>ISLEM MASSAOUD</t>
  </si>
  <si>
    <t>ISLEM MASOUD</t>
  </si>
  <si>
    <t>KHADIJA HAMROUNI</t>
  </si>
  <si>
    <t>KHOULOUD CHIKHAOUI</t>
  </si>
  <si>
    <t>IBTISSEM KHALFALLAH</t>
  </si>
  <si>
    <t>HAZAR ZAIRI</t>
  </si>
  <si>
    <t>HAZAR ZAYERI</t>
  </si>
  <si>
    <t>FADOUA ZAIRI</t>
  </si>
  <si>
    <t>YOSRA GUEZMIL</t>
  </si>
  <si>
    <t>FARAH GRISSA</t>
  </si>
  <si>
    <t>FARAH GURISSA</t>
  </si>
  <si>
    <t>27/07/2026 17:37</t>
  </si>
  <si>
    <t>TAYSIR DACHRAOUI</t>
  </si>
  <si>
    <t>AHLEM GUEDER</t>
  </si>
  <si>
    <t>27/07/2026 13:47</t>
  </si>
  <si>
    <t>ZAINEB BRICHNI</t>
  </si>
  <si>
    <t>MAJED REZGUI</t>
  </si>
  <si>
    <t>27/07/2026 07:14</t>
  </si>
  <si>
    <t>29/07/2026 07:07</t>
  </si>
  <si>
    <t>FARAH LABBEN</t>
  </si>
  <si>
    <t>ZAINEB HASNI</t>
  </si>
  <si>
    <t>28/07/2026 08:58</t>
  </si>
  <si>
    <t>Durée incohérente</t>
  </si>
  <si>
    <t>THOURAYA NASRALLI</t>
  </si>
  <si>
    <t>NAJEH ATTIYA</t>
  </si>
  <si>
    <t>29/07/2026 08:07</t>
  </si>
  <si>
    <t>OUSSEMA WERFLLI</t>
  </si>
  <si>
    <t>OUSSEMA WERFELLI</t>
  </si>
  <si>
    <t>27/07/2026 08:06</t>
  </si>
  <si>
    <t>28/07/2026 08:11</t>
  </si>
  <si>
    <t>29/07/2026 11:47</t>
  </si>
  <si>
    <t>29/07/2026 17:41</t>
  </si>
  <si>
    <t>NAOURES AYEB</t>
  </si>
  <si>
    <t>NAOURES EL AYEB</t>
  </si>
  <si>
    <t>27/07/2026 18:02</t>
  </si>
  <si>
    <t>29/07/2026 07:37</t>
  </si>
  <si>
    <t>2026-07-30</t>
  </si>
  <si>
    <t>30/07/2026 06:49</t>
  </si>
  <si>
    <t>30/07/2026 14:51</t>
  </si>
  <si>
    <t>30/07/2026 07:26</t>
  </si>
  <si>
    <t>30/07/2026 17:36</t>
  </si>
  <si>
    <t>30/07/2026 08:16</t>
  </si>
  <si>
    <t>30/07/2026 22:40</t>
  </si>
  <si>
    <t>30/07/2026 07:24</t>
  </si>
  <si>
    <t>30/07/2026 17:31</t>
  </si>
  <si>
    <t>Aucun pointage</t>
  </si>
  <si>
    <t>30/07/2026 07:28</t>
  </si>
  <si>
    <t>SALEM KHEDHER</t>
  </si>
  <si>
    <t>30/07/2026 17:34</t>
  </si>
  <si>
    <t>30/07/2026 07:34</t>
  </si>
  <si>
    <t>30/07/2026 17:30</t>
  </si>
  <si>
    <t>30/07/2026 17:33</t>
  </si>
  <si>
    <t>30/07/2026 22:59</t>
  </si>
  <si>
    <t>30/07/2026 07:27</t>
  </si>
  <si>
    <t>30/07/2026 07:25</t>
  </si>
  <si>
    <t>ONS  EDWENI</t>
  </si>
  <si>
    <t>30/07/2026 17:35</t>
  </si>
  <si>
    <t>30/07/2026 17:32</t>
  </si>
  <si>
    <t>ISSA HRABI</t>
  </si>
  <si>
    <t>30/07/2026 15:01</t>
  </si>
  <si>
    <t>30/07/2026 23:00</t>
  </si>
  <si>
    <t>30/07/2026 07:14</t>
  </si>
  <si>
    <t>30/07/2026 07:59</t>
  </si>
  <si>
    <t>30/07/2026 17:45</t>
  </si>
  <si>
    <t>30/07/2026 22:39</t>
  </si>
  <si>
    <t>30/07/2026 07:40</t>
  </si>
  <si>
    <t>30/07/2026 17:38</t>
  </si>
  <si>
    <t>30/07/2026 14:56</t>
  </si>
  <si>
    <t>MOKHTAR RTIBI</t>
  </si>
  <si>
    <t>30/07/2026 13:16</t>
  </si>
  <si>
    <t>30/07/2026 17:42</t>
  </si>
  <si>
    <t>30/07/2026 07:41</t>
  </si>
  <si>
    <t>30/07/2026 07:30</t>
  </si>
  <si>
    <t>30/07/2026 10:11</t>
  </si>
  <si>
    <t>30/07/2026 17:44</t>
  </si>
  <si>
    <t>30/07/2026 07:23</t>
  </si>
  <si>
    <t>LAMIS CHEDLY</t>
  </si>
  <si>
    <t>MANEL CHENCHEN</t>
  </si>
  <si>
    <t>30/07/2026 07:39</t>
  </si>
  <si>
    <t>30/07/2026 07:52</t>
  </si>
  <si>
    <t>30/07/2026 18:57</t>
  </si>
  <si>
    <t>HADIR  BEN ABDELKADER</t>
  </si>
  <si>
    <t>30/07/2026 07:11</t>
  </si>
  <si>
    <t>30/07/2026 18:10</t>
  </si>
  <si>
    <t>KOUSSAY FRIGUI</t>
  </si>
  <si>
    <t>30/07/2026 07:20</t>
  </si>
  <si>
    <t>30/07/2026 08:59</t>
  </si>
  <si>
    <t>BOCHRA LADJIMI</t>
  </si>
  <si>
    <t>30/07/2026 17:37</t>
  </si>
  <si>
    <t>07:25 !</t>
  </si>
  <si>
    <t>08:20 !</t>
  </si>
  <si>
    <t>07:26 !</t>
  </si>
  <si>
    <t>07:27 !</t>
  </si>
  <si>
    <t>07:39 !</t>
  </si>
  <si>
    <t>06:49 !</t>
  </si>
  <si>
    <t>07:15 !</t>
  </si>
  <si>
    <t>Sélection</t>
  </si>
  <si>
    <t>ID Emp.</t>
  </si>
  <si>
    <t>Temps du Ptg</t>
  </si>
  <si>
    <t>WorkCode</t>
  </si>
  <si>
    <t>Etat du Ptg</t>
  </si>
  <si>
    <t>Terminal</t>
  </si>
  <si>
    <t>Type de Ptg</t>
  </si>
  <si>
    <t>Seifeddine.ZAIDI</t>
  </si>
  <si>
    <t>07/31/2026 07:38:32</t>
  </si>
  <si>
    <t>07/31/2026 17:58:44</t>
  </si>
  <si>
    <t>Faten.SOUSSI</t>
  </si>
  <si>
    <t>07/31/2026 08:30:36</t>
  </si>
  <si>
    <t>07/31/2026 17:41:43</t>
  </si>
  <si>
    <t>Mokhles.FERJANI</t>
  </si>
  <si>
    <t>07/31/2026 07:27:10</t>
  </si>
  <si>
    <t>07/31/2026 17:34:52</t>
  </si>
  <si>
    <t>Hassen.EZZEDINI</t>
  </si>
  <si>
    <t>07/31/2026 07:26:26</t>
  </si>
  <si>
    <t>07/31/2026 17:33:27</t>
  </si>
  <si>
    <t>Mohamed Taoufik.DHIBI</t>
  </si>
  <si>
    <t>07/31/2026 07:29:18</t>
  </si>
  <si>
    <t>07/31/2026 17:47:05</t>
  </si>
  <si>
    <t>07/31/2026 17:47:11</t>
  </si>
  <si>
    <t>MOKHTAR.RTIBI</t>
  </si>
  <si>
    <t>07/31/2026 06:47:11</t>
  </si>
  <si>
    <t>07/31/2026 17:31:39</t>
  </si>
  <si>
    <t>MOHAMED.ABDENNOUR</t>
  </si>
  <si>
    <t>07/31/2026 07:36:19</t>
  </si>
  <si>
    <t>07/31/2026 17:53:03</t>
  </si>
  <si>
    <t>Houcem.ESSID</t>
  </si>
  <si>
    <t>07/31/2026 06:49:14</t>
  </si>
  <si>
    <t>CHAIMA.TRIMECHE</t>
  </si>
  <si>
    <t>07/31/2026 07:32:43</t>
  </si>
  <si>
    <t>07/31/2026 17:28:45</t>
  </si>
  <si>
    <t>ANOUAR.LAAYOUNI</t>
  </si>
  <si>
    <t>07/31/2026 07:36:46</t>
  </si>
  <si>
    <t>07/31/2026 17:53:25</t>
  </si>
  <si>
    <t>AMAMOU.ALI</t>
  </si>
  <si>
    <t>07/31/2026 07:36:17</t>
  </si>
  <si>
    <t>07/31/2026 15:04:14</t>
  </si>
  <si>
    <t>ABDELMAJID.TLILI</t>
  </si>
  <si>
    <t>07/31/2026 07:26:22</t>
  </si>
  <si>
    <t>07/31/2026 17:46:23</t>
  </si>
  <si>
    <t>Slah.DRID</t>
  </si>
  <si>
    <t>07/31/2026 07:36:57</t>
  </si>
  <si>
    <t>07/31/2026 17:36:04</t>
  </si>
  <si>
    <t>Mouna.JABNOUN</t>
  </si>
  <si>
    <t>07/31/2026 07:51:49</t>
  </si>
  <si>
    <t>07/31/2026 17:41:27</t>
  </si>
  <si>
    <t>Chaima.MASSOUDI</t>
  </si>
  <si>
    <t>07/31/2026 07:15:30</t>
  </si>
  <si>
    <t>07/31/2026 17:39:19</t>
  </si>
  <si>
    <t>ZOHRA.ALAYA</t>
  </si>
  <si>
    <t>07/31/2026 07:16:41</t>
  </si>
  <si>
    <t>07/31/2026 17:36:27</t>
  </si>
  <si>
    <t>EYA.OUERTATANI</t>
  </si>
  <si>
    <t>07/31/2026 07:15:26</t>
  </si>
  <si>
    <t>HAJER.ASSADI</t>
  </si>
  <si>
    <t>07/31/2026 07:23:12</t>
  </si>
  <si>
    <t>07/31/2026 17:36:10</t>
  </si>
  <si>
    <t>HAYKEL.CHOGRANI</t>
  </si>
  <si>
    <t>07/31/2026 06:48:07</t>
  </si>
  <si>
    <t>07/31/2026 17:36:12</t>
  </si>
  <si>
    <t>AMEL.ALLEGUI</t>
  </si>
  <si>
    <t>07/31/2026 07:25:07</t>
  </si>
  <si>
    <t>NAOURES.ZAAG</t>
  </si>
  <si>
    <t>07/31/2026 07:39:37</t>
  </si>
  <si>
    <t>07/31/2026 18:03:51</t>
  </si>
  <si>
    <t>hamdi.BRAHIM</t>
  </si>
  <si>
    <t>07/31/2026 08:20:48</t>
  </si>
  <si>
    <t>ATEF.AZEBI</t>
  </si>
  <si>
    <t>07/31/2026 06:55:43</t>
  </si>
  <si>
    <t>07/31/2026 22:44:17</t>
  </si>
  <si>
    <t>mohamed.lakhel</t>
  </si>
  <si>
    <t>07/31/2026 07:43:06</t>
  </si>
  <si>
    <t>07/31/2026 17:36:01</t>
  </si>
  <si>
    <t>JAWAHER.MLAIKIA</t>
  </si>
  <si>
    <t>07/31/2026 07:24:55</t>
  </si>
  <si>
    <t>07/31/2026 17:34:49</t>
  </si>
  <si>
    <t>SAMI.MANNI</t>
  </si>
  <si>
    <t>07/31/2026 07:22:41</t>
  </si>
  <si>
    <t>07/31/2026 17:37:46</t>
  </si>
  <si>
    <t>SARRA.MANAI</t>
  </si>
  <si>
    <t>07/31/2026 07:24:18</t>
  </si>
  <si>
    <t>07/31/2026 17:41:04</t>
  </si>
  <si>
    <t>HADIR .BEN ABDELKADER</t>
  </si>
  <si>
    <t>07/31/2026 07:16:16</t>
  </si>
  <si>
    <t>07/31/2026 17:40:46</t>
  </si>
  <si>
    <t>AMAL.RJEYBI</t>
  </si>
  <si>
    <t>07/31/2026 07:26:33</t>
  </si>
  <si>
    <t>FRADJ.LADJIMI</t>
  </si>
  <si>
    <t>07/31/2026 07:27:22</t>
  </si>
  <si>
    <t>07/31/2026 17:42:27</t>
  </si>
  <si>
    <t>BADER EDDINE.BEN BRAHIM</t>
  </si>
  <si>
    <t>07/31/2026 07:27:19</t>
  </si>
  <si>
    <t>07/31/2026 17:48:53</t>
  </si>
  <si>
    <t>MOHANNED.BEN BRAHIM</t>
  </si>
  <si>
    <t>07/31/2026 07:27:18</t>
  </si>
  <si>
    <t>07/31/2026 17:46:24</t>
  </si>
  <si>
    <t>OMAR.KACEM</t>
  </si>
  <si>
    <t>07/31/2026 07:24:15</t>
  </si>
  <si>
    <t>07/31/2026 17:40:42</t>
  </si>
  <si>
    <t>INES.DHIFALLAH</t>
  </si>
  <si>
    <t>07/31/2026 07:23:28</t>
  </si>
  <si>
    <t>07/31/2026 17:35:38</t>
  </si>
  <si>
    <t>EYA.ROUISSI</t>
  </si>
  <si>
    <t>07/31/2026 07:27:15</t>
  </si>
  <si>
    <t>07/31/2026 17:43:37</t>
  </si>
  <si>
    <t>07/31/2026 07:23:07</t>
  </si>
  <si>
    <t>07/31/2026 17:09:43</t>
  </si>
  <si>
    <t>07/31/2026 07:26:37</t>
  </si>
  <si>
    <t>07/31/2026 17:43:44</t>
  </si>
  <si>
    <t>07/31/2026 07:27:12</t>
  </si>
  <si>
    <t>07/31/2026 17:41:19</t>
  </si>
  <si>
    <t>07/31/2026 07:16:31</t>
  </si>
  <si>
    <t>07/31/2026 17:47:31</t>
  </si>
  <si>
    <t>07/31/2026 07:16:36</t>
  </si>
  <si>
    <t>07/31/2026 16:33:39</t>
  </si>
  <si>
    <t>07/31/2026 07:20:22</t>
  </si>
  <si>
    <t>07/31/2026 17:31:19</t>
  </si>
  <si>
    <t>07/31/2026 07:25:18</t>
  </si>
  <si>
    <t>07/31/2026 17:42:09</t>
  </si>
  <si>
    <t>07/31/2026 07:15:05</t>
  </si>
  <si>
    <t>07/31/2026 18:07:00</t>
  </si>
  <si>
    <t>07/31/2026 07:27:06</t>
  </si>
  <si>
    <t>07/31/2026 07:23:48</t>
  </si>
  <si>
    <t>07/31/2026 17:44:16</t>
  </si>
  <si>
    <t>07/31/2026 07:25:55</t>
  </si>
  <si>
    <t>07/31/2026 17:42:02</t>
  </si>
  <si>
    <t>07/31/2026 07:26:12</t>
  </si>
  <si>
    <t>07/31/2026 17:41:22</t>
  </si>
  <si>
    <t>07/31/2026 17:41:33</t>
  </si>
  <si>
    <t>07/31/2026 07:24:37</t>
  </si>
  <si>
    <t>07/31/2026 17:51:42</t>
  </si>
  <si>
    <t>07/31/2026 07:24:01</t>
  </si>
  <si>
    <t>07/31/2026 07:24:03</t>
  </si>
  <si>
    <t>07/31/2026 17:41:47</t>
  </si>
  <si>
    <t>07/31/2026 07:24:22</t>
  </si>
  <si>
    <t>07/31/2026 17:41:10</t>
  </si>
  <si>
    <t>07/31/2026 07:23:51</t>
  </si>
  <si>
    <t>07/31/2026 17:29:28</t>
  </si>
  <si>
    <t>07/31/2026 07:16:26</t>
  </si>
  <si>
    <t>07/31/2026 17:45:53</t>
  </si>
  <si>
    <t>07/31/2026 07:27:44</t>
  </si>
  <si>
    <t>07/31/2026 17:42:32</t>
  </si>
  <si>
    <t>07/31/2026 07:26:07</t>
  </si>
  <si>
    <t>07/31/2026 17:42:22</t>
  </si>
  <si>
    <t>07/31/2026 07:24:28</t>
  </si>
  <si>
    <t>07/31/2026 17:41:40</t>
  </si>
  <si>
    <t>07/31/2026 17:41:41</t>
  </si>
  <si>
    <t>07/31/2026 07:24:35</t>
  </si>
  <si>
    <t>07/31/2026 17:43:48</t>
  </si>
  <si>
    <t>07/31/2026 07:26:02</t>
  </si>
  <si>
    <t>07/31/2026 17:40:36</t>
  </si>
  <si>
    <t>07/31/2026 07:23:54</t>
  </si>
  <si>
    <t>07/31/2026 17:40:26</t>
  </si>
  <si>
    <t>07/31/2026 07:24:41</t>
  </si>
  <si>
    <t>07/31/2026 17:46:05</t>
  </si>
  <si>
    <t>BOCHRA.LADJIMI</t>
  </si>
  <si>
    <t>07/31/2026 07:25:42</t>
  </si>
  <si>
    <t>07/31/2026 17:38:22</t>
  </si>
  <si>
    <t>07/31/2026 07:27:27</t>
  </si>
  <si>
    <t>07/31/2026 17:38:18</t>
  </si>
  <si>
    <t>07/31/2026 07:24:12</t>
  </si>
  <si>
    <t>07/31/2026 17:42:17</t>
  </si>
  <si>
    <t>07/31/2026 07:27:08</t>
  </si>
  <si>
    <t>07/31/2026 17:51:13</t>
  </si>
  <si>
    <t>07/31/2026 07:24:39</t>
  </si>
  <si>
    <t>07/31/2026 17:43:46</t>
  </si>
  <si>
    <t>07/31/2026 17:51:52</t>
  </si>
  <si>
    <t>07/31/2026 07:16:14</t>
  </si>
  <si>
    <t>07/31/2026 17:37:21</t>
  </si>
  <si>
    <t>07/31/2026 07:26:54</t>
  </si>
  <si>
    <t>07/31/2026 17:51:32</t>
  </si>
  <si>
    <t>07/31/2026 07:26:41</t>
  </si>
  <si>
    <t>07/31/2026 17:42:36</t>
  </si>
  <si>
    <t>07/31/2026 07:25:44</t>
  </si>
  <si>
    <t>07/31/2026 17:42:29</t>
  </si>
  <si>
    <t>07/31/2026 07:25:26</t>
  </si>
  <si>
    <t>07/31/2026 17:37:05</t>
  </si>
  <si>
    <t>07/31/2026 07:25:31</t>
  </si>
  <si>
    <t>07/31/2026 17:51:37</t>
  </si>
  <si>
    <t>07/31/2026 07:24:05</t>
  </si>
  <si>
    <t>07/31/2026 17:41:51</t>
  </si>
  <si>
    <t>07/31/2026 07:24:30</t>
  </si>
  <si>
    <t>07/31/2026 17:48:54</t>
  </si>
  <si>
    <t>07/31/2026 07:22:22</t>
  </si>
  <si>
    <t>07/31/2026 17:43:33</t>
  </si>
  <si>
    <t>07/31/2026 07:25:13</t>
  </si>
  <si>
    <t>07/31/2026 17:37:09</t>
  </si>
  <si>
    <t>07/31/2026 07:26:27</t>
  </si>
  <si>
    <t>07/31/2026 17:40:28</t>
  </si>
  <si>
    <t>07/31/2026 07:24:47</t>
  </si>
  <si>
    <t>07/31/2026 07:25:04</t>
  </si>
  <si>
    <t>07/31/2026 17:50:19</t>
  </si>
  <si>
    <t>07/31/2026 07:23:40</t>
  </si>
  <si>
    <t>07/31/2026 17:50:25</t>
  </si>
  <si>
    <t>07/31/2026 07:23:45</t>
  </si>
  <si>
    <t>07/31/2026 17:50:36</t>
  </si>
  <si>
    <t>07/31/2026 07:27:14</t>
  </si>
  <si>
    <t>07/31/2026 17:51:47</t>
  </si>
  <si>
    <t>07/31/2026 07:25:36</t>
  </si>
  <si>
    <t>07/31/2026 17:37:01</t>
  </si>
  <si>
    <t>07/31/2026 07:35:38</t>
  </si>
  <si>
    <t>07/31/2026 17:37:23</t>
  </si>
  <si>
    <t>07/31/2026 17:15:47</t>
  </si>
  <si>
    <t>07/31/2026 15:52:06</t>
  </si>
  <si>
    <t>07/31/2026 15:52:07</t>
  </si>
  <si>
    <t>07/31/2026 15:52:09</t>
  </si>
  <si>
    <t>07/31/2026 15:52:10</t>
  </si>
  <si>
    <t>07/31/2026 15:52:11</t>
  </si>
  <si>
    <t>07/31/2026 23:10:04</t>
  </si>
  <si>
    <t>07/31/2026 23:10:06</t>
  </si>
  <si>
    <t>07/31/2026 23:10:07</t>
  </si>
  <si>
    <t>07/31/2026 23:10:08</t>
  </si>
  <si>
    <t>07/31/2026 07:26:57</t>
  </si>
  <si>
    <t>07/31/2026 17:46:25</t>
  </si>
  <si>
    <t>07/31/2026 07:27:01</t>
  </si>
  <si>
    <t>07/31/2026 07:24:58</t>
  </si>
  <si>
    <t>07/31/2026 17:35:43</t>
  </si>
  <si>
    <t>07/31/2026 07:12:22</t>
  </si>
  <si>
    <t>07/31/2026 17:37:41</t>
  </si>
  <si>
    <t>07/31/2026 07:24:51</t>
  </si>
  <si>
    <t>07/31/2026 17:41:44</t>
  </si>
  <si>
    <t>07/31/2026 07:16:34</t>
  </si>
  <si>
    <t>07/31/2026 17:45:38</t>
  </si>
  <si>
    <t>07/31/2026 07:25:21</t>
  </si>
  <si>
    <t>07/31/2026 17:48:25</t>
  </si>
  <si>
    <t>07/31/2026 07:58:25</t>
  </si>
  <si>
    <t>07/31/2026 17:34:36</t>
  </si>
  <si>
    <t>07/31/2026 17:41:31</t>
  </si>
  <si>
    <t>07/31/2026 07:39:43</t>
  </si>
  <si>
    <t>07/31/2026 06:47:33</t>
  </si>
  <si>
    <t>07/31/2026 22:47:55</t>
  </si>
  <si>
    <t>Heure(s) du 31/07</t>
  </si>
  <si>
    <t>Valeur inscrite</t>
  </si>
  <si>
    <t>07:38:32</t>
  </si>
  <si>
    <t>07:38 !</t>
  </si>
  <si>
    <t>Pointage impair — À vérifier</t>
  </si>
  <si>
    <t>06:49:14</t>
  </si>
  <si>
    <t>06:47:11</t>
  </si>
  <si>
    <t>06:47 !</t>
  </si>
  <si>
    <t>08:30:36</t>
  </si>
  <si>
    <t>08:30 !</t>
  </si>
  <si>
    <t>07:29:18</t>
  </si>
  <si>
    <t>07:29 !</t>
  </si>
  <si>
    <t>07:36:19</t>
  </si>
  <si>
    <t>07:36 !</t>
  </si>
  <si>
    <t>07:26:26</t>
  </si>
  <si>
    <t>07:27:10</t>
  </si>
  <si>
    <t>07:32:43</t>
  </si>
  <si>
    <t>07:32 !</t>
  </si>
  <si>
    <t>07:36:46</t>
  </si>
  <si>
    <t>07:36:17</t>
  </si>
  <si>
    <t>07:26:22</t>
  </si>
  <si>
    <t>07:36:57</t>
  </si>
  <si>
    <t>07:51:49</t>
  </si>
  <si>
    <t>07:51 !</t>
  </si>
  <si>
    <t>07:15:30</t>
  </si>
  <si>
    <t>07:16:41</t>
  </si>
  <si>
    <t>07:16 !</t>
  </si>
  <si>
    <t>07:15:26</t>
  </si>
  <si>
    <t>07:23:12</t>
  </si>
  <si>
    <t>07:23 !</t>
  </si>
  <si>
    <t>06:48:07</t>
  </si>
  <si>
    <t>06:48 !</t>
  </si>
  <si>
    <t>07:25:07</t>
  </si>
  <si>
    <t>07:39:37</t>
  </si>
  <si>
    <t>08:20:48</t>
  </si>
  <si>
    <t>06:55:43</t>
  </si>
  <si>
    <t>06:55 !</t>
  </si>
  <si>
    <t>07:43:06</t>
  </si>
  <si>
    <t>07:43 !</t>
  </si>
  <si>
    <t>07:24:55</t>
  </si>
  <si>
    <t>07:24 !</t>
  </si>
  <si>
    <t>07:22:41</t>
  </si>
  <si>
    <t>07:22 !</t>
  </si>
  <si>
    <t>07:24:18</t>
  </si>
  <si>
    <t>07:16:16</t>
  </si>
  <si>
    <t>07:26:33</t>
  </si>
  <si>
    <t>07:27:22</t>
  </si>
  <si>
    <t>07:27:19</t>
  </si>
  <si>
    <t>07:27:18</t>
  </si>
  <si>
    <t>07:24:15</t>
  </si>
  <si>
    <t>07:23:28</t>
  </si>
  <si>
    <t>07:27:15</t>
  </si>
  <si>
    <t>07:23:07</t>
  </si>
  <si>
    <t>07:26:37</t>
  </si>
  <si>
    <t>07:27:12</t>
  </si>
  <si>
    <t>07:16:31</t>
  </si>
  <si>
    <t>07:16:36</t>
  </si>
  <si>
    <t>07:15:05</t>
  </si>
  <si>
    <t>07:25:18</t>
  </si>
  <si>
    <t>07:20:22</t>
  </si>
  <si>
    <t>07:20 !</t>
  </si>
  <si>
    <t>07:27:06</t>
  </si>
  <si>
    <t>07:23:48</t>
  </si>
  <si>
    <t>07:25:55</t>
  </si>
  <si>
    <t>07:26:12</t>
  </si>
  <si>
    <t>07:24:37</t>
  </si>
  <si>
    <t>07:24:01</t>
  </si>
  <si>
    <t>07:24:22</t>
  </si>
  <si>
    <t>07:23:51</t>
  </si>
  <si>
    <t>07:16:26</t>
  </si>
  <si>
    <t>07:27:44</t>
  </si>
  <si>
    <t>07:26:07</t>
  </si>
  <si>
    <t>07:24:28</t>
  </si>
  <si>
    <t>07:24:35</t>
  </si>
  <si>
    <t>07:26:02</t>
  </si>
  <si>
    <t>07:23:54</t>
  </si>
  <si>
    <t>07:24:41</t>
  </si>
  <si>
    <t>07:25:42</t>
  </si>
  <si>
    <t>07:27:27</t>
  </si>
  <si>
    <t>07:24:12</t>
  </si>
  <si>
    <t>07:27:08</t>
  </si>
  <si>
    <t>07:24:39</t>
  </si>
  <si>
    <t>07:16:14</t>
  </si>
  <si>
    <t>07:26:54</t>
  </si>
  <si>
    <t>07:26:41</t>
  </si>
  <si>
    <t>07:25:44</t>
  </si>
  <si>
    <t>07:25:26</t>
  </si>
  <si>
    <t>07:25:31</t>
  </si>
  <si>
    <t>07:24:05</t>
  </si>
  <si>
    <t>07:24:30</t>
  </si>
  <si>
    <t>07:22:22</t>
  </si>
  <si>
    <t>07:25:13</t>
  </si>
  <si>
    <t>07:26:27</t>
  </si>
  <si>
    <t>07:24:47</t>
  </si>
  <si>
    <t>07:23:40</t>
  </si>
  <si>
    <t>07:23:45</t>
  </si>
  <si>
    <t>07:27:14</t>
  </si>
  <si>
    <t>07:25:36</t>
  </si>
  <si>
    <t>07:35:38</t>
  </si>
  <si>
    <t>07:35 !</t>
  </si>
  <si>
    <t>07:26:57</t>
  </si>
  <si>
    <t>07:27:01</t>
  </si>
  <si>
    <t>07:24:58</t>
  </si>
  <si>
    <t>07:12:22</t>
  </si>
  <si>
    <t>07:12 !</t>
  </si>
  <si>
    <t>07:24:51</t>
  </si>
  <si>
    <t>07:16:34</t>
  </si>
  <si>
    <t>07:25:21</t>
  </si>
  <si>
    <t>07:58:25</t>
  </si>
  <si>
    <t>07:58 !</t>
  </si>
  <si>
    <t>07:39:43</t>
  </si>
  <si>
    <t>06:47:33</t>
  </si>
  <si>
    <t>Type</t>
  </si>
  <si>
    <t>Entrée(s)/sortie(s)</t>
  </si>
  <si>
    <t>Durée finale</t>
  </si>
  <si>
    <t>Paire calculée</t>
  </si>
  <si>
    <t>07:38-17:58</t>
  </si>
  <si>
    <t>09:30</t>
  </si>
  <si>
    <t>Impair/incohérent</t>
  </si>
  <si>
    <t>06:49</t>
  </si>
  <si>
    <t>06:47-17:31</t>
  </si>
  <si>
    <t>10:00</t>
  </si>
  <si>
    <t>08:30-17:41</t>
  </si>
  <si>
    <t>08:30</t>
  </si>
  <si>
    <t>07:29-17:47</t>
  </si>
  <si>
    <t>07:36-17:53</t>
  </si>
  <si>
    <t>07:26-17:33</t>
  </si>
  <si>
    <t>07:27-17:34</t>
  </si>
  <si>
    <t>07:32-17:28</t>
  </si>
  <si>
    <t>09:00</t>
  </si>
  <si>
    <t>07:36-15:04</t>
  </si>
  <si>
    <t>06:30</t>
  </si>
  <si>
    <t>07:26-17:46</t>
  </si>
  <si>
    <t>07:36-17:36</t>
  </si>
  <si>
    <t>07:51-17:41</t>
  </si>
  <si>
    <t>07:15-17:39</t>
  </si>
  <si>
    <t>07:16-17:36</t>
  </si>
  <si>
    <t>07:15</t>
  </si>
  <si>
    <t>07:23-17:36</t>
  </si>
  <si>
    <t>06:48-17:36</t>
  </si>
  <si>
    <t>07:25</t>
  </si>
  <si>
    <t>07:39-18:03</t>
  </si>
  <si>
    <t>08:20</t>
  </si>
  <si>
    <t>06:55 / 22:44</t>
  </si>
  <si>
    <t>07:43-17:36</t>
  </si>
  <si>
    <t>07:24-17:34</t>
  </si>
  <si>
    <t>07:22-17:37</t>
  </si>
  <si>
    <t>07:24-17:41</t>
  </si>
  <si>
    <t>07:16-17:40</t>
  </si>
  <si>
    <t>07:26</t>
  </si>
  <si>
    <t>07:27-17:42</t>
  </si>
  <si>
    <t>07:27-17:48</t>
  </si>
  <si>
    <t>07:27-17:46</t>
  </si>
  <si>
    <t>07:24-17:40</t>
  </si>
  <si>
    <t>07:23-17:35</t>
  </si>
  <si>
    <t>07:27-17:43</t>
  </si>
  <si>
    <t>07:23-17:09</t>
  </si>
  <si>
    <t>07:26-17:43</t>
  </si>
  <si>
    <t>07:27-17:41</t>
  </si>
  <si>
    <t>07:16-17:47</t>
  </si>
  <si>
    <t>07:16-16:33</t>
  </si>
  <si>
    <t>07:15-18:07</t>
  </si>
  <si>
    <t>07:25-17:42</t>
  </si>
  <si>
    <t>07:20-17:31</t>
  </si>
  <si>
    <t>07:27</t>
  </si>
  <si>
    <t>07:23-17:44</t>
  </si>
  <si>
    <t>07:26-17:41</t>
  </si>
  <si>
    <t>07:24-17:51</t>
  </si>
  <si>
    <t>07:23-17:29</t>
  </si>
  <si>
    <t>07:16-17:45</t>
  </si>
  <si>
    <t>07:26-17:42</t>
  </si>
  <si>
    <t>07:24-17:43</t>
  </si>
  <si>
    <t>07:26-17:40</t>
  </si>
  <si>
    <t>07:23-17:40</t>
  </si>
  <si>
    <t>07:24-17:46</t>
  </si>
  <si>
    <t>07:25-17:38</t>
  </si>
  <si>
    <t>07:27-17:38</t>
  </si>
  <si>
    <t>07:24-17:42</t>
  </si>
  <si>
    <t>07:27-17:51</t>
  </si>
  <si>
    <t>07:24 / 17:43 / 17:51</t>
  </si>
  <si>
    <t>07:16-17:37</t>
  </si>
  <si>
    <t>07:26-17:51</t>
  </si>
  <si>
    <t>07:25-17:37</t>
  </si>
  <si>
    <t>07:25-17:51</t>
  </si>
  <si>
    <t>07:24-17:48</t>
  </si>
  <si>
    <t>07:22-17:43</t>
  </si>
  <si>
    <t>07:24-17:50</t>
  </si>
  <si>
    <t>07:23-17:50</t>
  </si>
  <si>
    <t>07:35-17:37</t>
  </si>
  <si>
    <t>07:26-17:15</t>
  </si>
  <si>
    <t>15:52-23:10</t>
  </si>
  <si>
    <t>07:24-17:35</t>
  </si>
  <si>
    <t>07:12-17:37</t>
  </si>
  <si>
    <t>07:25-17:48</t>
  </si>
  <si>
    <t>07:58 / 17:34 / 17:41</t>
  </si>
  <si>
    <t>07:39</t>
  </si>
  <si>
    <t>06:47 / 22:47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</si>
</sst>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8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sz val="11"/>
      <color rgb="FF000000"/>
      <name val="Carlito"/>
    </font>
    <font>
      <sz val="11"/>
      <color theme="6" tint="0.39997558519241921"/>
      <name val="Carlito"/>
    </font>
    <font>
      <b/>
      <sz val="11"/>
      <color rgb="FF1F1F1F"/>
      <name val="Carlito"/>
    </font>
    <font>
      <b/>
      <sz val="11"/>
      <color rgb="FF1F4E78"/>
      <name val="Carlito"/>
    </font>
  </fonts>
  <fills count="1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00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4" borderId="0" xfId="0" applyNumberFormat="1" applyFont="1" applyFill="1" applyBorder="1" applyAlignment="1">
      <alignment horizontal="center"/>
    </xf>
    <xf numFmtId="0" fontId="0" fillId="0" borderId="0" xfId="0" applyNumberFormat="1" applyFont="1" applyFill="1"/>
    <xf numFmtId="0" fontId="0" fillId="0" borderId="0" xfId="0" applyNumberFormat="1" applyFont="1" applyFill="1" applyBorder="1" applyAlignment="1">
      <alignment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4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4" fillId="0" borderId="1" xfId="0" applyNumberFormat="1" applyFont="1" applyFill="1" applyBorder="1" applyAlignment="1">
      <alignment horizontal="center" vertical="center"/>
    </xf>
    <xf numFmtId="0" fontId="2" fillId="7" borderId="0" xfId="0" applyNumberFormat="1" applyFont="1" applyFill="1" applyBorder="1" applyAlignment="1">
      <alignment horizont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6" fillId="9" borderId="0" xfId="0" applyNumberFormat="1" applyFont="1" applyFill="1" applyBorder="1" applyAlignment="1">
      <alignment horizontal="center" vertical="center"/>
    </xf>
    <xf numFmtId="0" fontId="0" fillId="9" borderId="0" xfId="0" applyNumberFormat="1" applyFont="1" applyFill="1" applyBorder="1" applyAlignment="1">
      <alignment wrapText="1"/>
    </xf>
    <xf numFmtId="0" fontId="0" fillId="10" borderId="0" xfId="0" applyNumberFormat="1" applyFont="1" applyFill="1" applyBorder="1" applyAlignment="1">
      <alignment wrapText="1"/>
    </xf>
    <xf numFmtId="0" fontId="0" fillId="11" borderId="0" xfId="0" applyNumberFormat="1" applyFont="1" applyFill="1" applyBorder="1" applyAlignment="1">
      <alignment wrapText="1"/>
    </xf>
    <xf numFmtId="0" fontId="2" fillId="12" borderId="0" xfId="0" applyNumberFormat="1" applyFont="1" applyFill="1" applyBorder="1" applyAlignment="1">
      <alignment horizontal="center"/>
    </xf>
    <xf numFmtId="0" fontId="2" fillId="13" borderId="0" xfId="0" applyNumberFormat="1" applyFont="1" applyFill="1" applyBorder="1" applyAlignment="1">
      <alignment horizontal="center"/>
    </xf>
    <xf numFmtId="0" fontId="7" fillId="14" borderId="0" xfId="0" applyNumberFormat="1" applyFont="1" applyFill="1" applyBorder="1"/>
    <xf numFmtId="164" fontId="4" fillId="15" borderId="1" xfId="0" applyNumberFormat="1" applyFont="1" applyFill="1" applyBorder="1" applyAlignment="1">
      <alignment horizontal="center" vertical="center"/>
    </xf>
    <xf numFmtId="0" fontId="2" fillId="16" borderId="0" xfId="0" applyNumberFormat="1" applyFont="1" applyFill="1" applyBorder="1" applyAlignment="1">
      <alignment horizontal="center" wrapText="1"/>
    </xf>
    <xf numFmtId="0" fontId="2" fillId="17" borderId="0" xfId="0" applyNumberFormat="1" applyFont="1" applyFill="1" applyBorder="1" applyAlignment="1">
      <alignment horizontal="center" wrapText="1"/>
    </xf>
    <xf numFmtId="0" fontId="2" fillId="17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horizontal="center"/>
    </xf>
    <xf numFmtId="0" fontId="2" fillId="8" borderId="0" xfId="0" applyNumberFormat="1" applyFont="1" applyFill="1" applyBorder="1" applyAlignment="1">
      <alignment horizontal="center" vertical="center"/>
    </xf>
    <xf numFmtId="164" fontId="4" fillId="18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03">
    <dxf>
      <fill>
        <patternFill>
          <bgColor rgb="FFD9E1F2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7F6000"/>
      </font>
      <fill>
        <patternFill>
          <bgColor rgb="FFD9D9D9"/>
        </patternFill>
      </fill>
    </dxf>
    <dxf>
      <font>
        <b/>
        <color rgb="FF0070C0"/>
      </font>
    </dxf>
    <dxf>
      <font>
        <b/>
        <color rgb="FF0070C0"/>
      </font>
    </dxf>
    <dxf>
      <font>
        <b/>
        <color rgb="FFC00000"/>
      </font>
    </dxf>
    <dxf>
      <font>
        <color rgb="FF7F7F7F"/>
      </font>
      <fill>
        <patternFill>
          <bgColor rgb="FFD9D9D9"/>
        </patternFill>
      </fill>
    </dxf>
    <dxf>
      <fill>
        <patternFill>
          <bgColor rgb="FFD9E1F2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D9E1F2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7F6000"/>
      </font>
      <fill>
        <patternFill>
          <bgColor rgb="FFD9D9D9"/>
        </patternFill>
      </fill>
    </dxf>
    <dxf>
      <font>
        <b/>
        <color rgb="FF0070C0"/>
      </font>
    </dxf>
    <dxf>
      <font>
        <b/>
        <color rgb="FF0070C0"/>
      </font>
    </dxf>
    <dxf>
      <font>
        <b/>
        <color rgb="FFC00000"/>
      </font>
    </dxf>
    <dxf>
      <font>
        <color rgb="FF7F7F7F"/>
      </font>
      <fill>
        <patternFill>
          <bgColor rgb="FFD9D9D9"/>
        </patternFill>
      </fill>
    </dxf>
    <dxf>
      <fill>
        <patternFill>
          <bgColor rgb="FFD9E1F2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C00000"/>
      </font>
    </dxf>
    <dxf>
      <font>
        <b/>
        <color rgb="FFC00000"/>
      </font>
    </dxf>
    <dxf>
      <font>
        <b/>
        <color rgb="FFC00000"/>
      </font>
    </dxf>
    <dxf>
      <font>
        <b/>
        <color rgb="FFC00000"/>
      </font>
    </dxf>
    <dxf>
      <font>
        <b/>
        <color rgb="FF0066CC"/>
      </font>
    </dxf>
    <dxf>
      <font>
        <b/>
        <color rgb="FFC65911"/>
      </font>
      <fill>
        <patternFill>
          <bgColor rgb="FFFFF2CC"/>
        </patternFill>
      </fill>
    </dxf>
    <dxf>
      <font>
        <b/>
        <color rgb="FF7F6000"/>
      </font>
    </dxf>
    <dxf>
      <font>
        <b/>
        <color rgb="FFC00000"/>
      </font>
    </dxf>
    <dxf>
      <font>
        <b/>
        <color rgb="FFC00000"/>
      </font>
    </dxf>
    <dxf>
      <font>
        <b/>
        <color rgb="FF0070C0"/>
      </font>
    </dxf>
    <dxf>
      <font>
        <b/>
        <color rgb="FFC00000"/>
      </font>
    </dxf>
    <dxf>
      <font>
        <b/>
        <color rgb="FFC00000"/>
      </font>
    </dxf>
    <dxf>
      <font>
        <b/>
        <color rgb="FFC00000"/>
      </font>
    </dxf>
    <dxf>
      <font>
        <b/>
        <color rgb="FF0070C0"/>
      </font>
    </dxf>
    <dxf>
      <font>
        <b/>
        <color rgb="FFC00000"/>
      </font>
    </dxf>
    <dxf>
      <font>
        <b/>
        <color rgb="FFC00000"/>
      </font>
    </dxf>
    <dxf>
      <font>
        <color rgb="FF808080"/>
      </font>
    </dxf>
    <dxf>
      <font>
        <b/>
        <color rgb="FF0066CC"/>
      </font>
    </dxf>
    <dxf>
      <font>
        <b/>
        <color rgb="FF0066CC"/>
      </font>
    </dxf>
    <dxf>
      <font>
        <b/>
        <color rgb="FFC00000"/>
      </font>
    </dxf>
    <dxf>
      <font>
        <b/>
        <color rgb="FFC00000"/>
      </font>
    </dxf>
    <dxf>
      <font>
        <b/>
        <color rgb="FF7F6000"/>
      </font>
      <fill>
        <patternFill>
          <bgColor rgb="FFD9D9D9"/>
        </patternFill>
      </fill>
    </dxf>
    <dxf>
      <font>
        <b/>
        <color rgb="FF0070C0"/>
      </font>
    </dxf>
    <dxf>
      <font>
        <b/>
        <color rgb="FF0070C0"/>
      </font>
    </dxf>
    <dxf>
      <font>
        <b/>
        <color rgb="FFC00000"/>
      </font>
    </dxf>
    <dxf>
      <font>
        <color rgb="FF7F7F7F"/>
      </font>
      <fill>
        <patternFill>
          <bgColor rgb="FFD9D9D9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b/>
        <color rgb="FF5F497A"/>
      </font>
      <fill>
        <patternFill>
          <bgColor rgb="FFE4DFEC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b/>
        <color rgb="FF0066CC"/>
      </font>
    </dxf>
    <dxf>
      <font>
        <b/>
        <color rgb="FFC65911"/>
      </font>
      <fill>
        <patternFill>
          <bgColor rgb="FFFFF2CC"/>
        </patternFill>
      </fill>
    </dxf>
    <dxf>
      <font>
        <b/>
        <color rgb="FF7F6000"/>
      </font>
    </dxf>
    <dxf>
      <font>
        <b/>
        <color rgb="FF0070C0"/>
      </font>
    </dxf>
    <dxf>
      <font>
        <b/>
        <color rgb="FFC00000"/>
      </font>
    </dxf>
    <dxf>
      <font>
        <b/>
        <color rgb="FFC00000"/>
      </font>
    </dxf>
    <dxf>
      <font>
        <b/>
        <color rgb="FF1F4E78"/>
      </font>
      <fill>
        <patternFill>
          <bgColor rgb="FFD9EAF7"/>
        </patternFill>
      </fill>
    </dxf>
    <dxf>
      <font>
        <b/>
        <color rgb="FF5F497A"/>
      </font>
      <fill>
        <patternFill>
          <bgColor rgb="FFE4DFEC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color rgb="FF808080"/>
      </font>
    </dxf>
    <dxf>
      <font>
        <b/>
        <color rgb="FF0066CC"/>
      </font>
    </dxf>
    <dxf>
      <font>
        <b/>
        <color rgb="FF0066CC"/>
      </font>
    </dxf>
    <dxf>
      <font>
        <b/>
        <color rgb="FFC00000"/>
      </font>
    </dxf>
    <dxf>
      <font>
        <b/>
        <color rgb="FFC00000"/>
      </font>
    </dxf>
    <dxf>
      <font>
        <b/>
        <color rgb="FF7F6000"/>
      </font>
      <fill>
        <patternFill>
          <bgColor rgb="FFD9D9D9"/>
        </patternFill>
      </fill>
    </dxf>
    <dxf>
      <font>
        <b/>
        <color rgb="FF0070C0"/>
      </font>
    </dxf>
    <dxf>
      <font>
        <b/>
        <color rgb="FF0070C0"/>
      </font>
    </dxf>
    <dxf>
      <font>
        <b/>
        <color rgb="FFC00000"/>
      </font>
    </dxf>
    <dxf>
      <font>
        <color rgb="FF7F7F7F"/>
      </font>
      <fill>
        <patternFill>
          <bgColor rgb="FFD9D9D9"/>
        </patternFill>
      </fill>
    </dxf>
    <dxf>
      <font>
        <b/>
        <color rgb="FF0066CC"/>
      </font>
    </dxf>
    <dxf>
      <font>
        <b/>
        <color rgb="FFC65911"/>
      </font>
      <fill>
        <patternFill>
          <bgColor rgb="FFFFF2CC"/>
        </patternFill>
      </fill>
    </dxf>
    <dxf>
      <font>
        <b/>
        <color rgb="FF7F6000"/>
      </font>
    </dxf>
    <dxf>
      <font>
        <b/>
        <color rgb="FF0070C0"/>
      </font>
    </dxf>
    <dxf>
      <font>
        <b/>
        <color rgb="FFC00000"/>
      </font>
    </dxf>
    <dxf>
      <font>
        <b/>
        <color rgb="FFC00000"/>
      </font>
    </dxf>
    <dxf>
      <font>
        <b/>
        <color rgb="FF1F4E78"/>
      </font>
      <fill>
        <patternFill>
          <bgColor rgb="FFD9EAF7"/>
        </patternFill>
      </fill>
    </dxf>
    <dxf>
      <font>
        <b/>
        <color rgb="FF5F497A"/>
      </font>
      <fill>
        <patternFill>
          <bgColor rgb="FFE4DFEC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color rgb="FF808080"/>
      </font>
    </dxf>
    <dxf>
      <font>
        <b/>
        <color rgb="FF0066CC"/>
      </font>
    </dxf>
    <dxf>
      <font>
        <b/>
        <color rgb="FF0066CC"/>
      </font>
    </dxf>
    <dxf>
      <font>
        <b/>
        <color rgb="FFC00000"/>
      </font>
    </dxf>
    <dxf>
      <font>
        <b/>
        <color rgb="FFC00000"/>
      </font>
    </dxf>
    <dxf>
      <font>
        <b/>
        <color rgb="FF7F6000"/>
      </font>
      <fill>
        <patternFill>
          <bgColor rgb="FFD9D9D9"/>
        </patternFill>
      </fill>
    </dxf>
    <dxf>
      <font>
        <b/>
        <color rgb="FF0070C0"/>
      </font>
    </dxf>
    <dxf>
      <font>
        <b/>
        <color rgb="FF0070C0"/>
      </font>
    </dxf>
    <dxf>
      <font>
        <b/>
        <color rgb="FFC00000"/>
      </font>
    </dxf>
    <dxf>
      <font>
        <color rgb="FF7F7F7F"/>
      </font>
      <fill>
        <patternFill>
          <bgColor rgb="FFD9D9D9"/>
        </patternFill>
      </fill>
    </dxf>
    <dxf>
      <font>
        <b/>
        <color rgb="FF0066CC"/>
      </font>
    </dxf>
    <dxf>
      <font>
        <b/>
        <color rgb="FFC65911"/>
      </font>
      <fill>
        <patternFill>
          <bgColor rgb="FFFFF2CC"/>
        </patternFill>
      </fill>
    </dxf>
    <dxf>
      <font>
        <b/>
        <color rgb="FF7F6000"/>
      </font>
    </dxf>
    <dxf>
      <font>
        <b/>
        <color rgb="FF0070C0"/>
      </font>
    </dxf>
    <dxf>
      <font>
        <b/>
        <color rgb="FFC00000"/>
      </font>
    </dxf>
    <dxf>
      <font>
        <b/>
        <color rgb="FFC00000"/>
      </font>
    </dxf>
    <dxf>
      <font>
        <b/>
        <color rgb="FF7F6000"/>
      </font>
      <fill>
        <patternFill>
          <bgColor rgb="FFD9D9D9"/>
        </patternFill>
      </fill>
    </dxf>
    <dxf>
      <font>
        <b/>
        <color rgb="FF0070C0"/>
      </font>
    </dxf>
    <dxf>
      <font>
        <b/>
        <color rgb="FF0070C0"/>
      </font>
    </dxf>
    <dxf>
      <font>
        <b/>
        <color rgb="FFC00000"/>
      </font>
    </dxf>
    <dxf>
      <font>
        <color rgb="FF7F7F7F"/>
      </font>
      <fill>
        <patternFill>
          <bgColor rgb="FFD9D9D9"/>
        </patternFill>
      </fill>
    </dxf>
    <dxf>
      <font>
        <b/>
        <color rgb="FF7F6000"/>
      </font>
      <fill>
        <patternFill>
          <bgColor rgb="FFD9D9D9"/>
        </patternFill>
      </fill>
    </dxf>
    <dxf>
      <font>
        <b/>
        <color rgb="FF0070C0"/>
      </font>
    </dxf>
    <dxf>
      <font>
        <b/>
        <color rgb="FF0070C0"/>
      </font>
    </dxf>
    <dxf>
      <font>
        <b/>
        <color rgb="FFC00000"/>
      </font>
    </dxf>
    <dxf>
      <font>
        <color rgb="FF7F7F7F"/>
      </font>
      <fill>
        <patternFill>
          <bgColor rgb="FFD9D9D9"/>
        </patternFill>
      </fill>
    </dxf>
    <dxf>
      <font>
        <b/>
        <color rgb="FF7F6000"/>
      </font>
      <fill>
        <patternFill>
          <bgColor rgb="FFD9D9D9"/>
        </patternFill>
      </fill>
    </dxf>
    <dxf>
      <font>
        <b/>
        <color rgb="FF0070C0"/>
      </font>
    </dxf>
    <dxf>
      <font>
        <b/>
        <color rgb="FF0070C0"/>
      </font>
    </dxf>
    <dxf>
      <font>
        <b/>
        <color rgb="FFC00000"/>
      </font>
    </dxf>
    <dxf>
      <font>
        <color rgb="FF7F7F7F"/>
      </font>
      <fill>
        <patternFill>
          <bgColor rgb="FFD9D9D9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b/>
        <color rgb="FF5F497A"/>
      </font>
      <fill>
        <patternFill>
          <bgColor rgb="FFE4DFEC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color rgb="FF808080"/>
      </font>
    </dxf>
    <dxf>
      <font>
        <b/>
        <color rgb="FF0066CC"/>
      </font>
    </dxf>
    <dxf>
      <font>
        <b/>
        <color rgb="FF0066CC"/>
      </font>
    </dxf>
    <dxf>
      <font>
        <b/>
        <color rgb="FFC00000"/>
      </font>
    </dxf>
    <dxf>
      <font>
        <b/>
        <color rgb="FFC00000"/>
      </font>
    </dxf>
    <dxf>
      <font>
        <b/>
        <color rgb="FF7F6000"/>
      </font>
      <fill>
        <patternFill>
          <bgColor rgb="FFD9D9D9"/>
        </patternFill>
      </fill>
    </dxf>
    <dxf>
      <font>
        <b/>
        <color rgb="FF0070C0"/>
      </font>
    </dxf>
    <dxf>
      <font>
        <b/>
        <color rgb="FF0070C0"/>
      </font>
    </dxf>
    <dxf>
      <font>
        <b/>
        <color rgb="FFC00000"/>
      </font>
    </dxf>
    <dxf>
      <font>
        <color rgb="FF7F7F7F"/>
      </font>
      <fill>
        <patternFill>
          <bgColor rgb="FFD9D9D9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7F6000"/>
      </font>
      <fill>
        <patternFill>
          <bgColor rgb="FFD9D9D9"/>
        </patternFill>
      </fill>
    </dxf>
    <dxf>
      <font>
        <b/>
        <color rgb="FF0070C0"/>
      </font>
    </dxf>
    <dxf>
      <font>
        <b/>
        <color rgb="FF0070C0"/>
      </font>
    </dxf>
    <dxf>
      <font>
        <b/>
        <color rgb="FFC00000"/>
      </font>
    </dxf>
    <dxf>
      <font>
        <color rgb="FF7F7F7F"/>
      </font>
      <fill>
        <patternFill>
          <bgColor rgb="FFD9D9D9"/>
        </patternFill>
      </fill>
    </dxf>
    <dxf>
      <fill>
        <patternFill>
          <bgColor rgb="FFD9E1F2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7F6000"/>
      </font>
      <fill>
        <patternFill>
          <bgColor rgb="FFD9D9D9"/>
        </patternFill>
      </fill>
    </dxf>
    <dxf>
      <font>
        <b/>
        <color rgb="FF0070C0"/>
      </font>
    </dxf>
    <dxf>
      <font>
        <b/>
        <color rgb="FF0070C0"/>
      </font>
    </dxf>
    <dxf>
      <font>
        <b/>
        <color rgb="FFC00000"/>
      </font>
    </dxf>
    <dxf>
      <font>
        <color rgb="FF7F7F7F"/>
      </font>
      <fill>
        <patternFill>
          <bgColor rgb="FFD9D9D9"/>
        </patternFill>
      </fill>
    </dxf>
    <dxf>
      <fill>
        <patternFill>
          <bgColor rgb="FFD9E1F2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D9E1F2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D9E1F2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D9E1F2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D9E1F2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7F6000"/>
      </font>
      <fill>
        <patternFill>
          <bgColor rgb="FFD9D9D9"/>
        </patternFill>
      </fill>
    </dxf>
    <dxf>
      <font>
        <b/>
        <color rgb="FF0070C0"/>
      </font>
    </dxf>
    <dxf>
      <font>
        <b/>
        <color rgb="FF0070C0"/>
      </font>
    </dxf>
    <dxf>
      <font>
        <b/>
        <color rgb="FFC00000"/>
      </font>
    </dxf>
    <dxf>
      <font>
        <color rgb="FF7F7F7F"/>
      </font>
      <fill>
        <patternFill>
          <bgColor rgb="FFD9D9D9"/>
        </patternFill>
      </fill>
    </dxf>
    <dxf>
      <fill>
        <patternFill>
          <bgColor rgb="FFD9E1F2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7F6000"/>
      </font>
      <fill>
        <patternFill>
          <bgColor rgb="FFD9D9D9"/>
        </patternFill>
      </fill>
    </dxf>
    <dxf>
      <font>
        <b/>
        <color rgb="FF0070C0"/>
      </font>
    </dxf>
    <dxf>
      <font>
        <b/>
        <color rgb="FF0070C0"/>
      </font>
    </dxf>
    <dxf>
      <font>
        <b/>
        <color rgb="FFC00000"/>
      </font>
    </dxf>
    <dxf>
      <font>
        <color rgb="FF7F7F7F"/>
      </font>
      <fill>
        <patternFill>
          <bgColor rgb="FFD9D9D9"/>
        </patternFill>
      </fill>
    </dxf>
    <dxf>
      <fill>
        <patternFill>
          <bgColor rgb="FFD9E1F2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7F6000"/>
      </font>
      <fill>
        <patternFill>
          <bgColor rgb="FFD9D9D9"/>
        </patternFill>
      </fill>
    </dxf>
    <dxf>
      <font>
        <b/>
        <color rgb="FF0070C0"/>
      </font>
    </dxf>
    <dxf>
      <font>
        <b/>
        <color rgb="FF0070C0"/>
      </font>
    </dxf>
    <dxf>
      <font>
        <b/>
        <color rgb="FFC00000"/>
      </font>
    </dxf>
    <dxf>
      <font>
        <color rgb="FF7F7F7F"/>
      </font>
      <fill>
        <patternFill>
          <bgColor rgb="FFD9D9D9"/>
        </patternFill>
      </fill>
    </dxf>
    <dxf>
      <fill>
        <patternFill>
          <bgColor rgb="FFD9E1F2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7F6000"/>
      </font>
      <fill>
        <patternFill>
          <bgColor rgb="FFD9D9D9"/>
        </patternFill>
      </fill>
    </dxf>
    <dxf>
      <font>
        <b/>
        <color rgb="FF0070C0"/>
      </font>
    </dxf>
    <dxf>
      <font>
        <b/>
        <color rgb="FF0070C0"/>
      </font>
    </dxf>
    <dxf>
      <font>
        <b/>
        <color rgb="FFC00000"/>
      </font>
    </dxf>
    <dxf>
      <font>
        <color rgb="FF7F7F7F"/>
      </font>
      <fill>
        <patternFill>
          <bgColor rgb="FFD9D9D9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7F6000"/>
      </font>
      <fill>
        <patternFill>
          <bgColor rgb="FFD9D9D9"/>
        </patternFill>
      </fill>
    </dxf>
    <dxf>
      <font>
        <b/>
        <color rgb="FF0070C0"/>
      </font>
    </dxf>
    <dxf>
      <font>
        <b/>
        <color rgb="FF0070C0"/>
      </font>
    </dxf>
    <dxf>
      <font>
        <b/>
        <color rgb="FFC00000"/>
      </font>
    </dxf>
    <dxf>
      <font>
        <color rgb="FF7F7F7F"/>
      </font>
      <fill>
        <patternFill>
          <bgColor rgb="FFD9D9D9"/>
        </patternFill>
      </fill>
    </dxf>
    <dxf>
      <font>
        <b/>
        <color rgb="FF7F6000"/>
      </font>
      <fill>
        <patternFill>
          <bgColor rgb="FFD9D9D9"/>
        </patternFill>
      </fill>
    </dxf>
    <dxf>
      <font>
        <b/>
        <color rgb="FF0070C0"/>
      </font>
    </dxf>
    <dxf>
      <font>
        <b/>
        <color rgb="FF0070C0"/>
      </font>
    </dxf>
    <dxf>
      <font>
        <b/>
        <color rgb="FFC00000"/>
      </font>
    </dxf>
    <dxf>
      <font>
        <color rgb="FF7F7F7F"/>
      </font>
      <fill>
        <patternFill>
          <bgColor rgb="FFD9D9D9"/>
        </patternFill>
      </fill>
    </dxf>
    <dxf>
      <fill>
        <patternFill>
          <bgColor rgb="FFD9E1F2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7F6000"/>
      </font>
      <fill>
        <patternFill>
          <bgColor rgb="FFD9D9D9"/>
        </patternFill>
      </fill>
    </dxf>
    <dxf>
      <font>
        <b/>
        <color rgb="FF0070C0"/>
      </font>
    </dxf>
    <dxf>
      <font>
        <b/>
        <color rgb="FF0070C0"/>
      </font>
    </dxf>
    <dxf>
      <font>
        <b/>
        <color rgb="FFC00000"/>
      </font>
    </dxf>
    <dxf>
      <font>
        <color rgb="FF7F7F7F"/>
      </font>
      <fill>
        <patternFill>
          <bgColor rgb="FFD9D9D9"/>
        </patternFill>
      </fill>
    </dxf>
    <dxf>
      <fill>
        <patternFill>
          <bgColor rgb="FFD9E1F2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D9E1F2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7F6000"/>
      </font>
      <fill>
        <patternFill>
          <bgColor rgb="FFD9D9D9"/>
        </patternFill>
      </fill>
    </dxf>
    <dxf>
      <font>
        <b/>
        <color rgb="FF0070C0"/>
      </font>
    </dxf>
    <dxf>
      <font>
        <b/>
        <color rgb="FF0070C0"/>
      </font>
    </dxf>
    <dxf>
      <font>
        <b/>
        <color rgb="FFC00000"/>
      </font>
    </dxf>
    <dxf>
      <font>
        <color rgb="FF7F7F7F"/>
      </font>
      <fill>
        <patternFill>
          <bgColor rgb="FFD9D9D9"/>
        </patternFill>
      </fill>
    </dxf>
    <dxf>
      <font>
        <b/>
        <color rgb="FF7F6000"/>
      </font>
      <fill>
        <patternFill>
          <bgColor rgb="FFD9D9D9"/>
        </patternFill>
      </fill>
    </dxf>
    <dxf>
      <font>
        <b/>
        <color rgb="FF0070C0"/>
      </font>
    </dxf>
    <dxf>
      <font>
        <b/>
        <color rgb="FF0070C0"/>
      </font>
    </dxf>
    <dxf>
      <font>
        <b/>
        <color rgb="FFC00000"/>
      </font>
    </dxf>
    <dxf>
      <font>
        <color rgb="FF7F7F7F"/>
      </font>
      <fill>
        <patternFill>
          <bgColor rgb="FFD9D9D9"/>
        </patternFill>
      </fill>
    </dxf>
    <dxf>
      <font>
        <b/>
        <color rgb="FF7F6000"/>
      </font>
      <fill>
        <patternFill>
          <bgColor rgb="FFD9D9D9"/>
        </patternFill>
      </fill>
    </dxf>
    <dxf>
      <font>
        <b/>
        <color rgb="FF0070C0"/>
      </font>
    </dxf>
    <dxf>
      <font>
        <b/>
        <color rgb="FF0070C0"/>
      </font>
    </dxf>
    <dxf>
      <font>
        <b/>
        <color rgb="FFC00000"/>
      </font>
    </dxf>
    <dxf>
      <font>
        <color rgb="FF7F7F7F"/>
      </font>
      <fill>
        <patternFill>
          <bgColor rgb="FFD9D9D9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7F6000"/>
      </font>
      <fill>
        <patternFill>
          <bgColor rgb="FFD9D9D9"/>
        </patternFill>
      </fill>
    </dxf>
    <dxf>
      <font>
        <b/>
        <color rgb="FF0070C0"/>
      </font>
    </dxf>
    <dxf>
      <font>
        <b/>
        <color rgb="FF0070C0"/>
      </font>
    </dxf>
    <dxf>
      <font>
        <b/>
        <color rgb="FFC00000"/>
      </font>
    </dxf>
    <dxf>
      <font>
        <color rgb="FF7F7F7F"/>
      </font>
      <fill>
        <patternFill>
          <bgColor rgb="FFD9D9D9"/>
        </patternFill>
      </fill>
    </dxf>
    <dxf>
      <font>
        <b/>
        <color rgb="FF0066CC"/>
      </font>
    </dxf>
    <dxf>
      <font>
        <b/>
        <color rgb="FFC65911"/>
      </font>
      <fill>
        <patternFill>
          <bgColor rgb="FFFFF2CC"/>
        </patternFill>
      </fill>
    </dxf>
    <dxf>
      <font>
        <b/>
        <color rgb="FF7F6000"/>
      </font>
    </dxf>
    <dxf>
      <font>
        <b/>
        <color rgb="FF0070C0"/>
      </font>
    </dxf>
    <dxf>
      <font>
        <b/>
        <color rgb="FFC00000"/>
      </font>
    </dxf>
    <dxf>
      <font>
        <b/>
        <color rgb="FFC00000"/>
      </font>
    </dxf>
    <dxf>
      <font>
        <b/>
        <color rgb="FF7F6000"/>
      </font>
      <fill>
        <patternFill>
          <bgColor rgb="FFD9D9D9"/>
        </patternFill>
      </fill>
    </dxf>
    <dxf>
      <font>
        <b/>
        <color rgb="FF0070C0"/>
      </font>
    </dxf>
    <dxf>
      <font>
        <b/>
        <color rgb="FF0070C0"/>
      </font>
    </dxf>
    <dxf>
      <font>
        <b/>
        <color rgb="FFC00000"/>
      </font>
    </dxf>
    <dxf>
      <font>
        <color rgb="FF7F7F7F"/>
      </font>
      <fill>
        <patternFill>
          <bgColor rgb="FFD9D9D9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7F6000"/>
      </font>
      <fill>
        <patternFill>
          <bgColor rgb="FFD9D9D9"/>
        </patternFill>
      </fill>
    </dxf>
    <dxf>
      <font>
        <b/>
        <color rgb="FF0070C0"/>
      </font>
    </dxf>
    <dxf>
      <font>
        <b/>
        <color rgb="FF0070C0"/>
      </font>
    </dxf>
    <dxf>
      <font>
        <b/>
        <color rgb="FFC00000"/>
      </font>
    </dxf>
    <dxf>
      <font>
        <color rgb="FF7F7F7F"/>
      </font>
      <fill>
        <patternFill>
          <bgColor rgb="FFD9D9D9"/>
        </patternFill>
      </fill>
    </dxf>
    <dxf>
      <fill>
        <patternFill>
          <bgColor rgb="FFD9E1F2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D9E1F2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D9E1F2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D9E1F2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D9E1F2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D9E1F2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D9E1F2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b/>
        <color rgb="FF5F497A"/>
      </font>
      <fill>
        <patternFill>
          <bgColor rgb="FFE4DFEC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color rgb="FF808080"/>
      </font>
    </dxf>
    <dxf>
      <font>
        <b/>
        <color rgb="FF0066CC"/>
      </font>
    </dxf>
    <dxf>
      <font>
        <b/>
        <color rgb="FF0066CC"/>
      </font>
    </dxf>
    <dxf>
      <font>
        <b/>
        <color rgb="FFC00000"/>
      </font>
    </dxf>
    <dxf>
      <font>
        <b/>
        <color rgb="FFC00000"/>
      </font>
    </dxf>
    <dxf>
      <font>
        <b/>
        <color rgb="FF7F6000"/>
      </font>
      <fill>
        <patternFill>
          <bgColor rgb="FFD9D9D9"/>
        </patternFill>
      </fill>
    </dxf>
    <dxf>
      <font>
        <b/>
        <color rgb="FF0070C0"/>
      </font>
    </dxf>
    <dxf>
      <font>
        <b/>
        <color rgb="FF0070C0"/>
      </font>
    </dxf>
    <dxf>
      <font>
        <b/>
        <color rgb="FFC00000"/>
      </font>
    </dxf>
    <dxf>
      <font>
        <color rgb="FF7F7F7F"/>
      </font>
      <fill>
        <patternFill>
          <bgColor rgb="FFD9D9D9"/>
        </patternFill>
      </fill>
    </dxf>
    <dxf>
      <fill>
        <patternFill>
          <bgColor rgb="FFD9E1F2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6CC"/>
      </font>
    </dxf>
    <dxf>
      <font>
        <b/>
        <color rgb="FFC65911"/>
      </font>
      <fill>
        <patternFill>
          <bgColor rgb="FFFFF2CC"/>
        </patternFill>
      </fill>
    </dxf>
    <dxf>
      <font>
        <b/>
        <color rgb="FF7F6000"/>
      </font>
    </dxf>
    <dxf>
      <font>
        <b/>
        <color rgb="FF0070C0"/>
      </font>
    </dxf>
    <dxf>
      <font>
        <b/>
        <color rgb="FFC00000"/>
      </font>
    </dxf>
    <dxf>
      <font>
        <b/>
        <color rgb="FFC00000"/>
      </font>
    </dxf>
    <dxf>
      <font>
        <b/>
        <color rgb="FF1F4E78"/>
      </font>
      <fill>
        <patternFill>
          <bgColor rgb="FFD9EAF7"/>
        </patternFill>
      </fill>
    </dxf>
    <dxf>
      <font>
        <b/>
        <color rgb="FF5F497A"/>
      </font>
      <fill>
        <patternFill>
          <bgColor rgb="FFE4DFEC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1F4E78"/>
      </font>
      <fill>
        <patternFill>
          <bgColor rgb="FFD9EAF7"/>
        </patternFill>
      </fill>
    </dxf>
    <dxf>
      <fill>
        <patternFill>
          <bgColor rgb="FFD9E1F2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3"/>
  <sheetViews>
    <sheetView workbookViewId="0">
      <selection sqref="A1:P1"/>
    </sheetView>
  </sheetViews>
  <sheetFormatPr baseColWidth="10" defaultColWidth="9" defaultRowHeight="14.25"/>
  <cols>
    <col min="1" max="1" width="6.75" style="16" customWidth="1"/>
    <col min="2" max="2" width="16.75" customWidth="1"/>
    <col min="3" max="3" width="20" customWidth="1"/>
    <col min="4" max="4" width="18.25" customWidth="1"/>
    <col min="5" max="5" width="11.625" style="16" customWidth="1"/>
    <col min="6" max="6" width="12" customWidth="1"/>
    <col min="7" max="16" width="9" customWidth="1"/>
  </cols>
  <sheetData>
    <row r="1" spans="1:24" ht="18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"/>
      <c r="R1" s="3"/>
      <c r="S1" s="3"/>
      <c r="T1" s="3"/>
      <c r="U1" s="3"/>
      <c r="V1" s="3"/>
      <c r="W1" s="3"/>
      <c r="X1" s="3"/>
    </row>
    <row r="2" spans="1:24" ht="33.950000000000003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20" t="s">
        <v>13</v>
      </c>
      <c r="N2" s="4" t="s">
        <v>14</v>
      </c>
      <c r="O2" s="4" t="s">
        <v>15</v>
      </c>
      <c r="P2" s="4" t="s">
        <v>16</v>
      </c>
    </row>
    <row r="3" spans="1:24">
      <c r="A3" s="17" t="s">
        <v>17</v>
      </c>
      <c r="B3" s="5" t="s">
        <v>18</v>
      </c>
      <c r="C3" s="5" t="s">
        <v>19</v>
      </c>
      <c r="D3" s="5" t="s">
        <v>20</v>
      </c>
      <c r="E3" s="17" t="s">
        <v>21</v>
      </c>
      <c r="F3" s="18" t="s">
        <v>22</v>
      </c>
      <c r="G3" s="8">
        <v>0</v>
      </c>
      <c r="H3" s="8">
        <f t="shared" ref="H3:H34" si="0">SUM(F3:F3)*24</f>
        <v>0</v>
      </c>
      <c r="I3" s="8">
        <f t="shared" ref="I3:I34" si="1">SUM(F3:F3)*24</f>
        <v>0</v>
      </c>
      <c r="J3" s="9">
        <v>0</v>
      </c>
      <c r="K3" s="9">
        <v>0</v>
      </c>
      <c r="L3" s="8">
        <f t="shared" ref="L3:L34" si="2">COUNTIF(F3:F3,"ABS")</f>
        <v>0</v>
      </c>
      <c r="M3" s="8">
        <f t="shared" ref="M3:M34" si="3">COUNTIF(F3:F3,"Congé")</f>
        <v>0</v>
      </c>
      <c r="N3" s="8">
        <f t="shared" ref="N3:N34" si="4">COUNTIF(F3:F3,"Férié")</f>
        <v>0</v>
      </c>
      <c r="O3" s="8">
        <f t="shared" ref="O3:O34" si="5">I3+J3+K3+(N3*8.5)</f>
        <v>0</v>
      </c>
      <c r="P3" s="10" t="str">
        <f t="shared" ref="P3:P34" si="6">IF(COUNTIF(F3:F3,"STC")&gt;0,"STC",IF(IFERROR(ISNUMBER(SEARCH("!",F3)),FALSE),"À vérifier","OK"))</f>
        <v>OK</v>
      </c>
    </row>
    <row r="4" spans="1:24">
      <c r="A4" s="17" t="s">
        <v>23</v>
      </c>
      <c r="B4" s="5" t="s">
        <v>24</v>
      </c>
      <c r="C4" s="5" t="s">
        <v>25</v>
      </c>
      <c r="D4" s="5" t="s">
        <v>20</v>
      </c>
      <c r="E4" s="17" t="s">
        <v>21</v>
      </c>
      <c r="F4" s="18" t="s">
        <v>22</v>
      </c>
      <c r="G4" s="8">
        <v>0</v>
      </c>
      <c r="H4" s="8">
        <f t="shared" si="0"/>
        <v>0</v>
      </c>
      <c r="I4" s="8">
        <f t="shared" si="1"/>
        <v>0</v>
      </c>
      <c r="J4" s="9">
        <v>0</v>
      </c>
      <c r="K4" s="9">
        <v>0</v>
      </c>
      <c r="L4" s="8">
        <f t="shared" si="2"/>
        <v>0</v>
      </c>
      <c r="M4" s="8">
        <f t="shared" si="3"/>
        <v>0</v>
      </c>
      <c r="N4" s="8">
        <f t="shared" si="4"/>
        <v>0</v>
      </c>
      <c r="O4" s="8">
        <f t="shared" si="5"/>
        <v>0</v>
      </c>
      <c r="P4" s="10" t="str">
        <f t="shared" si="6"/>
        <v>OK</v>
      </c>
    </row>
    <row r="5" spans="1:24">
      <c r="A5" s="17" t="s">
        <v>26</v>
      </c>
      <c r="B5" s="5" t="s">
        <v>27</v>
      </c>
      <c r="C5" s="5" t="s">
        <v>28</v>
      </c>
      <c r="D5" s="5" t="s">
        <v>20</v>
      </c>
      <c r="E5" s="17" t="s">
        <v>21</v>
      </c>
      <c r="F5" s="18" t="s">
        <v>22</v>
      </c>
      <c r="G5" s="8">
        <v>0</v>
      </c>
      <c r="H5" s="8">
        <f t="shared" si="0"/>
        <v>0</v>
      </c>
      <c r="I5" s="8">
        <f t="shared" si="1"/>
        <v>0</v>
      </c>
      <c r="J5" s="9">
        <v>0</v>
      </c>
      <c r="K5" s="9">
        <v>0</v>
      </c>
      <c r="L5" s="8">
        <f t="shared" si="2"/>
        <v>0</v>
      </c>
      <c r="M5" s="8">
        <f t="shared" si="3"/>
        <v>0</v>
      </c>
      <c r="N5" s="8">
        <f t="shared" si="4"/>
        <v>0</v>
      </c>
      <c r="O5" s="8">
        <f t="shared" si="5"/>
        <v>0</v>
      </c>
      <c r="P5" s="10" t="str">
        <f t="shared" si="6"/>
        <v>OK</v>
      </c>
    </row>
    <row r="6" spans="1:24">
      <c r="A6" s="17">
        <v>124</v>
      </c>
      <c r="B6" s="5" t="s">
        <v>29</v>
      </c>
      <c r="C6" s="5" t="s">
        <v>30</v>
      </c>
      <c r="D6" s="5" t="s">
        <v>31</v>
      </c>
      <c r="E6" s="17" t="s">
        <v>21</v>
      </c>
      <c r="F6" s="18" t="s">
        <v>22</v>
      </c>
      <c r="G6" s="8">
        <v>0</v>
      </c>
      <c r="H6" s="8">
        <f t="shared" si="0"/>
        <v>0</v>
      </c>
      <c r="I6" s="8">
        <f t="shared" si="1"/>
        <v>0</v>
      </c>
      <c r="J6" s="9">
        <v>0</v>
      </c>
      <c r="K6" s="9">
        <v>0</v>
      </c>
      <c r="L6" s="8">
        <f t="shared" si="2"/>
        <v>0</v>
      </c>
      <c r="M6" s="8">
        <f t="shared" si="3"/>
        <v>0</v>
      </c>
      <c r="N6" s="8">
        <f t="shared" si="4"/>
        <v>0</v>
      </c>
      <c r="O6" s="8">
        <f t="shared" si="5"/>
        <v>0</v>
      </c>
      <c r="P6" s="10" t="str">
        <f t="shared" si="6"/>
        <v>OK</v>
      </c>
    </row>
    <row r="7" spans="1:24">
      <c r="A7" s="17" t="s">
        <v>32</v>
      </c>
      <c r="B7" s="5" t="s">
        <v>33</v>
      </c>
      <c r="C7" s="5" t="s">
        <v>34</v>
      </c>
      <c r="D7" s="5" t="s">
        <v>31</v>
      </c>
      <c r="E7" s="17" t="s">
        <v>21</v>
      </c>
      <c r="F7" s="18" t="s">
        <v>22</v>
      </c>
      <c r="G7" s="8">
        <v>0</v>
      </c>
      <c r="H7" s="8">
        <f t="shared" si="0"/>
        <v>0</v>
      </c>
      <c r="I7" s="8">
        <f t="shared" si="1"/>
        <v>0</v>
      </c>
      <c r="J7" s="9">
        <v>0</v>
      </c>
      <c r="K7" s="9">
        <v>0</v>
      </c>
      <c r="L7" s="8">
        <f t="shared" si="2"/>
        <v>0</v>
      </c>
      <c r="M7" s="8">
        <f t="shared" si="3"/>
        <v>0</v>
      </c>
      <c r="N7" s="8">
        <f t="shared" si="4"/>
        <v>0</v>
      </c>
      <c r="O7" s="8">
        <f t="shared" si="5"/>
        <v>0</v>
      </c>
      <c r="P7" s="10" t="str">
        <f t="shared" si="6"/>
        <v>OK</v>
      </c>
    </row>
    <row r="8" spans="1:24">
      <c r="A8" s="17" t="s">
        <v>35</v>
      </c>
      <c r="B8" s="5" t="s">
        <v>36</v>
      </c>
      <c r="C8" s="5" t="s">
        <v>37</v>
      </c>
      <c r="D8" s="5" t="s">
        <v>31</v>
      </c>
      <c r="E8" s="17" t="s">
        <v>21</v>
      </c>
      <c r="F8" s="18" t="s">
        <v>22</v>
      </c>
      <c r="G8" s="8">
        <v>0</v>
      </c>
      <c r="H8" s="8">
        <f t="shared" si="0"/>
        <v>0</v>
      </c>
      <c r="I8" s="8">
        <f t="shared" si="1"/>
        <v>0</v>
      </c>
      <c r="J8" s="9">
        <v>0</v>
      </c>
      <c r="K8" s="9">
        <v>0</v>
      </c>
      <c r="L8" s="8">
        <f t="shared" si="2"/>
        <v>0</v>
      </c>
      <c r="M8" s="8">
        <f t="shared" si="3"/>
        <v>0</v>
      </c>
      <c r="N8" s="8">
        <f t="shared" si="4"/>
        <v>0</v>
      </c>
      <c r="O8" s="8">
        <f t="shared" si="5"/>
        <v>0</v>
      </c>
      <c r="P8" s="10" t="str">
        <f t="shared" si="6"/>
        <v>OK</v>
      </c>
    </row>
    <row r="9" spans="1:24">
      <c r="A9" s="17" t="s">
        <v>38</v>
      </c>
      <c r="B9" s="5" t="s">
        <v>39</v>
      </c>
      <c r="C9" s="5" t="s">
        <v>40</v>
      </c>
      <c r="D9" s="5" t="s">
        <v>31</v>
      </c>
      <c r="E9" s="17" t="s">
        <v>21</v>
      </c>
      <c r="F9" s="18" t="s">
        <v>22</v>
      </c>
      <c r="G9" s="8">
        <v>0</v>
      </c>
      <c r="H9" s="8">
        <f t="shared" si="0"/>
        <v>0</v>
      </c>
      <c r="I9" s="8">
        <f t="shared" si="1"/>
        <v>0</v>
      </c>
      <c r="J9" s="9">
        <v>0</v>
      </c>
      <c r="K9" s="9">
        <v>0</v>
      </c>
      <c r="L9" s="8">
        <f t="shared" si="2"/>
        <v>0</v>
      </c>
      <c r="M9" s="8">
        <f t="shared" si="3"/>
        <v>0</v>
      </c>
      <c r="N9" s="8">
        <f t="shared" si="4"/>
        <v>0</v>
      </c>
      <c r="O9" s="8">
        <f t="shared" si="5"/>
        <v>0</v>
      </c>
      <c r="P9" s="10" t="str">
        <f t="shared" si="6"/>
        <v>OK</v>
      </c>
    </row>
    <row r="10" spans="1:24">
      <c r="A10" s="17" t="s">
        <v>41</v>
      </c>
      <c r="B10" s="5" t="s">
        <v>42</v>
      </c>
      <c r="C10" s="5" t="s">
        <v>43</v>
      </c>
      <c r="D10" s="5" t="s">
        <v>31</v>
      </c>
      <c r="E10" s="17" t="s">
        <v>21</v>
      </c>
      <c r="F10" s="18" t="s">
        <v>22</v>
      </c>
      <c r="G10" s="8">
        <v>0</v>
      </c>
      <c r="H10" s="8">
        <f t="shared" si="0"/>
        <v>0</v>
      </c>
      <c r="I10" s="8">
        <f t="shared" si="1"/>
        <v>0</v>
      </c>
      <c r="J10" s="9">
        <v>0</v>
      </c>
      <c r="K10" s="9">
        <v>0</v>
      </c>
      <c r="L10" s="8">
        <f t="shared" si="2"/>
        <v>0</v>
      </c>
      <c r="M10" s="8">
        <f t="shared" si="3"/>
        <v>0</v>
      </c>
      <c r="N10" s="8">
        <f t="shared" si="4"/>
        <v>0</v>
      </c>
      <c r="O10" s="8">
        <f t="shared" si="5"/>
        <v>0</v>
      </c>
      <c r="P10" s="10" t="str">
        <f t="shared" si="6"/>
        <v>OK</v>
      </c>
    </row>
    <row r="11" spans="1:24">
      <c r="A11" s="17" t="s">
        <v>44</v>
      </c>
      <c r="B11" s="5" t="s">
        <v>45</v>
      </c>
      <c r="C11" s="5" t="s">
        <v>46</v>
      </c>
      <c r="D11" s="5" t="s">
        <v>31</v>
      </c>
      <c r="E11" s="17" t="s">
        <v>21</v>
      </c>
      <c r="F11" s="18" t="s">
        <v>22</v>
      </c>
      <c r="G11" s="8">
        <v>0</v>
      </c>
      <c r="H11" s="8">
        <f t="shared" si="0"/>
        <v>0</v>
      </c>
      <c r="I11" s="8">
        <f t="shared" si="1"/>
        <v>0</v>
      </c>
      <c r="J11" s="9">
        <v>0</v>
      </c>
      <c r="K11" s="9">
        <v>0</v>
      </c>
      <c r="L11" s="8">
        <f t="shared" si="2"/>
        <v>0</v>
      </c>
      <c r="M11" s="8">
        <f t="shared" si="3"/>
        <v>0</v>
      </c>
      <c r="N11" s="8">
        <f t="shared" si="4"/>
        <v>0</v>
      </c>
      <c r="O11" s="8">
        <f t="shared" si="5"/>
        <v>0</v>
      </c>
      <c r="P11" s="10" t="str">
        <f t="shared" si="6"/>
        <v>OK</v>
      </c>
    </row>
    <row r="12" spans="1:24">
      <c r="A12" s="17" t="s">
        <v>47</v>
      </c>
      <c r="B12" s="5" t="s">
        <v>28</v>
      </c>
      <c r="C12" s="5" t="s">
        <v>48</v>
      </c>
      <c r="D12" s="5" t="s">
        <v>49</v>
      </c>
      <c r="E12" s="17" t="s">
        <v>21</v>
      </c>
      <c r="F12" s="18" t="s">
        <v>22</v>
      </c>
      <c r="G12" s="8">
        <v>0</v>
      </c>
      <c r="H12" s="8">
        <f t="shared" si="0"/>
        <v>0</v>
      </c>
      <c r="I12" s="8">
        <f t="shared" si="1"/>
        <v>0</v>
      </c>
      <c r="J12" s="9">
        <v>0</v>
      </c>
      <c r="K12" s="9">
        <v>0</v>
      </c>
      <c r="L12" s="8">
        <f t="shared" si="2"/>
        <v>0</v>
      </c>
      <c r="M12" s="8">
        <f t="shared" si="3"/>
        <v>0</v>
      </c>
      <c r="N12" s="8">
        <f t="shared" si="4"/>
        <v>0</v>
      </c>
      <c r="O12" s="8">
        <f t="shared" si="5"/>
        <v>0</v>
      </c>
      <c r="P12" s="10" t="str">
        <f t="shared" si="6"/>
        <v>OK</v>
      </c>
    </row>
    <row r="13" spans="1:24">
      <c r="A13" s="17">
        <v>132</v>
      </c>
      <c r="B13" s="5" t="s">
        <v>50</v>
      </c>
      <c r="C13" s="5" t="s">
        <v>51</v>
      </c>
      <c r="D13" s="5" t="s">
        <v>49</v>
      </c>
      <c r="E13" s="17" t="s">
        <v>21</v>
      </c>
      <c r="F13" s="18" t="s">
        <v>22</v>
      </c>
      <c r="G13" s="8">
        <v>0</v>
      </c>
      <c r="H13" s="8">
        <f t="shared" si="0"/>
        <v>0</v>
      </c>
      <c r="I13" s="8">
        <f t="shared" si="1"/>
        <v>0</v>
      </c>
      <c r="J13" s="9">
        <v>0</v>
      </c>
      <c r="K13" s="9">
        <v>0</v>
      </c>
      <c r="L13" s="8">
        <f t="shared" si="2"/>
        <v>0</v>
      </c>
      <c r="M13" s="8">
        <f t="shared" si="3"/>
        <v>0</v>
      </c>
      <c r="N13" s="8">
        <f t="shared" si="4"/>
        <v>0</v>
      </c>
      <c r="O13" s="8">
        <f t="shared" si="5"/>
        <v>0</v>
      </c>
      <c r="P13" s="10" t="str">
        <f t="shared" si="6"/>
        <v>OK</v>
      </c>
    </row>
    <row r="14" spans="1:24">
      <c r="A14" s="17">
        <v>174</v>
      </c>
      <c r="B14" s="5" t="s">
        <v>52</v>
      </c>
      <c r="C14" s="5" t="s">
        <v>53</v>
      </c>
      <c r="D14" s="5" t="s">
        <v>49</v>
      </c>
      <c r="E14" s="17" t="s">
        <v>21</v>
      </c>
      <c r="F14" s="18" t="s">
        <v>22</v>
      </c>
      <c r="G14" s="8">
        <v>0</v>
      </c>
      <c r="H14" s="8">
        <f t="shared" si="0"/>
        <v>0</v>
      </c>
      <c r="I14" s="8">
        <f t="shared" si="1"/>
        <v>0</v>
      </c>
      <c r="J14" s="9">
        <v>0</v>
      </c>
      <c r="K14" s="9">
        <v>0</v>
      </c>
      <c r="L14" s="8">
        <f t="shared" si="2"/>
        <v>0</v>
      </c>
      <c r="M14" s="8">
        <f t="shared" si="3"/>
        <v>0</v>
      </c>
      <c r="N14" s="8">
        <f t="shared" si="4"/>
        <v>0</v>
      </c>
      <c r="O14" s="8">
        <f t="shared" si="5"/>
        <v>0</v>
      </c>
      <c r="P14" s="10" t="str">
        <f t="shared" si="6"/>
        <v>OK</v>
      </c>
    </row>
    <row r="15" spans="1:24">
      <c r="A15" s="17" t="s">
        <v>54</v>
      </c>
      <c r="B15" s="5" t="s">
        <v>55</v>
      </c>
      <c r="C15" s="5" t="s">
        <v>56</v>
      </c>
      <c r="D15" s="5" t="s">
        <v>49</v>
      </c>
      <c r="E15" s="17" t="s">
        <v>21</v>
      </c>
      <c r="F15" s="18" t="s">
        <v>22</v>
      </c>
      <c r="G15" s="8">
        <v>0</v>
      </c>
      <c r="H15" s="8">
        <f t="shared" si="0"/>
        <v>0</v>
      </c>
      <c r="I15" s="8">
        <f t="shared" si="1"/>
        <v>0</v>
      </c>
      <c r="J15" s="9">
        <v>0</v>
      </c>
      <c r="K15" s="9">
        <v>0</v>
      </c>
      <c r="L15" s="8">
        <f t="shared" si="2"/>
        <v>0</v>
      </c>
      <c r="M15" s="8">
        <f t="shared" si="3"/>
        <v>0</v>
      </c>
      <c r="N15" s="8">
        <f t="shared" si="4"/>
        <v>0</v>
      </c>
      <c r="O15" s="8">
        <f t="shared" si="5"/>
        <v>0</v>
      </c>
      <c r="P15" s="10" t="str">
        <f t="shared" si="6"/>
        <v>OK</v>
      </c>
    </row>
    <row r="16" spans="1:24">
      <c r="A16" s="17" t="s">
        <v>57</v>
      </c>
      <c r="B16" s="5" t="s">
        <v>58</v>
      </c>
      <c r="C16" s="5" t="s">
        <v>59</v>
      </c>
      <c r="D16" s="5" t="s">
        <v>49</v>
      </c>
      <c r="E16" s="17" t="s">
        <v>21</v>
      </c>
      <c r="F16" s="18" t="s">
        <v>22</v>
      </c>
      <c r="G16" s="8">
        <v>0</v>
      </c>
      <c r="H16" s="8">
        <f t="shared" si="0"/>
        <v>0</v>
      </c>
      <c r="I16" s="8">
        <f t="shared" si="1"/>
        <v>0</v>
      </c>
      <c r="J16" s="9">
        <v>0</v>
      </c>
      <c r="K16" s="9">
        <v>0</v>
      </c>
      <c r="L16" s="8">
        <f t="shared" si="2"/>
        <v>0</v>
      </c>
      <c r="M16" s="8">
        <f t="shared" si="3"/>
        <v>0</v>
      </c>
      <c r="N16" s="8">
        <f t="shared" si="4"/>
        <v>0</v>
      </c>
      <c r="O16" s="8">
        <f t="shared" si="5"/>
        <v>0</v>
      </c>
      <c r="P16" s="10" t="str">
        <f t="shared" si="6"/>
        <v>OK</v>
      </c>
    </row>
    <row r="17" spans="1:16">
      <c r="A17" s="17" t="s">
        <v>60</v>
      </c>
      <c r="B17" s="5" t="s">
        <v>58</v>
      </c>
      <c r="C17" s="5" t="s">
        <v>61</v>
      </c>
      <c r="D17" s="5" t="s">
        <v>49</v>
      </c>
      <c r="E17" s="17" t="s">
        <v>21</v>
      </c>
      <c r="F17" s="18" t="s">
        <v>22</v>
      </c>
      <c r="G17" s="8">
        <v>0</v>
      </c>
      <c r="H17" s="8">
        <f t="shared" si="0"/>
        <v>0</v>
      </c>
      <c r="I17" s="8">
        <f t="shared" si="1"/>
        <v>0</v>
      </c>
      <c r="J17" s="9">
        <v>0</v>
      </c>
      <c r="K17" s="9">
        <v>0</v>
      </c>
      <c r="L17" s="8">
        <f t="shared" si="2"/>
        <v>0</v>
      </c>
      <c r="M17" s="8">
        <f t="shared" si="3"/>
        <v>0</v>
      </c>
      <c r="N17" s="8">
        <f t="shared" si="4"/>
        <v>0</v>
      </c>
      <c r="O17" s="8">
        <f t="shared" si="5"/>
        <v>0</v>
      </c>
      <c r="P17" s="10" t="str">
        <f t="shared" si="6"/>
        <v>OK</v>
      </c>
    </row>
    <row r="18" spans="1:16">
      <c r="A18" s="17">
        <v>158</v>
      </c>
      <c r="B18" s="5" t="s">
        <v>62</v>
      </c>
      <c r="C18" s="5" t="s">
        <v>63</v>
      </c>
      <c r="D18" s="5" t="s">
        <v>49</v>
      </c>
      <c r="E18" s="17" t="s">
        <v>21</v>
      </c>
      <c r="F18" s="18" t="s">
        <v>22</v>
      </c>
      <c r="G18" s="8">
        <v>0</v>
      </c>
      <c r="H18" s="8">
        <f t="shared" si="0"/>
        <v>0</v>
      </c>
      <c r="I18" s="8">
        <f t="shared" si="1"/>
        <v>0</v>
      </c>
      <c r="J18" s="9">
        <v>0</v>
      </c>
      <c r="K18" s="9">
        <v>0</v>
      </c>
      <c r="L18" s="8">
        <f t="shared" si="2"/>
        <v>0</v>
      </c>
      <c r="M18" s="8">
        <f t="shared" si="3"/>
        <v>0</v>
      </c>
      <c r="N18" s="8">
        <f t="shared" si="4"/>
        <v>0</v>
      </c>
      <c r="O18" s="8">
        <f t="shared" si="5"/>
        <v>0</v>
      </c>
      <c r="P18" s="10" t="str">
        <f t="shared" si="6"/>
        <v>OK</v>
      </c>
    </row>
    <row r="19" spans="1:16">
      <c r="A19" s="17" t="s">
        <v>64</v>
      </c>
      <c r="B19" s="5" t="s">
        <v>65</v>
      </c>
      <c r="C19" s="5" t="s">
        <v>66</v>
      </c>
      <c r="D19" s="5" t="s">
        <v>49</v>
      </c>
      <c r="E19" s="17" t="s">
        <v>21</v>
      </c>
      <c r="F19" s="18" t="s">
        <v>22</v>
      </c>
      <c r="G19" s="8">
        <v>0</v>
      </c>
      <c r="H19" s="8">
        <f t="shared" si="0"/>
        <v>0</v>
      </c>
      <c r="I19" s="8">
        <f t="shared" si="1"/>
        <v>0</v>
      </c>
      <c r="J19" s="9">
        <v>0</v>
      </c>
      <c r="K19" s="9">
        <v>0</v>
      </c>
      <c r="L19" s="8">
        <f t="shared" si="2"/>
        <v>0</v>
      </c>
      <c r="M19" s="8">
        <f t="shared" si="3"/>
        <v>0</v>
      </c>
      <c r="N19" s="8">
        <f t="shared" si="4"/>
        <v>0</v>
      </c>
      <c r="O19" s="8">
        <f t="shared" si="5"/>
        <v>0</v>
      </c>
      <c r="P19" s="10" t="str">
        <f t="shared" si="6"/>
        <v>OK</v>
      </c>
    </row>
    <row r="20" spans="1:16">
      <c r="A20" s="17" t="s">
        <v>67</v>
      </c>
      <c r="B20" s="5" t="s">
        <v>68</v>
      </c>
      <c r="C20" s="5" t="s">
        <v>25</v>
      </c>
      <c r="D20" s="5" t="s">
        <v>69</v>
      </c>
      <c r="E20" s="17" t="s">
        <v>21</v>
      </c>
      <c r="F20" s="18" t="s">
        <v>22</v>
      </c>
      <c r="G20" s="8">
        <v>0</v>
      </c>
      <c r="H20" s="8">
        <f t="shared" si="0"/>
        <v>0</v>
      </c>
      <c r="I20" s="8">
        <f t="shared" si="1"/>
        <v>0</v>
      </c>
      <c r="J20" s="9">
        <v>0</v>
      </c>
      <c r="K20" s="9">
        <v>0</v>
      </c>
      <c r="L20" s="8">
        <f t="shared" si="2"/>
        <v>0</v>
      </c>
      <c r="M20" s="8">
        <f t="shared" si="3"/>
        <v>0</v>
      </c>
      <c r="N20" s="8">
        <f t="shared" si="4"/>
        <v>0</v>
      </c>
      <c r="O20" s="8">
        <f t="shared" si="5"/>
        <v>0</v>
      </c>
      <c r="P20" s="10" t="str">
        <f t="shared" si="6"/>
        <v>OK</v>
      </c>
    </row>
    <row r="21" spans="1:16">
      <c r="A21" s="17" t="s">
        <v>70</v>
      </c>
      <c r="B21" s="5" t="s">
        <v>71</v>
      </c>
      <c r="C21" s="5" t="s">
        <v>72</v>
      </c>
      <c r="D21" s="5" t="s">
        <v>69</v>
      </c>
      <c r="E21" s="17" t="s">
        <v>21</v>
      </c>
      <c r="F21" s="18" t="s">
        <v>22</v>
      </c>
      <c r="G21" s="8">
        <v>0</v>
      </c>
      <c r="H21" s="8">
        <f t="shared" si="0"/>
        <v>0</v>
      </c>
      <c r="I21" s="8">
        <f t="shared" si="1"/>
        <v>0</v>
      </c>
      <c r="J21" s="9">
        <v>0</v>
      </c>
      <c r="K21" s="9">
        <v>0</v>
      </c>
      <c r="L21" s="8">
        <f t="shared" si="2"/>
        <v>0</v>
      </c>
      <c r="M21" s="8">
        <f t="shared" si="3"/>
        <v>0</v>
      </c>
      <c r="N21" s="8">
        <f t="shared" si="4"/>
        <v>0</v>
      </c>
      <c r="O21" s="8">
        <f t="shared" si="5"/>
        <v>0</v>
      </c>
      <c r="P21" s="10" t="str">
        <f t="shared" si="6"/>
        <v>OK</v>
      </c>
    </row>
    <row r="22" spans="1:16">
      <c r="A22" s="17" t="s">
        <v>73</v>
      </c>
      <c r="B22" s="5" t="s">
        <v>74</v>
      </c>
      <c r="C22" s="5" t="s">
        <v>75</v>
      </c>
      <c r="D22" s="5" t="s">
        <v>69</v>
      </c>
      <c r="E22" s="17" t="s">
        <v>21</v>
      </c>
      <c r="F22" s="18" t="s">
        <v>22</v>
      </c>
      <c r="G22" s="8">
        <v>0</v>
      </c>
      <c r="H22" s="8">
        <f t="shared" si="0"/>
        <v>0</v>
      </c>
      <c r="I22" s="8">
        <f t="shared" si="1"/>
        <v>0</v>
      </c>
      <c r="J22" s="9">
        <v>0</v>
      </c>
      <c r="K22" s="9">
        <v>0</v>
      </c>
      <c r="L22" s="8">
        <f t="shared" si="2"/>
        <v>0</v>
      </c>
      <c r="M22" s="8">
        <f t="shared" si="3"/>
        <v>0</v>
      </c>
      <c r="N22" s="8">
        <f t="shared" si="4"/>
        <v>0</v>
      </c>
      <c r="O22" s="8">
        <f t="shared" si="5"/>
        <v>0</v>
      </c>
      <c r="P22" s="10" t="str">
        <f t="shared" si="6"/>
        <v>OK</v>
      </c>
    </row>
    <row r="23" spans="1:16">
      <c r="A23" s="17">
        <v>97</v>
      </c>
      <c r="B23" s="5" t="s">
        <v>76</v>
      </c>
      <c r="C23" s="5" t="s">
        <v>77</v>
      </c>
      <c r="D23" s="5" t="s">
        <v>69</v>
      </c>
      <c r="E23" s="17" t="s">
        <v>21</v>
      </c>
      <c r="F23" s="18" t="s">
        <v>22</v>
      </c>
      <c r="G23" s="8">
        <v>0</v>
      </c>
      <c r="H23" s="8">
        <f t="shared" si="0"/>
        <v>0</v>
      </c>
      <c r="I23" s="8">
        <f t="shared" si="1"/>
        <v>0</v>
      </c>
      <c r="J23" s="9">
        <v>0</v>
      </c>
      <c r="K23" s="9">
        <v>0</v>
      </c>
      <c r="L23" s="8">
        <f t="shared" si="2"/>
        <v>0</v>
      </c>
      <c r="M23" s="8">
        <f t="shared" si="3"/>
        <v>0</v>
      </c>
      <c r="N23" s="8">
        <f t="shared" si="4"/>
        <v>0</v>
      </c>
      <c r="O23" s="8">
        <f t="shared" si="5"/>
        <v>0</v>
      </c>
      <c r="P23" s="10" t="str">
        <f t="shared" si="6"/>
        <v>OK</v>
      </c>
    </row>
    <row r="24" spans="1:16">
      <c r="A24" s="17" t="s">
        <v>78</v>
      </c>
      <c r="B24" s="5" t="s">
        <v>79</v>
      </c>
      <c r="C24" s="5" t="s">
        <v>80</v>
      </c>
      <c r="D24" s="5" t="s">
        <v>69</v>
      </c>
      <c r="E24" s="17" t="s">
        <v>21</v>
      </c>
      <c r="F24" s="18" t="s">
        <v>22</v>
      </c>
      <c r="G24" s="8">
        <v>0</v>
      </c>
      <c r="H24" s="8">
        <f t="shared" si="0"/>
        <v>0</v>
      </c>
      <c r="I24" s="8">
        <f t="shared" si="1"/>
        <v>0</v>
      </c>
      <c r="J24" s="9">
        <v>0</v>
      </c>
      <c r="K24" s="9">
        <v>0</v>
      </c>
      <c r="L24" s="8">
        <f t="shared" si="2"/>
        <v>0</v>
      </c>
      <c r="M24" s="8">
        <f t="shared" si="3"/>
        <v>0</v>
      </c>
      <c r="N24" s="8">
        <f t="shared" si="4"/>
        <v>0</v>
      </c>
      <c r="O24" s="8">
        <f t="shared" si="5"/>
        <v>0</v>
      </c>
      <c r="P24" s="10" t="str">
        <f t="shared" si="6"/>
        <v>OK</v>
      </c>
    </row>
    <row r="25" spans="1:16">
      <c r="A25" s="17" t="s">
        <v>81</v>
      </c>
      <c r="B25" s="5" t="s">
        <v>82</v>
      </c>
      <c r="C25" s="5" t="s">
        <v>83</v>
      </c>
      <c r="D25" s="5" t="s">
        <v>69</v>
      </c>
      <c r="E25" s="17" t="s">
        <v>21</v>
      </c>
      <c r="F25" s="18" t="s">
        <v>22</v>
      </c>
      <c r="G25" s="8">
        <v>0</v>
      </c>
      <c r="H25" s="8">
        <f t="shared" si="0"/>
        <v>0</v>
      </c>
      <c r="I25" s="8">
        <f t="shared" si="1"/>
        <v>0</v>
      </c>
      <c r="J25" s="9">
        <v>0</v>
      </c>
      <c r="K25" s="9">
        <v>0</v>
      </c>
      <c r="L25" s="8">
        <f t="shared" si="2"/>
        <v>0</v>
      </c>
      <c r="M25" s="8">
        <f t="shared" si="3"/>
        <v>0</v>
      </c>
      <c r="N25" s="8">
        <f t="shared" si="4"/>
        <v>0</v>
      </c>
      <c r="O25" s="8">
        <f t="shared" si="5"/>
        <v>0</v>
      </c>
      <c r="P25" s="10" t="str">
        <f t="shared" si="6"/>
        <v>OK</v>
      </c>
    </row>
    <row r="26" spans="1:16">
      <c r="A26" s="17" t="s">
        <v>84</v>
      </c>
      <c r="B26" s="5" t="s">
        <v>85</v>
      </c>
      <c r="C26" s="5" t="s">
        <v>86</v>
      </c>
      <c r="D26" s="5" t="s">
        <v>87</v>
      </c>
      <c r="E26" s="17" t="s">
        <v>21</v>
      </c>
      <c r="F26" s="18" t="s">
        <v>22</v>
      </c>
      <c r="G26" s="8">
        <v>0</v>
      </c>
      <c r="H26" s="8">
        <f t="shared" si="0"/>
        <v>0</v>
      </c>
      <c r="I26" s="8">
        <f t="shared" si="1"/>
        <v>0</v>
      </c>
      <c r="J26" s="9">
        <v>0</v>
      </c>
      <c r="K26" s="9">
        <v>0</v>
      </c>
      <c r="L26" s="8">
        <f t="shared" si="2"/>
        <v>0</v>
      </c>
      <c r="M26" s="8">
        <f t="shared" si="3"/>
        <v>0</v>
      </c>
      <c r="N26" s="8">
        <f t="shared" si="4"/>
        <v>0</v>
      </c>
      <c r="O26" s="8">
        <f t="shared" si="5"/>
        <v>0</v>
      </c>
      <c r="P26" s="10" t="str">
        <f t="shared" si="6"/>
        <v>OK</v>
      </c>
    </row>
    <row r="27" spans="1:16">
      <c r="A27" s="17">
        <v>249</v>
      </c>
      <c r="B27" s="5" t="s">
        <v>88</v>
      </c>
      <c r="C27" s="5" t="s">
        <v>89</v>
      </c>
      <c r="D27" s="5" t="s">
        <v>87</v>
      </c>
      <c r="E27" s="17" t="s">
        <v>21</v>
      </c>
      <c r="F27" s="18" t="s">
        <v>22</v>
      </c>
      <c r="G27" s="8">
        <v>0</v>
      </c>
      <c r="H27" s="8">
        <f t="shared" si="0"/>
        <v>0</v>
      </c>
      <c r="I27" s="8">
        <f t="shared" si="1"/>
        <v>0</v>
      </c>
      <c r="J27" s="9">
        <v>0</v>
      </c>
      <c r="K27" s="9">
        <v>0</v>
      </c>
      <c r="L27" s="8">
        <f t="shared" si="2"/>
        <v>0</v>
      </c>
      <c r="M27" s="8">
        <f t="shared" si="3"/>
        <v>0</v>
      </c>
      <c r="N27" s="8">
        <f t="shared" si="4"/>
        <v>0</v>
      </c>
      <c r="O27" s="8">
        <f t="shared" si="5"/>
        <v>0</v>
      </c>
      <c r="P27" s="10" t="str">
        <f t="shared" si="6"/>
        <v>OK</v>
      </c>
    </row>
    <row r="28" spans="1:16">
      <c r="A28" s="17">
        <v>135</v>
      </c>
      <c r="B28" s="5" t="s">
        <v>90</v>
      </c>
      <c r="C28" s="5" t="s">
        <v>91</v>
      </c>
      <c r="D28" s="5" t="s">
        <v>92</v>
      </c>
      <c r="E28" s="17" t="s">
        <v>21</v>
      </c>
      <c r="F28" s="18">
        <v>0.33333333333333331</v>
      </c>
      <c r="G28" s="8">
        <v>0</v>
      </c>
      <c r="H28" s="8">
        <f t="shared" si="0"/>
        <v>8</v>
      </c>
      <c r="I28" s="8">
        <f t="shared" si="1"/>
        <v>8</v>
      </c>
      <c r="J28" s="9">
        <v>0</v>
      </c>
      <c r="K28" s="9">
        <v>0</v>
      </c>
      <c r="L28" s="8">
        <f t="shared" si="2"/>
        <v>0</v>
      </c>
      <c r="M28" s="8">
        <f t="shared" si="3"/>
        <v>0</v>
      </c>
      <c r="N28" s="8">
        <f t="shared" si="4"/>
        <v>0</v>
      </c>
      <c r="O28" s="8">
        <f t="shared" si="5"/>
        <v>8</v>
      </c>
      <c r="P28" s="10" t="str">
        <f t="shared" si="6"/>
        <v>OK</v>
      </c>
    </row>
    <row r="29" spans="1:16">
      <c r="A29" s="17" t="s">
        <v>93</v>
      </c>
      <c r="B29" s="5" t="s">
        <v>94</v>
      </c>
      <c r="C29" s="5" t="s">
        <v>95</v>
      </c>
      <c r="D29" s="5" t="s">
        <v>92</v>
      </c>
      <c r="E29" s="17" t="s">
        <v>21</v>
      </c>
      <c r="F29" s="18" t="s">
        <v>22</v>
      </c>
      <c r="G29" s="8">
        <v>0</v>
      </c>
      <c r="H29" s="8">
        <f t="shared" si="0"/>
        <v>0</v>
      </c>
      <c r="I29" s="8">
        <f t="shared" si="1"/>
        <v>0</v>
      </c>
      <c r="J29" s="9">
        <v>0</v>
      </c>
      <c r="K29" s="9">
        <v>0</v>
      </c>
      <c r="L29" s="8">
        <f t="shared" si="2"/>
        <v>0</v>
      </c>
      <c r="M29" s="8">
        <f t="shared" si="3"/>
        <v>0</v>
      </c>
      <c r="N29" s="8">
        <f t="shared" si="4"/>
        <v>0</v>
      </c>
      <c r="O29" s="8">
        <f t="shared" si="5"/>
        <v>0</v>
      </c>
      <c r="P29" s="10" t="str">
        <f t="shared" si="6"/>
        <v>OK</v>
      </c>
    </row>
    <row r="30" spans="1:16">
      <c r="A30" s="17">
        <v>248</v>
      </c>
      <c r="B30" s="5" t="s">
        <v>96</v>
      </c>
      <c r="C30" s="5" t="s">
        <v>97</v>
      </c>
      <c r="D30" s="5" t="s">
        <v>92</v>
      </c>
      <c r="E30" s="17" t="s">
        <v>21</v>
      </c>
      <c r="F30" s="18" t="s">
        <v>22</v>
      </c>
      <c r="G30" s="8">
        <v>0</v>
      </c>
      <c r="H30" s="8">
        <f t="shared" si="0"/>
        <v>0</v>
      </c>
      <c r="I30" s="8">
        <f t="shared" si="1"/>
        <v>0</v>
      </c>
      <c r="J30" s="9">
        <v>0</v>
      </c>
      <c r="K30" s="9">
        <v>0</v>
      </c>
      <c r="L30" s="8">
        <f t="shared" si="2"/>
        <v>0</v>
      </c>
      <c r="M30" s="8">
        <f t="shared" si="3"/>
        <v>0</v>
      </c>
      <c r="N30" s="8">
        <f t="shared" si="4"/>
        <v>0</v>
      </c>
      <c r="O30" s="8">
        <f t="shared" si="5"/>
        <v>0</v>
      </c>
      <c r="P30" s="10" t="str">
        <f t="shared" si="6"/>
        <v>OK</v>
      </c>
    </row>
    <row r="31" spans="1:16">
      <c r="A31" s="17">
        <v>71</v>
      </c>
      <c r="B31" s="5" t="s">
        <v>98</v>
      </c>
      <c r="C31" s="5" t="s">
        <v>99</v>
      </c>
      <c r="D31" s="5" t="s">
        <v>92</v>
      </c>
      <c r="E31" s="17" t="s">
        <v>21</v>
      </c>
      <c r="F31" s="18">
        <v>0.33333333333333331</v>
      </c>
      <c r="G31" s="8">
        <v>0</v>
      </c>
      <c r="H31" s="8">
        <f t="shared" si="0"/>
        <v>8</v>
      </c>
      <c r="I31" s="8">
        <f t="shared" si="1"/>
        <v>8</v>
      </c>
      <c r="J31" s="9">
        <v>0</v>
      </c>
      <c r="K31" s="9">
        <v>0</v>
      </c>
      <c r="L31" s="8">
        <f t="shared" si="2"/>
        <v>0</v>
      </c>
      <c r="M31" s="8">
        <f t="shared" si="3"/>
        <v>0</v>
      </c>
      <c r="N31" s="8">
        <f t="shared" si="4"/>
        <v>0</v>
      </c>
      <c r="O31" s="8">
        <f t="shared" si="5"/>
        <v>8</v>
      </c>
      <c r="P31" s="10" t="str">
        <f t="shared" si="6"/>
        <v>OK</v>
      </c>
    </row>
    <row r="32" spans="1:16">
      <c r="A32" s="17">
        <v>227</v>
      </c>
      <c r="B32" s="5" t="s">
        <v>100</v>
      </c>
      <c r="C32" s="5" t="s">
        <v>101</v>
      </c>
      <c r="D32" s="5" t="s">
        <v>92</v>
      </c>
      <c r="E32" s="17" t="s">
        <v>21</v>
      </c>
      <c r="F32" s="18" t="s">
        <v>22</v>
      </c>
      <c r="G32" s="8">
        <v>0</v>
      </c>
      <c r="H32" s="8">
        <f t="shared" si="0"/>
        <v>0</v>
      </c>
      <c r="I32" s="8">
        <f t="shared" si="1"/>
        <v>0</v>
      </c>
      <c r="J32" s="9">
        <v>0</v>
      </c>
      <c r="K32" s="9">
        <v>0</v>
      </c>
      <c r="L32" s="8">
        <f t="shared" si="2"/>
        <v>0</v>
      </c>
      <c r="M32" s="8">
        <f t="shared" si="3"/>
        <v>0</v>
      </c>
      <c r="N32" s="8">
        <f t="shared" si="4"/>
        <v>0</v>
      </c>
      <c r="O32" s="8">
        <f t="shared" si="5"/>
        <v>0</v>
      </c>
      <c r="P32" s="10" t="str">
        <f t="shared" si="6"/>
        <v>OK</v>
      </c>
    </row>
    <row r="33" spans="1:16">
      <c r="A33" s="17">
        <v>251</v>
      </c>
      <c r="B33" s="5" t="s">
        <v>102</v>
      </c>
      <c r="C33" s="5" t="s">
        <v>103</v>
      </c>
      <c r="D33" s="5" t="s">
        <v>92</v>
      </c>
      <c r="E33" s="17" t="s">
        <v>21</v>
      </c>
      <c r="F33" s="18">
        <v>0.33333333333333331</v>
      </c>
      <c r="G33" s="8">
        <v>0</v>
      </c>
      <c r="H33" s="8">
        <f t="shared" si="0"/>
        <v>8</v>
      </c>
      <c r="I33" s="8">
        <f t="shared" si="1"/>
        <v>8</v>
      </c>
      <c r="J33" s="9">
        <v>0</v>
      </c>
      <c r="K33" s="9">
        <v>0</v>
      </c>
      <c r="L33" s="8">
        <f t="shared" si="2"/>
        <v>0</v>
      </c>
      <c r="M33" s="8">
        <f t="shared" si="3"/>
        <v>0</v>
      </c>
      <c r="N33" s="8">
        <f t="shared" si="4"/>
        <v>0</v>
      </c>
      <c r="O33" s="8">
        <f t="shared" si="5"/>
        <v>8</v>
      </c>
      <c r="P33" s="10" t="str">
        <f t="shared" si="6"/>
        <v>OK</v>
      </c>
    </row>
    <row r="34" spans="1:16">
      <c r="A34" s="17">
        <v>70</v>
      </c>
      <c r="B34" s="5" t="s">
        <v>104</v>
      </c>
      <c r="C34" s="5" t="s">
        <v>105</v>
      </c>
      <c r="D34" s="5" t="s">
        <v>92</v>
      </c>
      <c r="E34" s="17" t="s">
        <v>21</v>
      </c>
      <c r="F34" s="18">
        <v>0.33333333333333331</v>
      </c>
      <c r="G34" s="8">
        <v>0</v>
      </c>
      <c r="H34" s="8">
        <f t="shared" si="0"/>
        <v>8</v>
      </c>
      <c r="I34" s="8">
        <f t="shared" si="1"/>
        <v>8</v>
      </c>
      <c r="J34" s="9">
        <v>0</v>
      </c>
      <c r="K34" s="9">
        <v>0</v>
      </c>
      <c r="L34" s="8">
        <f t="shared" si="2"/>
        <v>0</v>
      </c>
      <c r="M34" s="8">
        <f t="shared" si="3"/>
        <v>0</v>
      </c>
      <c r="N34" s="8">
        <f t="shared" si="4"/>
        <v>0</v>
      </c>
      <c r="O34" s="8">
        <f t="shared" si="5"/>
        <v>8</v>
      </c>
      <c r="P34" s="10" t="str">
        <f t="shared" si="6"/>
        <v>OK</v>
      </c>
    </row>
    <row r="35" spans="1:16">
      <c r="A35" s="17">
        <v>50</v>
      </c>
      <c r="B35" s="5" t="s">
        <v>106</v>
      </c>
      <c r="C35" s="5" t="s">
        <v>107</v>
      </c>
      <c r="D35" s="5" t="s">
        <v>92</v>
      </c>
      <c r="E35" s="17" t="s">
        <v>21</v>
      </c>
      <c r="F35" s="18" t="s">
        <v>22</v>
      </c>
      <c r="G35" s="8">
        <v>0</v>
      </c>
      <c r="H35" s="8">
        <f t="shared" ref="H35:H66" si="7">SUM(F35:F35)*24</f>
        <v>0</v>
      </c>
      <c r="I35" s="8">
        <f t="shared" ref="I35:I66" si="8">SUM(F35:F35)*24</f>
        <v>0</v>
      </c>
      <c r="J35" s="9">
        <v>0</v>
      </c>
      <c r="K35" s="9">
        <v>0</v>
      </c>
      <c r="L35" s="8">
        <f t="shared" ref="L35:L66" si="9">COUNTIF(F35:F35,"ABS")</f>
        <v>0</v>
      </c>
      <c r="M35" s="8">
        <f t="shared" ref="M35:M66" si="10">COUNTIF(F35:F35,"Congé")</f>
        <v>0</v>
      </c>
      <c r="N35" s="8">
        <f t="shared" ref="N35:N66" si="11">COUNTIF(F35:F35,"Férié")</f>
        <v>0</v>
      </c>
      <c r="O35" s="8">
        <f t="shared" ref="O35:O66" si="12">I35+J35+K35+(N35*8.5)</f>
        <v>0</v>
      </c>
      <c r="P35" s="10" t="str">
        <f t="shared" ref="P35:P66" si="13">IF(COUNTIF(F35:F35,"STC")&gt;0,"STC",IF(IFERROR(ISNUMBER(SEARCH("!",F35)),FALSE),"À vérifier","OK"))</f>
        <v>OK</v>
      </c>
    </row>
    <row r="36" spans="1:16">
      <c r="A36" s="17">
        <v>250</v>
      </c>
      <c r="B36" s="5" t="s">
        <v>108</v>
      </c>
      <c r="C36" s="5" t="s">
        <v>66</v>
      </c>
      <c r="D36" s="5" t="s">
        <v>92</v>
      </c>
      <c r="E36" s="17" t="s">
        <v>21</v>
      </c>
      <c r="F36" s="18" t="s">
        <v>22</v>
      </c>
      <c r="G36" s="8">
        <v>0</v>
      </c>
      <c r="H36" s="8">
        <f t="shared" si="7"/>
        <v>0</v>
      </c>
      <c r="I36" s="8">
        <f t="shared" si="8"/>
        <v>0</v>
      </c>
      <c r="J36" s="9">
        <v>0</v>
      </c>
      <c r="K36" s="9">
        <v>0</v>
      </c>
      <c r="L36" s="8">
        <f t="shared" si="9"/>
        <v>0</v>
      </c>
      <c r="M36" s="8">
        <f t="shared" si="10"/>
        <v>0</v>
      </c>
      <c r="N36" s="8">
        <f t="shared" si="11"/>
        <v>0</v>
      </c>
      <c r="O36" s="8">
        <f t="shared" si="12"/>
        <v>0</v>
      </c>
      <c r="P36" s="10" t="str">
        <f t="shared" si="13"/>
        <v>OK</v>
      </c>
    </row>
    <row r="37" spans="1:16">
      <c r="A37" s="17" t="s">
        <v>109</v>
      </c>
      <c r="B37" s="5" t="s">
        <v>110</v>
      </c>
      <c r="C37" s="5" t="s">
        <v>111</v>
      </c>
      <c r="D37" s="5" t="s">
        <v>92</v>
      </c>
      <c r="E37" s="17" t="s">
        <v>21</v>
      </c>
      <c r="F37" s="18">
        <v>0.33333333333333331</v>
      </c>
      <c r="G37" s="8">
        <v>0</v>
      </c>
      <c r="H37" s="8">
        <f t="shared" si="7"/>
        <v>8</v>
      </c>
      <c r="I37" s="8">
        <f t="shared" si="8"/>
        <v>8</v>
      </c>
      <c r="J37" s="9">
        <v>0</v>
      </c>
      <c r="K37" s="9">
        <v>0</v>
      </c>
      <c r="L37" s="8">
        <f t="shared" si="9"/>
        <v>0</v>
      </c>
      <c r="M37" s="8">
        <f t="shared" si="10"/>
        <v>0</v>
      </c>
      <c r="N37" s="8">
        <f t="shared" si="11"/>
        <v>0</v>
      </c>
      <c r="O37" s="8">
        <f t="shared" si="12"/>
        <v>8</v>
      </c>
      <c r="P37" s="10" t="str">
        <f t="shared" si="13"/>
        <v>OK</v>
      </c>
    </row>
    <row r="38" spans="1:16">
      <c r="A38" s="17">
        <v>223</v>
      </c>
      <c r="B38" s="5" t="s">
        <v>112</v>
      </c>
      <c r="C38" s="5" t="s">
        <v>113</v>
      </c>
      <c r="D38" s="5" t="s">
        <v>92</v>
      </c>
      <c r="E38" s="17" t="s">
        <v>21</v>
      </c>
      <c r="F38" s="18" t="s">
        <v>22</v>
      </c>
      <c r="G38" s="8">
        <v>0</v>
      </c>
      <c r="H38" s="8">
        <f t="shared" si="7"/>
        <v>0</v>
      </c>
      <c r="I38" s="8">
        <f t="shared" si="8"/>
        <v>0</v>
      </c>
      <c r="J38" s="9">
        <v>0</v>
      </c>
      <c r="K38" s="9">
        <v>0</v>
      </c>
      <c r="L38" s="8">
        <f t="shared" si="9"/>
        <v>0</v>
      </c>
      <c r="M38" s="8">
        <f t="shared" si="10"/>
        <v>0</v>
      </c>
      <c r="N38" s="8">
        <f t="shared" si="11"/>
        <v>0</v>
      </c>
      <c r="O38" s="8">
        <f t="shared" si="12"/>
        <v>0</v>
      </c>
      <c r="P38" s="10" t="str">
        <f t="shared" si="13"/>
        <v>OK</v>
      </c>
    </row>
    <row r="39" spans="1:16">
      <c r="A39" s="17" t="s">
        <v>114</v>
      </c>
      <c r="B39" s="5" t="s">
        <v>115</v>
      </c>
      <c r="C39" s="5" t="s">
        <v>116</v>
      </c>
      <c r="D39" s="5" t="s">
        <v>92</v>
      </c>
      <c r="E39" s="17" t="s">
        <v>21</v>
      </c>
      <c r="F39" s="18" t="s">
        <v>22</v>
      </c>
      <c r="G39" s="8">
        <v>0</v>
      </c>
      <c r="H39" s="8">
        <f t="shared" si="7"/>
        <v>0</v>
      </c>
      <c r="I39" s="8">
        <f t="shared" si="8"/>
        <v>0</v>
      </c>
      <c r="J39" s="9">
        <v>0</v>
      </c>
      <c r="K39" s="9">
        <v>0</v>
      </c>
      <c r="L39" s="8">
        <f t="shared" si="9"/>
        <v>0</v>
      </c>
      <c r="M39" s="8">
        <f t="shared" si="10"/>
        <v>0</v>
      </c>
      <c r="N39" s="8">
        <f t="shared" si="11"/>
        <v>0</v>
      </c>
      <c r="O39" s="8">
        <f t="shared" si="12"/>
        <v>0</v>
      </c>
      <c r="P39" s="10" t="str">
        <f t="shared" si="13"/>
        <v>OK</v>
      </c>
    </row>
    <row r="40" spans="1:16">
      <c r="A40" s="17" t="s">
        <v>117</v>
      </c>
      <c r="B40" s="5" t="s">
        <v>118</v>
      </c>
      <c r="C40" s="5" t="s">
        <v>119</v>
      </c>
      <c r="D40" s="5" t="s">
        <v>92</v>
      </c>
      <c r="E40" s="17" t="s">
        <v>21</v>
      </c>
      <c r="F40" s="18" t="s">
        <v>22</v>
      </c>
      <c r="G40" s="8">
        <v>0</v>
      </c>
      <c r="H40" s="8">
        <f t="shared" si="7"/>
        <v>0</v>
      </c>
      <c r="I40" s="8">
        <f t="shared" si="8"/>
        <v>0</v>
      </c>
      <c r="J40" s="9">
        <v>0</v>
      </c>
      <c r="K40" s="9">
        <v>0</v>
      </c>
      <c r="L40" s="8">
        <f t="shared" si="9"/>
        <v>0</v>
      </c>
      <c r="M40" s="8">
        <f t="shared" si="10"/>
        <v>0</v>
      </c>
      <c r="N40" s="8">
        <f t="shared" si="11"/>
        <v>0</v>
      </c>
      <c r="O40" s="8">
        <f t="shared" si="12"/>
        <v>0</v>
      </c>
      <c r="P40" s="10" t="str">
        <f t="shared" si="13"/>
        <v>OK</v>
      </c>
    </row>
    <row r="41" spans="1:16">
      <c r="A41" s="17" t="s">
        <v>120</v>
      </c>
      <c r="B41" s="5" t="s">
        <v>121</v>
      </c>
      <c r="C41" s="5" t="s">
        <v>122</v>
      </c>
      <c r="D41" s="5" t="s">
        <v>31</v>
      </c>
      <c r="E41" s="17" t="s">
        <v>123</v>
      </c>
      <c r="F41" s="18" t="s">
        <v>22</v>
      </c>
      <c r="G41" s="8">
        <v>0</v>
      </c>
      <c r="H41" s="8">
        <f t="shared" si="7"/>
        <v>0</v>
      </c>
      <c r="I41" s="8">
        <f t="shared" si="8"/>
        <v>0</v>
      </c>
      <c r="J41" s="9">
        <v>0</v>
      </c>
      <c r="K41" s="9">
        <v>0</v>
      </c>
      <c r="L41" s="8">
        <f t="shared" si="9"/>
        <v>0</v>
      </c>
      <c r="M41" s="8">
        <f t="shared" si="10"/>
        <v>0</v>
      </c>
      <c r="N41" s="8">
        <f t="shared" si="11"/>
        <v>0</v>
      </c>
      <c r="O41" s="8">
        <f t="shared" si="12"/>
        <v>0</v>
      </c>
      <c r="P41" s="10" t="str">
        <f t="shared" si="13"/>
        <v>OK</v>
      </c>
    </row>
    <row r="42" spans="1:16">
      <c r="A42" s="17" t="s">
        <v>124</v>
      </c>
      <c r="B42" s="5" t="s">
        <v>68</v>
      </c>
      <c r="C42" s="5" t="s">
        <v>125</v>
      </c>
      <c r="D42" s="5" t="s">
        <v>31</v>
      </c>
      <c r="E42" s="17" t="s">
        <v>123</v>
      </c>
      <c r="F42" s="18" t="s">
        <v>22</v>
      </c>
      <c r="G42" s="8">
        <v>0</v>
      </c>
      <c r="H42" s="8">
        <f t="shared" si="7"/>
        <v>0</v>
      </c>
      <c r="I42" s="8">
        <f t="shared" si="8"/>
        <v>0</v>
      </c>
      <c r="J42" s="9">
        <v>0</v>
      </c>
      <c r="K42" s="9">
        <v>0</v>
      </c>
      <c r="L42" s="8">
        <f t="shared" si="9"/>
        <v>0</v>
      </c>
      <c r="M42" s="8">
        <f t="shared" si="10"/>
        <v>0</v>
      </c>
      <c r="N42" s="8">
        <f t="shared" si="11"/>
        <v>0</v>
      </c>
      <c r="O42" s="8">
        <f t="shared" si="12"/>
        <v>0</v>
      </c>
      <c r="P42" s="10" t="str">
        <f t="shared" si="13"/>
        <v>OK</v>
      </c>
    </row>
    <row r="43" spans="1:16">
      <c r="A43" s="17" t="s">
        <v>126</v>
      </c>
      <c r="B43" s="5" t="s">
        <v>127</v>
      </c>
      <c r="C43" s="5" t="s">
        <v>128</v>
      </c>
      <c r="D43" s="5" t="s">
        <v>31</v>
      </c>
      <c r="E43" s="17" t="s">
        <v>123</v>
      </c>
      <c r="F43" s="18" t="s">
        <v>22</v>
      </c>
      <c r="G43" s="8">
        <v>0</v>
      </c>
      <c r="H43" s="8">
        <f t="shared" si="7"/>
        <v>0</v>
      </c>
      <c r="I43" s="8">
        <f t="shared" si="8"/>
        <v>0</v>
      </c>
      <c r="J43" s="9">
        <v>0</v>
      </c>
      <c r="K43" s="9">
        <v>0</v>
      </c>
      <c r="L43" s="8">
        <f t="shared" si="9"/>
        <v>0</v>
      </c>
      <c r="M43" s="8">
        <f t="shared" si="10"/>
        <v>0</v>
      </c>
      <c r="N43" s="8">
        <f t="shared" si="11"/>
        <v>0</v>
      </c>
      <c r="O43" s="8">
        <f t="shared" si="12"/>
        <v>0</v>
      </c>
      <c r="P43" s="10" t="str">
        <f t="shared" si="13"/>
        <v>OK</v>
      </c>
    </row>
    <row r="44" spans="1:16">
      <c r="A44" s="17">
        <v>53</v>
      </c>
      <c r="B44" s="5" t="s">
        <v>129</v>
      </c>
      <c r="C44" s="5" t="s">
        <v>130</v>
      </c>
      <c r="D44" s="5" t="s">
        <v>31</v>
      </c>
      <c r="E44" s="17" t="s">
        <v>123</v>
      </c>
      <c r="F44" s="18" t="s">
        <v>22</v>
      </c>
      <c r="G44" s="8">
        <v>0</v>
      </c>
      <c r="H44" s="8">
        <f t="shared" si="7"/>
        <v>0</v>
      </c>
      <c r="I44" s="8">
        <f t="shared" si="8"/>
        <v>0</v>
      </c>
      <c r="J44" s="9">
        <v>0</v>
      </c>
      <c r="K44" s="9">
        <v>0</v>
      </c>
      <c r="L44" s="8">
        <f t="shared" si="9"/>
        <v>0</v>
      </c>
      <c r="M44" s="8">
        <f t="shared" si="10"/>
        <v>0</v>
      </c>
      <c r="N44" s="8">
        <f t="shared" si="11"/>
        <v>0</v>
      </c>
      <c r="O44" s="8">
        <f t="shared" si="12"/>
        <v>0</v>
      </c>
      <c r="P44" s="10" t="str">
        <f t="shared" si="13"/>
        <v>OK</v>
      </c>
    </row>
    <row r="45" spans="1:16">
      <c r="A45" s="17" t="s">
        <v>131</v>
      </c>
      <c r="B45" s="5" t="s">
        <v>132</v>
      </c>
      <c r="C45" s="5" t="s">
        <v>133</v>
      </c>
      <c r="D45" s="5" t="s">
        <v>31</v>
      </c>
      <c r="E45" s="17" t="s">
        <v>123</v>
      </c>
      <c r="F45" s="18" t="s">
        <v>22</v>
      </c>
      <c r="G45" s="8">
        <v>0</v>
      </c>
      <c r="H45" s="8">
        <f t="shared" si="7"/>
        <v>0</v>
      </c>
      <c r="I45" s="8">
        <f t="shared" si="8"/>
        <v>0</v>
      </c>
      <c r="J45" s="9">
        <v>0</v>
      </c>
      <c r="K45" s="9">
        <v>0</v>
      </c>
      <c r="L45" s="8">
        <f t="shared" si="9"/>
        <v>0</v>
      </c>
      <c r="M45" s="8">
        <f t="shared" si="10"/>
        <v>0</v>
      </c>
      <c r="N45" s="8">
        <f t="shared" si="11"/>
        <v>0</v>
      </c>
      <c r="O45" s="8">
        <f t="shared" si="12"/>
        <v>0</v>
      </c>
      <c r="P45" s="10" t="str">
        <f t="shared" si="13"/>
        <v>OK</v>
      </c>
    </row>
    <row r="46" spans="1:16">
      <c r="A46" s="17" t="s">
        <v>134</v>
      </c>
      <c r="B46" s="5" t="s">
        <v>135</v>
      </c>
      <c r="C46" s="5" t="s">
        <v>136</v>
      </c>
      <c r="D46" s="5" t="s">
        <v>31</v>
      </c>
      <c r="E46" s="17" t="s">
        <v>123</v>
      </c>
      <c r="F46" s="18" t="s">
        <v>22</v>
      </c>
      <c r="G46" s="8">
        <v>0</v>
      </c>
      <c r="H46" s="8">
        <f t="shared" si="7"/>
        <v>0</v>
      </c>
      <c r="I46" s="8">
        <f t="shared" si="8"/>
        <v>0</v>
      </c>
      <c r="J46" s="9">
        <v>0</v>
      </c>
      <c r="K46" s="9">
        <v>0</v>
      </c>
      <c r="L46" s="8">
        <f t="shared" si="9"/>
        <v>0</v>
      </c>
      <c r="M46" s="8">
        <f t="shared" si="10"/>
        <v>0</v>
      </c>
      <c r="N46" s="8">
        <f t="shared" si="11"/>
        <v>0</v>
      </c>
      <c r="O46" s="8">
        <f t="shared" si="12"/>
        <v>0</v>
      </c>
      <c r="P46" s="10" t="str">
        <f t="shared" si="13"/>
        <v>OK</v>
      </c>
    </row>
    <row r="47" spans="1:16">
      <c r="A47" s="17" t="s">
        <v>137</v>
      </c>
      <c r="B47" s="5" t="s">
        <v>138</v>
      </c>
      <c r="C47" s="5" t="s">
        <v>139</v>
      </c>
      <c r="D47" s="5" t="s">
        <v>31</v>
      </c>
      <c r="E47" s="17" t="s">
        <v>123</v>
      </c>
      <c r="F47" s="18" t="s">
        <v>22</v>
      </c>
      <c r="G47" s="8">
        <v>0</v>
      </c>
      <c r="H47" s="8">
        <f t="shared" si="7"/>
        <v>0</v>
      </c>
      <c r="I47" s="8">
        <f t="shared" si="8"/>
        <v>0</v>
      </c>
      <c r="J47" s="9">
        <v>0</v>
      </c>
      <c r="K47" s="9">
        <v>0</v>
      </c>
      <c r="L47" s="8">
        <f t="shared" si="9"/>
        <v>0</v>
      </c>
      <c r="M47" s="8">
        <f t="shared" si="10"/>
        <v>0</v>
      </c>
      <c r="N47" s="8">
        <f t="shared" si="11"/>
        <v>0</v>
      </c>
      <c r="O47" s="8">
        <f t="shared" si="12"/>
        <v>0</v>
      </c>
      <c r="P47" s="10" t="str">
        <f t="shared" si="13"/>
        <v>OK</v>
      </c>
    </row>
    <row r="48" spans="1:16">
      <c r="A48" s="17" t="s">
        <v>140</v>
      </c>
      <c r="B48" s="5" t="s">
        <v>141</v>
      </c>
      <c r="C48" s="5" t="s">
        <v>142</v>
      </c>
      <c r="D48" s="5" t="s">
        <v>31</v>
      </c>
      <c r="E48" s="17" t="s">
        <v>123</v>
      </c>
      <c r="F48" s="18" t="s">
        <v>22</v>
      </c>
      <c r="G48" s="8">
        <v>0</v>
      </c>
      <c r="H48" s="8">
        <f t="shared" si="7"/>
        <v>0</v>
      </c>
      <c r="I48" s="8">
        <f t="shared" si="8"/>
        <v>0</v>
      </c>
      <c r="J48" s="9">
        <v>0</v>
      </c>
      <c r="K48" s="9">
        <v>0</v>
      </c>
      <c r="L48" s="8">
        <f t="shared" si="9"/>
        <v>0</v>
      </c>
      <c r="M48" s="8">
        <f t="shared" si="10"/>
        <v>0</v>
      </c>
      <c r="N48" s="8">
        <f t="shared" si="11"/>
        <v>0</v>
      </c>
      <c r="O48" s="8">
        <f t="shared" si="12"/>
        <v>0</v>
      </c>
      <c r="P48" s="10" t="str">
        <f t="shared" si="13"/>
        <v>OK</v>
      </c>
    </row>
    <row r="49" spans="1:16">
      <c r="A49" s="17" t="s">
        <v>143</v>
      </c>
      <c r="B49" s="5" t="s">
        <v>144</v>
      </c>
      <c r="C49" s="5" t="s">
        <v>145</v>
      </c>
      <c r="D49" s="5" t="s">
        <v>31</v>
      </c>
      <c r="E49" s="17" t="s">
        <v>123</v>
      </c>
      <c r="F49" s="18" t="s">
        <v>22</v>
      </c>
      <c r="G49" s="8">
        <v>0</v>
      </c>
      <c r="H49" s="8">
        <f t="shared" si="7"/>
        <v>0</v>
      </c>
      <c r="I49" s="8">
        <f t="shared" si="8"/>
        <v>0</v>
      </c>
      <c r="J49" s="9">
        <v>0</v>
      </c>
      <c r="K49" s="9">
        <v>0</v>
      </c>
      <c r="L49" s="8">
        <f t="shared" si="9"/>
        <v>0</v>
      </c>
      <c r="M49" s="8">
        <f t="shared" si="10"/>
        <v>0</v>
      </c>
      <c r="N49" s="8">
        <f t="shared" si="11"/>
        <v>0</v>
      </c>
      <c r="O49" s="8">
        <f t="shared" si="12"/>
        <v>0</v>
      </c>
      <c r="P49" s="10" t="str">
        <f t="shared" si="13"/>
        <v>OK</v>
      </c>
    </row>
    <row r="50" spans="1:16">
      <c r="A50" s="17" t="s">
        <v>146</v>
      </c>
      <c r="B50" s="5" t="s">
        <v>147</v>
      </c>
      <c r="C50" s="5" t="s">
        <v>148</v>
      </c>
      <c r="D50" s="5" t="s">
        <v>31</v>
      </c>
      <c r="E50" s="17" t="s">
        <v>123</v>
      </c>
      <c r="F50" s="18" t="s">
        <v>22</v>
      </c>
      <c r="G50" s="8">
        <v>0</v>
      </c>
      <c r="H50" s="8">
        <f t="shared" si="7"/>
        <v>0</v>
      </c>
      <c r="I50" s="8">
        <f t="shared" si="8"/>
        <v>0</v>
      </c>
      <c r="J50" s="9">
        <v>0</v>
      </c>
      <c r="K50" s="9">
        <v>0</v>
      </c>
      <c r="L50" s="8">
        <f t="shared" si="9"/>
        <v>0</v>
      </c>
      <c r="M50" s="8">
        <f t="shared" si="10"/>
        <v>0</v>
      </c>
      <c r="N50" s="8">
        <f t="shared" si="11"/>
        <v>0</v>
      </c>
      <c r="O50" s="8">
        <f t="shared" si="12"/>
        <v>0</v>
      </c>
      <c r="P50" s="10" t="str">
        <f t="shared" si="13"/>
        <v>OK</v>
      </c>
    </row>
    <row r="51" spans="1:16">
      <c r="A51" s="17" t="s">
        <v>149</v>
      </c>
      <c r="B51" s="5" t="s">
        <v>150</v>
      </c>
      <c r="C51" s="5" t="s">
        <v>151</v>
      </c>
      <c r="D51" s="5" t="s">
        <v>31</v>
      </c>
      <c r="E51" s="17" t="s">
        <v>123</v>
      </c>
      <c r="F51" s="18" t="s">
        <v>22</v>
      </c>
      <c r="G51" s="8">
        <v>0</v>
      </c>
      <c r="H51" s="8">
        <f t="shared" si="7"/>
        <v>0</v>
      </c>
      <c r="I51" s="8">
        <f t="shared" si="8"/>
        <v>0</v>
      </c>
      <c r="J51" s="9">
        <v>0</v>
      </c>
      <c r="K51" s="9">
        <v>0</v>
      </c>
      <c r="L51" s="8">
        <f t="shared" si="9"/>
        <v>0</v>
      </c>
      <c r="M51" s="8">
        <f t="shared" si="10"/>
        <v>0</v>
      </c>
      <c r="N51" s="8">
        <f t="shared" si="11"/>
        <v>0</v>
      </c>
      <c r="O51" s="8">
        <f t="shared" si="12"/>
        <v>0</v>
      </c>
      <c r="P51" s="10" t="str">
        <f t="shared" si="13"/>
        <v>OK</v>
      </c>
    </row>
    <row r="52" spans="1:16">
      <c r="A52" s="17" t="s">
        <v>114</v>
      </c>
      <c r="B52" s="5" t="s">
        <v>150</v>
      </c>
      <c r="C52" s="5" t="s">
        <v>152</v>
      </c>
      <c r="D52" s="5" t="s">
        <v>31</v>
      </c>
      <c r="E52" s="17" t="s">
        <v>123</v>
      </c>
      <c r="F52" s="18" t="s">
        <v>22</v>
      </c>
      <c r="G52" s="8">
        <v>0</v>
      </c>
      <c r="H52" s="8">
        <f t="shared" si="7"/>
        <v>0</v>
      </c>
      <c r="I52" s="8">
        <f t="shared" si="8"/>
        <v>0</v>
      </c>
      <c r="J52" s="9">
        <v>0</v>
      </c>
      <c r="K52" s="9">
        <v>0</v>
      </c>
      <c r="L52" s="8">
        <f t="shared" si="9"/>
        <v>0</v>
      </c>
      <c r="M52" s="8">
        <f t="shared" si="10"/>
        <v>0</v>
      </c>
      <c r="N52" s="8">
        <f t="shared" si="11"/>
        <v>0</v>
      </c>
      <c r="O52" s="8">
        <f t="shared" si="12"/>
        <v>0</v>
      </c>
      <c r="P52" s="10" t="str">
        <f t="shared" si="13"/>
        <v>OK</v>
      </c>
    </row>
    <row r="53" spans="1:16">
      <c r="A53" s="17">
        <v>177</v>
      </c>
      <c r="B53" s="5" t="s">
        <v>153</v>
      </c>
      <c r="C53" s="5" t="s">
        <v>154</v>
      </c>
      <c r="D53" s="5" t="s">
        <v>31</v>
      </c>
      <c r="E53" s="17" t="s">
        <v>123</v>
      </c>
      <c r="F53" s="18" t="s">
        <v>22</v>
      </c>
      <c r="G53" s="8">
        <v>0</v>
      </c>
      <c r="H53" s="8">
        <f t="shared" si="7"/>
        <v>0</v>
      </c>
      <c r="I53" s="8">
        <f t="shared" si="8"/>
        <v>0</v>
      </c>
      <c r="J53" s="9">
        <v>0</v>
      </c>
      <c r="K53" s="9">
        <v>0</v>
      </c>
      <c r="L53" s="8">
        <f t="shared" si="9"/>
        <v>0</v>
      </c>
      <c r="M53" s="8">
        <f t="shared" si="10"/>
        <v>0</v>
      </c>
      <c r="N53" s="8">
        <f t="shared" si="11"/>
        <v>0</v>
      </c>
      <c r="O53" s="8">
        <f t="shared" si="12"/>
        <v>0</v>
      </c>
      <c r="P53" s="10" t="str">
        <f t="shared" si="13"/>
        <v>OK</v>
      </c>
    </row>
    <row r="54" spans="1:16">
      <c r="A54" s="17" t="s">
        <v>155</v>
      </c>
      <c r="B54" s="5" t="s">
        <v>156</v>
      </c>
      <c r="C54" s="5" t="s">
        <v>154</v>
      </c>
      <c r="D54" s="5" t="s">
        <v>31</v>
      </c>
      <c r="E54" s="17" t="s">
        <v>123</v>
      </c>
      <c r="F54" s="18" t="s">
        <v>22</v>
      </c>
      <c r="G54" s="8">
        <v>0</v>
      </c>
      <c r="H54" s="8">
        <f t="shared" si="7"/>
        <v>0</v>
      </c>
      <c r="I54" s="8">
        <f t="shared" si="8"/>
        <v>0</v>
      </c>
      <c r="J54" s="9">
        <v>0</v>
      </c>
      <c r="K54" s="9">
        <v>0</v>
      </c>
      <c r="L54" s="8">
        <f t="shared" si="9"/>
        <v>0</v>
      </c>
      <c r="M54" s="8">
        <f t="shared" si="10"/>
        <v>0</v>
      </c>
      <c r="N54" s="8">
        <f t="shared" si="11"/>
        <v>0</v>
      </c>
      <c r="O54" s="8">
        <f t="shared" si="12"/>
        <v>0</v>
      </c>
      <c r="P54" s="10" t="str">
        <f t="shared" si="13"/>
        <v>OK</v>
      </c>
    </row>
    <row r="55" spans="1:16">
      <c r="A55" s="17" t="s">
        <v>157</v>
      </c>
      <c r="B55" s="5" t="s">
        <v>158</v>
      </c>
      <c r="C55" s="5" t="s">
        <v>159</v>
      </c>
      <c r="D55" s="5" t="s">
        <v>31</v>
      </c>
      <c r="E55" s="17" t="s">
        <v>123</v>
      </c>
      <c r="F55" s="18" t="s">
        <v>22</v>
      </c>
      <c r="G55" s="8">
        <v>0</v>
      </c>
      <c r="H55" s="8">
        <f t="shared" si="7"/>
        <v>0</v>
      </c>
      <c r="I55" s="8">
        <f t="shared" si="8"/>
        <v>0</v>
      </c>
      <c r="J55" s="9">
        <v>0</v>
      </c>
      <c r="K55" s="9">
        <v>0</v>
      </c>
      <c r="L55" s="8">
        <f t="shared" si="9"/>
        <v>0</v>
      </c>
      <c r="M55" s="8">
        <f t="shared" si="10"/>
        <v>0</v>
      </c>
      <c r="N55" s="8">
        <f t="shared" si="11"/>
        <v>0</v>
      </c>
      <c r="O55" s="8">
        <f t="shared" si="12"/>
        <v>0</v>
      </c>
      <c r="P55" s="10" t="str">
        <f t="shared" si="13"/>
        <v>OK</v>
      </c>
    </row>
    <row r="56" spans="1:16">
      <c r="A56" s="17">
        <v>163</v>
      </c>
      <c r="B56" s="5" t="s">
        <v>160</v>
      </c>
      <c r="C56" s="5" t="s">
        <v>161</v>
      </c>
      <c r="D56" s="5" t="s">
        <v>31</v>
      </c>
      <c r="E56" s="17" t="s">
        <v>123</v>
      </c>
      <c r="F56" s="18" t="s">
        <v>22</v>
      </c>
      <c r="G56" s="8">
        <v>0</v>
      </c>
      <c r="H56" s="8">
        <f t="shared" si="7"/>
        <v>0</v>
      </c>
      <c r="I56" s="8">
        <f t="shared" si="8"/>
        <v>0</v>
      </c>
      <c r="J56" s="9">
        <v>0</v>
      </c>
      <c r="K56" s="9">
        <v>0</v>
      </c>
      <c r="L56" s="8">
        <f t="shared" si="9"/>
        <v>0</v>
      </c>
      <c r="M56" s="8">
        <f t="shared" si="10"/>
        <v>0</v>
      </c>
      <c r="N56" s="8">
        <f t="shared" si="11"/>
        <v>0</v>
      </c>
      <c r="O56" s="8">
        <f t="shared" si="12"/>
        <v>0</v>
      </c>
      <c r="P56" s="10" t="str">
        <f t="shared" si="13"/>
        <v>OK</v>
      </c>
    </row>
    <row r="57" spans="1:16">
      <c r="A57" s="17">
        <v>240</v>
      </c>
      <c r="B57" s="5" t="s">
        <v>162</v>
      </c>
      <c r="C57" s="5" t="s">
        <v>163</v>
      </c>
      <c r="D57" s="5" t="s">
        <v>31</v>
      </c>
      <c r="E57" s="17" t="s">
        <v>123</v>
      </c>
      <c r="F57" s="18" t="s">
        <v>22</v>
      </c>
      <c r="G57" s="8">
        <v>0</v>
      </c>
      <c r="H57" s="8">
        <f t="shared" si="7"/>
        <v>0</v>
      </c>
      <c r="I57" s="8">
        <f t="shared" si="8"/>
        <v>0</v>
      </c>
      <c r="J57" s="9">
        <v>0</v>
      </c>
      <c r="K57" s="9">
        <v>0</v>
      </c>
      <c r="L57" s="8">
        <f t="shared" si="9"/>
        <v>0</v>
      </c>
      <c r="M57" s="8">
        <f t="shared" si="10"/>
        <v>0</v>
      </c>
      <c r="N57" s="8">
        <f t="shared" si="11"/>
        <v>0</v>
      </c>
      <c r="O57" s="8">
        <f t="shared" si="12"/>
        <v>0</v>
      </c>
      <c r="P57" s="10" t="str">
        <f t="shared" si="13"/>
        <v>OK</v>
      </c>
    </row>
    <row r="58" spans="1:16">
      <c r="A58" s="17" t="s">
        <v>164</v>
      </c>
      <c r="B58" s="5" t="s">
        <v>165</v>
      </c>
      <c r="C58" s="5" t="s">
        <v>166</v>
      </c>
      <c r="D58" s="5" t="s">
        <v>31</v>
      </c>
      <c r="E58" s="17" t="s">
        <v>123</v>
      </c>
      <c r="F58" s="18" t="s">
        <v>22</v>
      </c>
      <c r="G58" s="8">
        <v>0</v>
      </c>
      <c r="H58" s="8">
        <f t="shared" si="7"/>
        <v>0</v>
      </c>
      <c r="I58" s="8">
        <f t="shared" si="8"/>
        <v>0</v>
      </c>
      <c r="J58" s="9">
        <v>0</v>
      </c>
      <c r="K58" s="9">
        <v>0</v>
      </c>
      <c r="L58" s="8">
        <f t="shared" si="9"/>
        <v>0</v>
      </c>
      <c r="M58" s="8">
        <f t="shared" si="10"/>
        <v>0</v>
      </c>
      <c r="N58" s="8">
        <f t="shared" si="11"/>
        <v>0</v>
      </c>
      <c r="O58" s="8">
        <f t="shared" si="12"/>
        <v>0</v>
      </c>
      <c r="P58" s="10" t="str">
        <f t="shared" si="13"/>
        <v>OK</v>
      </c>
    </row>
    <row r="59" spans="1:16">
      <c r="A59" s="17" t="s">
        <v>167</v>
      </c>
      <c r="B59" s="5" t="s">
        <v>168</v>
      </c>
      <c r="C59" s="5" t="s">
        <v>169</v>
      </c>
      <c r="D59" s="5" t="s">
        <v>31</v>
      </c>
      <c r="E59" s="17" t="s">
        <v>123</v>
      </c>
      <c r="F59" s="18" t="s">
        <v>22</v>
      </c>
      <c r="G59" s="8">
        <v>0</v>
      </c>
      <c r="H59" s="8">
        <f t="shared" si="7"/>
        <v>0</v>
      </c>
      <c r="I59" s="8">
        <f t="shared" si="8"/>
        <v>0</v>
      </c>
      <c r="J59" s="9">
        <v>0</v>
      </c>
      <c r="K59" s="9">
        <v>0</v>
      </c>
      <c r="L59" s="8">
        <f t="shared" si="9"/>
        <v>0</v>
      </c>
      <c r="M59" s="8">
        <f t="shared" si="10"/>
        <v>0</v>
      </c>
      <c r="N59" s="8">
        <f t="shared" si="11"/>
        <v>0</v>
      </c>
      <c r="O59" s="8">
        <f t="shared" si="12"/>
        <v>0</v>
      </c>
      <c r="P59" s="10" t="str">
        <f t="shared" si="13"/>
        <v>OK</v>
      </c>
    </row>
    <row r="60" spans="1:16">
      <c r="A60" s="17">
        <v>192</v>
      </c>
      <c r="B60" s="5" t="s">
        <v>170</v>
      </c>
      <c r="C60" s="5" t="s">
        <v>171</v>
      </c>
      <c r="D60" s="5" t="s">
        <v>31</v>
      </c>
      <c r="E60" s="17" t="s">
        <v>123</v>
      </c>
      <c r="F60" s="18" t="s">
        <v>22</v>
      </c>
      <c r="G60" s="8">
        <v>0</v>
      </c>
      <c r="H60" s="8">
        <f t="shared" si="7"/>
        <v>0</v>
      </c>
      <c r="I60" s="8">
        <f t="shared" si="8"/>
        <v>0</v>
      </c>
      <c r="J60" s="9">
        <v>0</v>
      </c>
      <c r="K60" s="9">
        <v>0</v>
      </c>
      <c r="L60" s="8">
        <f t="shared" si="9"/>
        <v>0</v>
      </c>
      <c r="M60" s="8">
        <f t="shared" si="10"/>
        <v>0</v>
      </c>
      <c r="N60" s="8">
        <f t="shared" si="11"/>
        <v>0</v>
      </c>
      <c r="O60" s="8">
        <f t="shared" si="12"/>
        <v>0</v>
      </c>
      <c r="P60" s="10" t="str">
        <f t="shared" si="13"/>
        <v>OK</v>
      </c>
    </row>
    <row r="61" spans="1:16">
      <c r="A61" s="17" t="s">
        <v>172</v>
      </c>
      <c r="B61" s="5" t="s">
        <v>173</v>
      </c>
      <c r="C61" s="5" t="s">
        <v>174</v>
      </c>
      <c r="D61" s="5" t="s">
        <v>31</v>
      </c>
      <c r="E61" s="17" t="s">
        <v>123</v>
      </c>
      <c r="F61" s="18" t="s">
        <v>22</v>
      </c>
      <c r="G61" s="8">
        <v>0</v>
      </c>
      <c r="H61" s="8">
        <f t="shared" si="7"/>
        <v>0</v>
      </c>
      <c r="I61" s="8">
        <f t="shared" si="8"/>
        <v>0</v>
      </c>
      <c r="J61" s="9">
        <v>0</v>
      </c>
      <c r="K61" s="9">
        <v>0</v>
      </c>
      <c r="L61" s="8">
        <f t="shared" si="9"/>
        <v>0</v>
      </c>
      <c r="M61" s="8">
        <f t="shared" si="10"/>
        <v>0</v>
      </c>
      <c r="N61" s="8">
        <f t="shared" si="11"/>
        <v>0</v>
      </c>
      <c r="O61" s="8">
        <f t="shared" si="12"/>
        <v>0</v>
      </c>
      <c r="P61" s="10" t="str">
        <f t="shared" si="13"/>
        <v>OK</v>
      </c>
    </row>
    <row r="62" spans="1:16">
      <c r="A62" s="17" t="s">
        <v>175</v>
      </c>
      <c r="B62" s="5" t="s">
        <v>176</v>
      </c>
      <c r="C62" s="5" t="s">
        <v>177</v>
      </c>
      <c r="D62" s="5" t="s">
        <v>31</v>
      </c>
      <c r="E62" s="17" t="s">
        <v>123</v>
      </c>
      <c r="F62" s="18" t="s">
        <v>22</v>
      </c>
      <c r="G62" s="8">
        <v>0</v>
      </c>
      <c r="H62" s="8">
        <f t="shared" si="7"/>
        <v>0</v>
      </c>
      <c r="I62" s="8">
        <f t="shared" si="8"/>
        <v>0</v>
      </c>
      <c r="J62" s="9">
        <v>0</v>
      </c>
      <c r="K62" s="9">
        <v>0</v>
      </c>
      <c r="L62" s="8">
        <f t="shared" si="9"/>
        <v>0</v>
      </c>
      <c r="M62" s="8">
        <f t="shared" si="10"/>
        <v>0</v>
      </c>
      <c r="N62" s="8">
        <f t="shared" si="11"/>
        <v>0</v>
      </c>
      <c r="O62" s="8">
        <f t="shared" si="12"/>
        <v>0</v>
      </c>
      <c r="P62" s="10" t="str">
        <f t="shared" si="13"/>
        <v>OK</v>
      </c>
    </row>
    <row r="63" spans="1:16">
      <c r="A63" s="17" t="s">
        <v>178</v>
      </c>
      <c r="B63" s="5" t="s">
        <v>179</v>
      </c>
      <c r="C63" s="5" t="s">
        <v>180</v>
      </c>
      <c r="D63" s="5" t="s">
        <v>31</v>
      </c>
      <c r="E63" s="17" t="s">
        <v>123</v>
      </c>
      <c r="F63" s="18" t="s">
        <v>22</v>
      </c>
      <c r="G63" s="8">
        <v>0</v>
      </c>
      <c r="H63" s="8">
        <f t="shared" si="7"/>
        <v>0</v>
      </c>
      <c r="I63" s="8">
        <f t="shared" si="8"/>
        <v>0</v>
      </c>
      <c r="J63" s="9">
        <v>0</v>
      </c>
      <c r="K63" s="9">
        <v>0</v>
      </c>
      <c r="L63" s="8">
        <f t="shared" si="9"/>
        <v>0</v>
      </c>
      <c r="M63" s="8">
        <f t="shared" si="10"/>
        <v>0</v>
      </c>
      <c r="N63" s="8">
        <f t="shared" si="11"/>
        <v>0</v>
      </c>
      <c r="O63" s="8">
        <f t="shared" si="12"/>
        <v>0</v>
      </c>
      <c r="P63" s="10" t="str">
        <f t="shared" si="13"/>
        <v>OK</v>
      </c>
    </row>
    <row r="64" spans="1:16">
      <c r="A64" s="17" t="s">
        <v>181</v>
      </c>
      <c r="B64" s="5" t="s">
        <v>182</v>
      </c>
      <c r="C64" s="5" t="s">
        <v>183</v>
      </c>
      <c r="D64" s="5" t="s">
        <v>31</v>
      </c>
      <c r="E64" s="17" t="s">
        <v>123</v>
      </c>
      <c r="F64" s="18" t="s">
        <v>22</v>
      </c>
      <c r="G64" s="8">
        <v>0</v>
      </c>
      <c r="H64" s="8">
        <f t="shared" si="7"/>
        <v>0</v>
      </c>
      <c r="I64" s="8">
        <f t="shared" si="8"/>
        <v>0</v>
      </c>
      <c r="J64" s="9">
        <v>0</v>
      </c>
      <c r="K64" s="9">
        <v>0</v>
      </c>
      <c r="L64" s="8">
        <f t="shared" si="9"/>
        <v>0</v>
      </c>
      <c r="M64" s="8">
        <f t="shared" si="10"/>
        <v>0</v>
      </c>
      <c r="N64" s="8">
        <f t="shared" si="11"/>
        <v>0</v>
      </c>
      <c r="O64" s="8">
        <f t="shared" si="12"/>
        <v>0</v>
      </c>
      <c r="P64" s="10" t="str">
        <f t="shared" si="13"/>
        <v>OK</v>
      </c>
    </row>
    <row r="65" spans="1:16">
      <c r="A65" s="17">
        <v>169</v>
      </c>
      <c r="B65" s="5" t="s">
        <v>184</v>
      </c>
      <c r="C65" s="5" t="s">
        <v>185</v>
      </c>
      <c r="D65" s="5" t="s">
        <v>31</v>
      </c>
      <c r="E65" s="17" t="s">
        <v>123</v>
      </c>
      <c r="F65" s="18" t="s">
        <v>22</v>
      </c>
      <c r="G65" s="8">
        <v>0</v>
      </c>
      <c r="H65" s="8">
        <f t="shared" si="7"/>
        <v>0</v>
      </c>
      <c r="I65" s="8">
        <f t="shared" si="8"/>
        <v>0</v>
      </c>
      <c r="J65" s="9">
        <v>0</v>
      </c>
      <c r="K65" s="9">
        <v>0</v>
      </c>
      <c r="L65" s="8">
        <f t="shared" si="9"/>
        <v>0</v>
      </c>
      <c r="M65" s="8">
        <f t="shared" si="10"/>
        <v>0</v>
      </c>
      <c r="N65" s="8">
        <f t="shared" si="11"/>
        <v>0</v>
      </c>
      <c r="O65" s="8">
        <f t="shared" si="12"/>
        <v>0</v>
      </c>
      <c r="P65" s="10" t="str">
        <f t="shared" si="13"/>
        <v>OK</v>
      </c>
    </row>
    <row r="66" spans="1:16">
      <c r="A66" s="17" t="s">
        <v>186</v>
      </c>
      <c r="B66" s="5" t="s">
        <v>187</v>
      </c>
      <c r="C66" s="5" t="s">
        <v>188</v>
      </c>
      <c r="D66" s="5" t="s">
        <v>31</v>
      </c>
      <c r="E66" s="17" t="s">
        <v>123</v>
      </c>
      <c r="F66" s="18" t="s">
        <v>22</v>
      </c>
      <c r="G66" s="8">
        <v>0</v>
      </c>
      <c r="H66" s="8">
        <f t="shared" si="7"/>
        <v>0</v>
      </c>
      <c r="I66" s="8">
        <f t="shared" si="8"/>
        <v>0</v>
      </c>
      <c r="J66" s="9">
        <v>0</v>
      </c>
      <c r="K66" s="9">
        <v>0</v>
      </c>
      <c r="L66" s="8">
        <f t="shared" si="9"/>
        <v>0</v>
      </c>
      <c r="M66" s="8">
        <f t="shared" si="10"/>
        <v>0</v>
      </c>
      <c r="N66" s="8">
        <f t="shared" si="11"/>
        <v>0</v>
      </c>
      <c r="O66" s="8">
        <f t="shared" si="12"/>
        <v>0</v>
      </c>
      <c r="P66" s="10" t="str">
        <f t="shared" si="13"/>
        <v>OK</v>
      </c>
    </row>
    <row r="67" spans="1:16">
      <c r="A67" s="17" t="s">
        <v>189</v>
      </c>
      <c r="B67" s="5" t="s">
        <v>190</v>
      </c>
      <c r="C67" s="5" t="s">
        <v>191</v>
      </c>
      <c r="D67" s="5" t="s">
        <v>31</v>
      </c>
      <c r="E67" s="17" t="s">
        <v>123</v>
      </c>
      <c r="F67" s="18" t="s">
        <v>22</v>
      </c>
      <c r="G67" s="8">
        <v>0</v>
      </c>
      <c r="H67" s="8">
        <f t="shared" ref="H67:H98" si="14">SUM(F67:F67)*24</f>
        <v>0</v>
      </c>
      <c r="I67" s="8">
        <f t="shared" ref="I67:I98" si="15">SUM(F67:F67)*24</f>
        <v>0</v>
      </c>
      <c r="J67" s="9">
        <v>0</v>
      </c>
      <c r="K67" s="9">
        <v>0</v>
      </c>
      <c r="L67" s="8">
        <f t="shared" ref="L67:L98" si="16">COUNTIF(F67:F67,"ABS")</f>
        <v>0</v>
      </c>
      <c r="M67" s="8">
        <f t="shared" ref="M67:M98" si="17">COUNTIF(F67:F67,"Congé")</f>
        <v>0</v>
      </c>
      <c r="N67" s="8">
        <f t="shared" ref="N67:N98" si="18">COUNTIF(F67:F67,"Férié")</f>
        <v>0</v>
      </c>
      <c r="O67" s="8">
        <f t="shared" ref="O67:O98" si="19">I67+J67+K67+(N67*8.5)</f>
        <v>0</v>
      </c>
      <c r="P67" s="10" t="str">
        <f t="shared" ref="P67:P98" si="20">IF(COUNTIF(F67:F67,"STC")&gt;0,"STC",IF(IFERROR(ISNUMBER(SEARCH("!",F67)),FALSE),"À vérifier","OK"))</f>
        <v>OK</v>
      </c>
    </row>
    <row r="68" spans="1:16">
      <c r="A68" s="17" t="s">
        <v>192</v>
      </c>
      <c r="B68" s="5" t="s">
        <v>193</v>
      </c>
      <c r="C68" s="5" t="s">
        <v>194</v>
      </c>
      <c r="D68" s="5" t="s">
        <v>31</v>
      </c>
      <c r="E68" s="17" t="s">
        <v>123</v>
      </c>
      <c r="F68" s="18" t="s">
        <v>22</v>
      </c>
      <c r="G68" s="8">
        <v>0</v>
      </c>
      <c r="H68" s="8">
        <f t="shared" si="14"/>
        <v>0</v>
      </c>
      <c r="I68" s="8">
        <f t="shared" si="15"/>
        <v>0</v>
      </c>
      <c r="J68" s="9">
        <v>0</v>
      </c>
      <c r="K68" s="9">
        <v>0</v>
      </c>
      <c r="L68" s="8">
        <f t="shared" si="16"/>
        <v>0</v>
      </c>
      <c r="M68" s="8">
        <f t="shared" si="17"/>
        <v>0</v>
      </c>
      <c r="N68" s="8">
        <f t="shared" si="18"/>
        <v>0</v>
      </c>
      <c r="O68" s="8">
        <f t="shared" si="19"/>
        <v>0</v>
      </c>
      <c r="P68" s="10" t="str">
        <f t="shared" si="20"/>
        <v>OK</v>
      </c>
    </row>
    <row r="69" spans="1:16">
      <c r="A69" s="17">
        <v>166</v>
      </c>
      <c r="B69" s="5" t="s">
        <v>195</v>
      </c>
      <c r="C69" s="5" t="s">
        <v>196</v>
      </c>
      <c r="D69" s="5" t="s">
        <v>31</v>
      </c>
      <c r="E69" s="17" t="s">
        <v>123</v>
      </c>
      <c r="F69" s="18" t="s">
        <v>22</v>
      </c>
      <c r="G69" s="8">
        <v>0</v>
      </c>
      <c r="H69" s="8">
        <f t="shared" si="14"/>
        <v>0</v>
      </c>
      <c r="I69" s="8">
        <f t="shared" si="15"/>
        <v>0</v>
      </c>
      <c r="J69" s="9">
        <v>0</v>
      </c>
      <c r="K69" s="9">
        <v>0</v>
      </c>
      <c r="L69" s="8">
        <f t="shared" si="16"/>
        <v>0</v>
      </c>
      <c r="M69" s="8">
        <f t="shared" si="17"/>
        <v>0</v>
      </c>
      <c r="N69" s="8">
        <f t="shared" si="18"/>
        <v>0</v>
      </c>
      <c r="O69" s="8">
        <f t="shared" si="19"/>
        <v>0</v>
      </c>
      <c r="P69" s="10" t="str">
        <f t="shared" si="20"/>
        <v>OK</v>
      </c>
    </row>
    <row r="70" spans="1:16">
      <c r="A70" s="17" t="s">
        <v>197</v>
      </c>
      <c r="B70" s="5" t="s">
        <v>195</v>
      </c>
      <c r="C70" s="5" t="s">
        <v>198</v>
      </c>
      <c r="D70" s="5" t="s">
        <v>31</v>
      </c>
      <c r="E70" s="17" t="s">
        <v>123</v>
      </c>
      <c r="F70" s="18" t="s">
        <v>22</v>
      </c>
      <c r="G70" s="8">
        <v>0</v>
      </c>
      <c r="H70" s="8">
        <f t="shared" si="14"/>
        <v>0</v>
      </c>
      <c r="I70" s="8">
        <f t="shared" si="15"/>
        <v>0</v>
      </c>
      <c r="J70" s="9">
        <v>0</v>
      </c>
      <c r="K70" s="9">
        <v>0</v>
      </c>
      <c r="L70" s="8">
        <f t="shared" si="16"/>
        <v>0</v>
      </c>
      <c r="M70" s="8">
        <f t="shared" si="17"/>
        <v>0</v>
      </c>
      <c r="N70" s="8">
        <f t="shared" si="18"/>
        <v>0</v>
      </c>
      <c r="O70" s="8">
        <f t="shared" si="19"/>
        <v>0</v>
      </c>
      <c r="P70" s="10" t="str">
        <f t="shared" si="20"/>
        <v>OK</v>
      </c>
    </row>
    <row r="71" spans="1:16">
      <c r="A71" s="17" t="s">
        <v>199</v>
      </c>
      <c r="B71" s="5" t="s">
        <v>195</v>
      </c>
      <c r="C71" s="5" t="s">
        <v>200</v>
      </c>
      <c r="D71" s="5" t="s">
        <v>31</v>
      </c>
      <c r="E71" s="17" t="s">
        <v>123</v>
      </c>
      <c r="F71" s="18" t="s">
        <v>22</v>
      </c>
      <c r="G71" s="8">
        <v>0</v>
      </c>
      <c r="H71" s="8">
        <f t="shared" si="14"/>
        <v>0</v>
      </c>
      <c r="I71" s="8">
        <f t="shared" si="15"/>
        <v>0</v>
      </c>
      <c r="J71" s="9">
        <v>0</v>
      </c>
      <c r="K71" s="9">
        <v>0</v>
      </c>
      <c r="L71" s="8">
        <f t="shared" si="16"/>
        <v>0</v>
      </c>
      <c r="M71" s="8">
        <f t="shared" si="17"/>
        <v>0</v>
      </c>
      <c r="N71" s="8">
        <f t="shared" si="18"/>
        <v>0</v>
      </c>
      <c r="O71" s="8">
        <f t="shared" si="19"/>
        <v>0</v>
      </c>
      <c r="P71" s="10" t="str">
        <f t="shared" si="20"/>
        <v>OK</v>
      </c>
    </row>
    <row r="72" spans="1:16">
      <c r="A72" s="17" t="s">
        <v>201</v>
      </c>
      <c r="B72" s="5" t="s">
        <v>195</v>
      </c>
      <c r="C72" s="5" t="s">
        <v>202</v>
      </c>
      <c r="D72" s="5" t="s">
        <v>31</v>
      </c>
      <c r="E72" s="17" t="s">
        <v>123</v>
      </c>
      <c r="F72" s="18" t="s">
        <v>22</v>
      </c>
      <c r="G72" s="8">
        <v>0</v>
      </c>
      <c r="H72" s="8">
        <f t="shared" si="14"/>
        <v>0</v>
      </c>
      <c r="I72" s="8">
        <f t="shared" si="15"/>
        <v>0</v>
      </c>
      <c r="J72" s="9">
        <v>0</v>
      </c>
      <c r="K72" s="9">
        <v>0</v>
      </c>
      <c r="L72" s="8">
        <f t="shared" si="16"/>
        <v>0</v>
      </c>
      <c r="M72" s="8">
        <f t="shared" si="17"/>
        <v>0</v>
      </c>
      <c r="N72" s="8">
        <f t="shared" si="18"/>
        <v>0</v>
      </c>
      <c r="O72" s="8">
        <f t="shared" si="19"/>
        <v>0</v>
      </c>
      <c r="P72" s="10" t="str">
        <f t="shared" si="20"/>
        <v>OK</v>
      </c>
    </row>
    <row r="73" spans="1:16">
      <c r="A73" s="17" t="s">
        <v>203</v>
      </c>
      <c r="B73" s="5" t="s">
        <v>204</v>
      </c>
      <c r="C73" s="5" t="s">
        <v>205</v>
      </c>
      <c r="D73" s="5" t="s">
        <v>31</v>
      </c>
      <c r="E73" s="17" t="s">
        <v>123</v>
      </c>
      <c r="F73" s="18" t="s">
        <v>22</v>
      </c>
      <c r="G73" s="8">
        <v>0</v>
      </c>
      <c r="H73" s="8">
        <f t="shared" si="14"/>
        <v>0</v>
      </c>
      <c r="I73" s="8">
        <f t="shared" si="15"/>
        <v>0</v>
      </c>
      <c r="J73" s="9">
        <v>0</v>
      </c>
      <c r="K73" s="9">
        <v>0</v>
      </c>
      <c r="L73" s="8">
        <f t="shared" si="16"/>
        <v>0</v>
      </c>
      <c r="M73" s="8">
        <f t="shared" si="17"/>
        <v>0</v>
      </c>
      <c r="N73" s="8">
        <f t="shared" si="18"/>
        <v>0</v>
      </c>
      <c r="O73" s="8">
        <f t="shared" si="19"/>
        <v>0</v>
      </c>
      <c r="P73" s="10" t="str">
        <f t="shared" si="20"/>
        <v>OK</v>
      </c>
    </row>
    <row r="74" spans="1:16">
      <c r="A74" s="17" t="s">
        <v>206</v>
      </c>
      <c r="B74" s="5" t="s">
        <v>207</v>
      </c>
      <c r="C74" s="5" t="s">
        <v>208</v>
      </c>
      <c r="D74" s="5" t="s">
        <v>31</v>
      </c>
      <c r="E74" s="17" t="s">
        <v>123</v>
      </c>
      <c r="F74" s="18" t="s">
        <v>22</v>
      </c>
      <c r="G74" s="8">
        <v>0</v>
      </c>
      <c r="H74" s="8">
        <f t="shared" si="14"/>
        <v>0</v>
      </c>
      <c r="I74" s="8">
        <f t="shared" si="15"/>
        <v>0</v>
      </c>
      <c r="J74" s="9">
        <v>0</v>
      </c>
      <c r="K74" s="9">
        <v>0</v>
      </c>
      <c r="L74" s="8">
        <f t="shared" si="16"/>
        <v>0</v>
      </c>
      <c r="M74" s="8">
        <f t="shared" si="17"/>
        <v>0</v>
      </c>
      <c r="N74" s="8">
        <f t="shared" si="18"/>
        <v>0</v>
      </c>
      <c r="O74" s="8">
        <f t="shared" si="19"/>
        <v>0</v>
      </c>
      <c r="P74" s="10" t="str">
        <f t="shared" si="20"/>
        <v>OK</v>
      </c>
    </row>
    <row r="75" spans="1:16">
      <c r="A75" s="17" t="s">
        <v>209</v>
      </c>
      <c r="B75" s="5" t="s">
        <v>210</v>
      </c>
      <c r="C75" s="5" t="s">
        <v>211</v>
      </c>
      <c r="D75" s="5" t="s">
        <v>31</v>
      </c>
      <c r="E75" s="17" t="s">
        <v>123</v>
      </c>
      <c r="F75" s="18" t="s">
        <v>22</v>
      </c>
      <c r="G75" s="8">
        <v>0</v>
      </c>
      <c r="H75" s="8">
        <f t="shared" si="14"/>
        <v>0</v>
      </c>
      <c r="I75" s="8">
        <f t="shared" si="15"/>
        <v>0</v>
      </c>
      <c r="J75" s="9">
        <v>0</v>
      </c>
      <c r="K75" s="9">
        <v>0</v>
      </c>
      <c r="L75" s="8">
        <f t="shared" si="16"/>
        <v>0</v>
      </c>
      <c r="M75" s="8">
        <f t="shared" si="17"/>
        <v>0</v>
      </c>
      <c r="N75" s="8">
        <f t="shared" si="18"/>
        <v>0</v>
      </c>
      <c r="O75" s="8">
        <f t="shared" si="19"/>
        <v>0</v>
      </c>
      <c r="P75" s="10" t="str">
        <f t="shared" si="20"/>
        <v>OK</v>
      </c>
    </row>
    <row r="76" spans="1:16">
      <c r="A76" s="17">
        <v>244</v>
      </c>
      <c r="B76" s="5" t="s">
        <v>212</v>
      </c>
      <c r="C76" s="5" t="s">
        <v>163</v>
      </c>
      <c r="D76" s="5" t="s">
        <v>31</v>
      </c>
      <c r="E76" s="17" t="s">
        <v>123</v>
      </c>
      <c r="F76" s="18" t="s">
        <v>22</v>
      </c>
      <c r="G76" s="8">
        <v>0</v>
      </c>
      <c r="H76" s="8">
        <f t="shared" si="14"/>
        <v>0</v>
      </c>
      <c r="I76" s="8">
        <f t="shared" si="15"/>
        <v>0</v>
      </c>
      <c r="J76" s="9">
        <v>0</v>
      </c>
      <c r="K76" s="9">
        <v>0</v>
      </c>
      <c r="L76" s="8">
        <f t="shared" si="16"/>
        <v>0</v>
      </c>
      <c r="M76" s="8">
        <f t="shared" si="17"/>
        <v>0</v>
      </c>
      <c r="N76" s="8">
        <f t="shared" si="18"/>
        <v>0</v>
      </c>
      <c r="O76" s="8">
        <f t="shared" si="19"/>
        <v>0</v>
      </c>
      <c r="P76" s="10" t="str">
        <f t="shared" si="20"/>
        <v>OK</v>
      </c>
    </row>
    <row r="77" spans="1:16">
      <c r="A77" s="17" t="s">
        <v>213</v>
      </c>
      <c r="B77" s="5" t="s">
        <v>214</v>
      </c>
      <c r="C77" s="5" t="s">
        <v>61</v>
      </c>
      <c r="D77" s="5" t="s">
        <v>31</v>
      </c>
      <c r="E77" s="17" t="s">
        <v>123</v>
      </c>
      <c r="F77" s="18" t="s">
        <v>22</v>
      </c>
      <c r="G77" s="8">
        <v>0</v>
      </c>
      <c r="H77" s="8">
        <f t="shared" si="14"/>
        <v>0</v>
      </c>
      <c r="I77" s="8">
        <f t="shared" si="15"/>
        <v>0</v>
      </c>
      <c r="J77" s="9">
        <v>0</v>
      </c>
      <c r="K77" s="9">
        <v>0</v>
      </c>
      <c r="L77" s="8">
        <f t="shared" si="16"/>
        <v>0</v>
      </c>
      <c r="M77" s="8">
        <f t="shared" si="17"/>
        <v>0</v>
      </c>
      <c r="N77" s="8">
        <f t="shared" si="18"/>
        <v>0</v>
      </c>
      <c r="O77" s="8">
        <f t="shared" si="19"/>
        <v>0</v>
      </c>
      <c r="P77" s="10" t="str">
        <f t="shared" si="20"/>
        <v>OK</v>
      </c>
    </row>
    <row r="78" spans="1:16">
      <c r="A78" s="17">
        <v>183</v>
      </c>
      <c r="B78" s="5" t="s">
        <v>215</v>
      </c>
      <c r="C78" s="5" t="s">
        <v>216</v>
      </c>
      <c r="D78" s="5" t="s">
        <v>31</v>
      </c>
      <c r="E78" s="17" t="s">
        <v>123</v>
      </c>
      <c r="F78" s="18" t="s">
        <v>22</v>
      </c>
      <c r="G78" s="8">
        <v>0</v>
      </c>
      <c r="H78" s="8">
        <f t="shared" si="14"/>
        <v>0</v>
      </c>
      <c r="I78" s="8">
        <f t="shared" si="15"/>
        <v>0</v>
      </c>
      <c r="J78" s="9">
        <v>0</v>
      </c>
      <c r="K78" s="9">
        <v>0</v>
      </c>
      <c r="L78" s="8">
        <f t="shared" si="16"/>
        <v>0</v>
      </c>
      <c r="M78" s="8">
        <f t="shared" si="17"/>
        <v>0</v>
      </c>
      <c r="N78" s="8">
        <f t="shared" si="18"/>
        <v>0</v>
      </c>
      <c r="O78" s="8">
        <f t="shared" si="19"/>
        <v>0</v>
      </c>
      <c r="P78" s="10" t="str">
        <f t="shared" si="20"/>
        <v>OK</v>
      </c>
    </row>
    <row r="79" spans="1:16">
      <c r="A79" s="17">
        <v>234</v>
      </c>
      <c r="B79" s="5" t="s">
        <v>217</v>
      </c>
      <c r="C79" s="5" t="s">
        <v>218</v>
      </c>
      <c r="D79" s="5" t="s">
        <v>31</v>
      </c>
      <c r="E79" s="17" t="s">
        <v>123</v>
      </c>
      <c r="F79" s="18" t="s">
        <v>22</v>
      </c>
      <c r="G79" s="8">
        <v>0</v>
      </c>
      <c r="H79" s="8">
        <f t="shared" si="14"/>
        <v>0</v>
      </c>
      <c r="I79" s="8">
        <f t="shared" si="15"/>
        <v>0</v>
      </c>
      <c r="J79" s="9">
        <v>0</v>
      </c>
      <c r="K79" s="9">
        <v>0</v>
      </c>
      <c r="L79" s="8">
        <f t="shared" si="16"/>
        <v>0</v>
      </c>
      <c r="M79" s="8">
        <f t="shared" si="17"/>
        <v>0</v>
      </c>
      <c r="N79" s="8">
        <f t="shared" si="18"/>
        <v>0</v>
      </c>
      <c r="O79" s="8">
        <f t="shared" si="19"/>
        <v>0</v>
      </c>
      <c r="P79" s="10" t="str">
        <f t="shared" si="20"/>
        <v>OK</v>
      </c>
    </row>
    <row r="80" spans="1:16">
      <c r="A80" s="17" t="s">
        <v>219</v>
      </c>
      <c r="B80" s="5" t="s">
        <v>220</v>
      </c>
      <c r="C80" s="5" t="s">
        <v>221</v>
      </c>
      <c r="D80" s="5" t="s">
        <v>31</v>
      </c>
      <c r="E80" s="17" t="s">
        <v>123</v>
      </c>
      <c r="F80" s="18" t="s">
        <v>22</v>
      </c>
      <c r="G80" s="8">
        <v>0</v>
      </c>
      <c r="H80" s="8">
        <f t="shared" si="14"/>
        <v>0</v>
      </c>
      <c r="I80" s="8">
        <f t="shared" si="15"/>
        <v>0</v>
      </c>
      <c r="J80" s="9">
        <v>0</v>
      </c>
      <c r="K80" s="9">
        <v>0</v>
      </c>
      <c r="L80" s="8">
        <f t="shared" si="16"/>
        <v>0</v>
      </c>
      <c r="M80" s="8">
        <f t="shared" si="17"/>
        <v>0</v>
      </c>
      <c r="N80" s="8">
        <f t="shared" si="18"/>
        <v>0</v>
      </c>
      <c r="O80" s="8">
        <f t="shared" si="19"/>
        <v>0</v>
      </c>
      <c r="P80" s="10" t="str">
        <f t="shared" si="20"/>
        <v>OK</v>
      </c>
    </row>
    <row r="81" spans="1:16">
      <c r="A81" s="17" t="s">
        <v>222</v>
      </c>
      <c r="B81" s="5" t="s">
        <v>223</v>
      </c>
      <c r="C81" s="5" t="s">
        <v>19</v>
      </c>
      <c r="D81" s="5" t="s">
        <v>31</v>
      </c>
      <c r="E81" s="17" t="s">
        <v>123</v>
      </c>
      <c r="F81" s="18" t="s">
        <v>22</v>
      </c>
      <c r="G81" s="8">
        <v>0</v>
      </c>
      <c r="H81" s="8">
        <f t="shared" si="14"/>
        <v>0</v>
      </c>
      <c r="I81" s="8">
        <f t="shared" si="15"/>
        <v>0</v>
      </c>
      <c r="J81" s="9">
        <v>0</v>
      </c>
      <c r="K81" s="9">
        <v>0</v>
      </c>
      <c r="L81" s="8">
        <f t="shared" si="16"/>
        <v>0</v>
      </c>
      <c r="M81" s="8">
        <f t="shared" si="17"/>
        <v>0</v>
      </c>
      <c r="N81" s="8">
        <f t="shared" si="18"/>
        <v>0</v>
      </c>
      <c r="O81" s="8">
        <f t="shared" si="19"/>
        <v>0</v>
      </c>
      <c r="P81" s="10" t="str">
        <f t="shared" si="20"/>
        <v>OK</v>
      </c>
    </row>
    <row r="82" spans="1:16">
      <c r="A82" s="17">
        <v>118</v>
      </c>
      <c r="B82" s="5" t="s">
        <v>224</v>
      </c>
      <c r="C82" s="5" t="s">
        <v>225</v>
      </c>
      <c r="D82" s="5" t="s">
        <v>31</v>
      </c>
      <c r="E82" s="17" t="s">
        <v>123</v>
      </c>
      <c r="F82" s="18" t="s">
        <v>22</v>
      </c>
      <c r="G82" s="8">
        <v>0</v>
      </c>
      <c r="H82" s="8">
        <f t="shared" si="14"/>
        <v>0</v>
      </c>
      <c r="I82" s="8">
        <f t="shared" si="15"/>
        <v>0</v>
      </c>
      <c r="J82" s="9">
        <v>0</v>
      </c>
      <c r="K82" s="9">
        <v>0</v>
      </c>
      <c r="L82" s="8">
        <f t="shared" si="16"/>
        <v>0</v>
      </c>
      <c r="M82" s="8">
        <f t="shared" si="17"/>
        <v>0</v>
      </c>
      <c r="N82" s="8">
        <f t="shared" si="18"/>
        <v>0</v>
      </c>
      <c r="O82" s="8">
        <f t="shared" si="19"/>
        <v>0</v>
      </c>
      <c r="P82" s="10" t="str">
        <f t="shared" si="20"/>
        <v>OK</v>
      </c>
    </row>
    <row r="83" spans="1:16">
      <c r="A83" s="17">
        <v>199</v>
      </c>
      <c r="B83" s="5" t="s">
        <v>226</v>
      </c>
      <c r="C83" s="5" t="s">
        <v>227</v>
      </c>
      <c r="D83" s="5" t="s">
        <v>31</v>
      </c>
      <c r="E83" s="17" t="s">
        <v>123</v>
      </c>
      <c r="F83" s="18" t="s">
        <v>22</v>
      </c>
      <c r="G83" s="8">
        <v>0</v>
      </c>
      <c r="H83" s="8">
        <f t="shared" si="14"/>
        <v>0</v>
      </c>
      <c r="I83" s="8">
        <f t="shared" si="15"/>
        <v>0</v>
      </c>
      <c r="J83" s="9">
        <v>0</v>
      </c>
      <c r="K83" s="9">
        <v>0</v>
      </c>
      <c r="L83" s="8">
        <f t="shared" si="16"/>
        <v>0</v>
      </c>
      <c r="M83" s="8">
        <f t="shared" si="17"/>
        <v>0</v>
      </c>
      <c r="N83" s="8">
        <f t="shared" si="18"/>
        <v>0</v>
      </c>
      <c r="O83" s="8">
        <f t="shared" si="19"/>
        <v>0</v>
      </c>
      <c r="P83" s="10" t="str">
        <f t="shared" si="20"/>
        <v>OK</v>
      </c>
    </row>
    <row r="84" spans="1:16">
      <c r="A84" s="17" t="s">
        <v>228</v>
      </c>
      <c r="B84" s="5" t="s">
        <v>226</v>
      </c>
      <c r="C84" s="5" t="s">
        <v>229</v>
      </c>
      <c r="D84" s="5" t="s">
        <v>31</v>
      </c>
      <c r="E84" s="17" t="s">
        <v>123</v>
      </c>
      <c r="F84" s="18" t="s">
        <v>22</v>
      </c>
      <c r="G84" s="8">
        <v>0</v>
      </c>
      <c r="H84" s="8">
        <f t="shared" si="14"/>
        <v>0</v>
      </c>
      <c r="I84" s="8">
        <f t="shared" si="15"/>
        <v>0</v>
      </c>
      <c r="J84" s="9">
        <v>0</v>
      </c>
      <c r="K84" s="9">
        <v>0</v>
      </c>
      <c r="L84" s="8">
        <f t="shared" si="16"/>
        <v>0</v>
      </c>
      <c r="M84" s="8">
        <f t="shared" si="17"/>
        <v>0</v>
      </c>
      <c r="N84" s="8">
        <f t="shared" si="18"/>
        <v>0</v>
      </c>
      <c r="O84" s="8">
        <f t="shared" si="19"/>
        <v>0</v>
      </c>
      <c r="P84" s="10" t="str">
        <f t="shared" si="20"/>
        <v>OK</v>
      </c>
    </row>
    <row r="85" spans="1:16">
      <c r="A85" s="17">
        <v>243</v>
      </c>
      <c r="B85" s="5" t="s">
        <v>230</v>
      </c>
      <c r="C85" s="5" t="s">
        <v>205</v>
      </c>
      <c r="D85" s="5" t="s">
        <v>31</v>
      </c>
      <c r="E85" s="17" t="s">
        <v>123</v>
      </c>
      <c r="F85" s="18" t="s">
        <v>22</v>
      </c>
      <c r="G85" s="8">
        <v>0</v>
      </c>
      <c r="H85" s="8">
        <f t="shared" si="14"/>
        <v>0</v>
      </c>
      <c r="I85" s="8">
        <f t="shared" si="15"/>
        <v>0</v>
      </c>
      <c r="J85" s="9">
        <v>0</v>
      </c>
      <c r="K85" s="9">
        <v>0</v>
      </c>
      <c r="L85" s="8">
        <f t="shared" si="16"/>
        <v>0</v>
      </c>
      <c r="M85" s="8">
        <f t="shared" si="17"/>
        <v>0</v>
      </c>
      <c r="N85" s="8">
        <f t="shared" si="18"/>
        <v>0</v>
      </c>
      <c r="O85" s="8">
        <f t="shared" si="19"/>
        <v>0</v>
      </c>
      <c r="P85" s="10" t="str">
        <f t="shared" si="20"/>
        <v>OK</v>
      </c>
    </row>
    <row r="86" spans="1:16">
      <c r="A86" s="17" t="s">
        <v>231</v>
      </c>
      <c r="B86" s="5" t="s">
        <v>232</v>
      </c>
      <c r="C86" s="5" t="s">
        <v>233</v>
      </c>
      <c r="D86" s="5" t="s">
        <v>31</v>
      </c>
      <c r="E86" s="17" t="s">
        <v>123</v>
      </c>
      <c r="F86" s="18" t="s">
        <v>22</v>
      </c>
      <c r="G86" s="8">
        <v>0</v>
      </c>
      <c r="H86" s="8">
        <f t="shared" si="14"/>
        <v>0</v>
      </c>
      <c r="I86" s="8">
        <f t="shared" si="15"/>
        <v>0</v>
      </c>
      <c r="J86" s="9">
        <v>0</v>
      </c>
      <c r="K86" s="9">
        <v>0</v>
      </c>
      <c r="L86" s="8">
        <f t="shared" si="16"/>
        <v>0</v>
      </c>
      <c r="M86" s="8">
        <f t="shared" si="17"/>
        <v>0</v>
      </c>
      <c r="N86" s="8">
        <f t="shared" si="18"/>
        <v>0</v>
      </c>
      <c r="O86" s="8">
        <f t="shared" si="19"/>
        <v>0</v>
      </c>
      <c r="P86" s="10" t="str">
        <f t="shared" si="20"/>
        <v>OK</v>
      </c>
    </row>
    <row r="87" spans="1:16">
      <c r="A87" s="17">
        <v>96</v>
      </c>
      <c r="B87" s="5" t="s">
        <v>232</v>
      </c>
      <c r="C87" s="5" t="s">
        <v>234</v>
      </c>
      <c r="D87" s="5" t="s">
        <v>31</v>
      </c>
      <c r="E87" s="17" t="s">
        <v>123</v>
      </c>
      <c r="F87" s="18" t="s">
        <v>22</v>
      </c>
      <c r="G87" s="8">
        <v>0</v>
      </c>
      <c r="H87" s="8">
        <f t="shared" si="14"/>
        <v>0</v>
      </c>
      <c r="I87" s="8">
        <f t="shared" si="15"/>
        <v>0</v>
      </c>
      <c r="J87" s="9">
        <v>0</v>
      </c>
      <c r="K87" s="9">
        <v>0</v>
      </c>
      <c r="L87" s="8">
        <f t="shared" si="16"/>
        <v>0</v>
      </c>
      <c r="M87" s="8">
        <f t="shared" si="17"/>
        <v>0</v>
      </c>
      <c r="N87" s="8">
        <f t="shared" si="18"/>
        <v>0</v>
      </c>
      <c r="O87" s="8">
        <f t="shared" si="19"/>
        <v>0</v>
      </c>
      <c r="P87" s="10" t="str">
        <f t="shared" si="20"/>
        <v>OK</v>
      </c>
    </row>
    <row r="88" spans="1:16">
      <c r="A88" s="17" t="s">
        <v>235</v>
      </c>
      <c r="B88" s="5" t="s">
        <v>232</v>
      </c>
      <c r="C88" s="5" t="s">
        <v>236</v>
      </c>
      <c r="D88" s="5" t="s">
        <v>31</v>
      </c>
      <c r="E88" s="17" t="s">
        <v>123</v>
      </c>
      <c r="F88" s="18" t="s">
        <v>22</v>
      </c>
      <c r="G88" s="8">
        <v>0</v>
      </c>
      <c r="H88" s="8">
        <f t="shared" si="14"/>
        <v>0</v>
      </c>
      <c r="I88" s="8">
        <f t="shared" si="15"/>
        <v>0</v>
      </c>
      <c r="J88" s="9">
        <v>0</v>
      </c>
      <c r="K88" s="9">
        <v>0</v>
      </c>
      <c r="L88" s="8">
        <f t="shared" si="16"/>
        <v>0</v>
      </c>
      <c r="M88" s="8">
        <f t="shared" si="17"/>
        <v>0</v>
      </c>
      <c r="N88" s="8">
        <f t="shared" si="18"/>
        <v>0</v>
      </c>
      <c r="O88" s="8">
        <f t="shared" si="19"/>
        <v>0</v>
      </c>
      <c r="P88" s="10" t="str">
        <f t="shared" si="20"/>
        <v>OK</v>
      </c>
    </row>
    <row r="89" spans="1:16">
      <c r="A89" s="17" t="s">
        <v>237</v>
      </c>
      <c r="B89" s="5" t="s">
        <v>238</v>
      </c>
      <c r="C89" s="5" t="s">
        <v>239</v>
      </c>
      <c r="D89" s="5" t="s">
        <v>31</v>
      </c>
      <c r="E89" s="17" t="s">
        <v>123</v>
      </c>
      <c r="F89" s="18" t="s">
        <v>22</v>
      </c>
      <c r="G89" s="8">
        <v>0</v>
      </c>
      <c r="H89" s="8">
        <f t="shared" si="14"/>
        <v>0</v>
      </c>
      <c r="I89" s="8">
        <f t="shared" si="15"/>
        <v>0</v>
      </c>
      <c r="J89" s="9">
        <v>0</v>
      </c>
      <c r="K89" s="9">
        <v>0</v>
      </c>
      <c r="L89" s="8">
        <f t="shared" si="16"/>
        <v>0</v>
      </c>
      <c r="M89" s="8">
        <f t="shared" si="17"/>
        <v>0</v>
      </c>
      <c r="N89" s="8">
        <f t="shared" si="18"/>
        <v>0</v>
      </c>
      <c r="O89" s="8">
        <f t="shared" si="19"/>
        <v>0</v>
      </c>
      <c r="P89" s="10" t="str">
        <f t="shared" si="20"/>
        <v>OK</v>
      </c>
    </row>
    <row r="90" spans="1:16">
      <c r="A90" s="17" t="s">
        <v>240</v>
      </c>
      <c r="B90" s="5" t="s">
        <v>241</v>
      </c>
      <c r="C90" s="5" t="s">
        <v>242</v>
      </c>
      <c r="D90" s="5" t="s">
        <v>31</v>
      </c>
      <c r="E90" s="17" t="s">
        <v>123</v>
      </c>
      <c r="F90" s="18" t="s">
        <v>22</v>
      </c>
      <c r="G90" s="8">
        <v>0</v>
      </c>
      <c r="H90" s="8">
        <f t="shared" si="14"/>
        <v>0</v>
      </c>
      <c r="I90" s="8">
        <f t="shared" si="15"/>
        <v>0</v>
      </c>
      <c r="J90" s="9">
        <v>0</v>
      </c>
      <c r="K90" s="9">
        <v>0</v>
      </c>
      <c r="L90" s="8">
        <f t="shared" si="16"/>
        <v>0</v>
      </c>
      <c r="M90" s="8">
        <f t="shared" si="17"/>
        <v>0</v>
      </c>
      <c r="N90" s="8">
        <f t="shared" si="18"/>
        <v>0</v>
      </c>
      <c r="O90" s="8">
        <f t="shared" si="19"/>
        <v>0</v>
      </c>
      <c r="P90" s="10" t="str">
        <f t="shared" si="20"/>
        <v>OK</v>
      </c>
    </row>
    <row r="91" spans="1:16">
      <c r="A91" s="17" t="s">
        <v>243</v>
      </c>
      <c r="B91" s="5" t="s">
        <v>244</v>
      </c>
      <c r="C91" s="5" t="s">
        <v>245</v>
      </c>
      <c r="D91" s="5" t="s">
        <v>31</v>
      </c>
      <c r="E91" s="17" t="s">
        <v>123</v>
      </c>
      <c r="F91" s="18" t="s">
        <v>22</v>
      </c>
      <c r="G91" s="8">
        <v>0</v>
      </c>
      <c r="H91" s="8">
        <f t="shared" si="14"/>
        <v>0</v>
      </c>
      <c r="I91" s="8">
        <f t="shared" si="15"/>
        <v>0</v>
      </c>
      <c r="J91" s="9">
        <v>0</v>
      </c>
      <c r="K91" s="9">
        <v>0</v>
      </c>
      <c r="L91" s="8">
        <f t="shared" si="16"/>
        <v>0</v>
      </c>
      <c r="M91" s="8">
        <f t="shared" si="17"/>
        <v>0</v>
      </c>
      <c r="N91" s="8">
        <f t="shared" si="18"/>
        <v>0</v>
      </c>
      <c r="O91" s="8">
        <f t="shared" si="19"/>
        <v>0</v>
      </c>
      <c r="P91" s="10" t="str">
        <f t="shared" si="20"/>
        <v>OK</v>
      </c>
    </row>
    <row r="92" spans="1:16">
      <c r="A92" s="17" t="s">
        <v>246</v>
      </c>
      <c r="B92" s="5" t="s">
        <v>247</v>
      </c>
      <c r="C92" s="5" t="s">
        <v>248</v>
      </c>
      <c r="D92" s="5" t="s">
        <v>31</v>
      </c>
      <c r="E92" s="17" t="s">
        <v>123</v>
      </c>
      <c r="F92" s="18" t="s">
        <v>22</v>
      </c>
      <c r="G92" s="8">
        <v>0</v>
      </c>
      <c r="H92" s="8">
        <f t="shared" si="14"/>
        <v>0</v>
      </c>
      <c r="I92" s="8">
        <f t="shared" si="15"/>
        <v>0</v>
      </c>
      <c r="J92" s="9">
        <v>0</v>
      </c>
      <c r="K92" s="9">
        <v>0</v>
      </c>
      <c r="L92" s="8">
        <f t="shared" si="16"/>
        <v>0</v>
      </c>
      <c r="M92" s="8">
        <f t="shared" si="17"/>
        <v>0</v>
      </c>
      <c r="N92" s="8">
        <f t="shared" si="18"/>
        <v>0</v>
      </c>
      <c r="O92" s="8">
        <f t="shared" si="19"/>
        <v>0</v>
      </c>
      <c r="P92" s="10" t="str">
        <f t="shared" si="20"/>
        <v>OK</v>
      </c>
    </row>
    <row r="93" spans="1:16">
      <c r="A93" s="17" t="s">
        <v>249</v>
      </c>
      <c r="B93" s="5" t="s">
        <v>250</v>
      </c>
      <c r="C93" s="5" t="s">
        <v>251</v>
      </c>
      <c r="D93" s="5" t="s">
        <v>31</v>
      </c>
      <c r="E93" s="17" t="s">
        <v>123</v>
      </c>
      <c r="F93" s="18" t="s">
        <v>22</v>
      </c>
      <c r="G93" s="8">
        <v>0</v>
      </c>
      <c r="H93" s="8">
        <f t="shared" si="14"/>
        <v>0</v>
      </c>
      <c r="I93" s="8">
        <f t="shared" si="15"/>
        <v>0</v>
      </c>
      <c r="J93" s="9">
        <v>0</v>
      </c>
      <c r="K93" s="9">
        <v>0</v>
      </c>
      <c r="L93" s="8">
        <f t="shared" si="16"/>
        <v>0</v>
      </c>
      <c r="M93" s="8">
        <f t="shared" si="17"/>
        <v>0</v>
      </c>
      <c r="N93" s="8">
        <f t="shared" si="18"/>
        <v>0</v>
      </c>
      <c r="O93" s="8">
        <f t="shared" si="19"/>
        <v>0</v>
      </c>
      <c r="P93" s="10" t="str">
        <f t="shared" si="20"/>
        <v>OK</v>
      </c>
    </row>
    <row r="94" spans="1:16">
      <c r="A94" s="17" t="s">
        <v>252</v>
      </c>
      <c r="B94" s="5" t="s">
        <v>253</v>
      </c>
      <c r="C94" s="5" t="s">
        <v>254</v>
      </c>
      <c r="D94" s="5" t="s">
        <v>31</v>
      </c>
      <c r="E94" s="17" t="s">
        <v>123</v>
      </c>
      <c r="F94" s="18" t="s">
        <v>22</v>
      </c>
      <c r="G94" s="8">
        <v>0</v>
      </c>
      <c r="H94" s="8">
        <f t="shared" si="14"/>
        <v>0</v>
      </c>
      <c r="I94" s="8">
        <f t="shared" si="15"/>
        <v>0</v>
      </c>
      <c r="J94" s="9">
        <v>0</v>
      </c>
      <c r="K94" s="9">
        <v>0</v>
      </c>
      <c r="L94" s="8">
        <f t="shared" si="16"/>
        <v>0</v>
      </c>
      <c r="M94" s="8">
        <f t="shared" si="17"/>
        <v>0</v>
      </c>
      <c r="N94" s="8">
        <f t="shared" si="18"/>
        <v>0</v>
      </c>
      <c r="O94" s="8">
        <f t="shared" si="19"/>
        <v>0</v>
      </c>
      <c r="P94" s="10" t="str">
        <f t="shared" si="20"/>
        <v>OK</v>
      </c>
    </row>
    <row r="95" spans="1:16">
      <c r="A95" s="17" t="s">
        <v>255</v>
      </c>
      <c r="B95" s="5" t="s">
        <v>256</v>
      </c>
      <c r="C95" s="5" t="s">
        <v>257</v>
      </c>
      <c r="D95" s="5" t="s">
        <v>31</v>
      </c>
      <c r="E95" s="17" t="s">
        <v>123</v>
      </c>
      <c r="F95" s="18" t="s">
        <v>22</v>
      </c>
      <c r="G95" s="8">
        <v>0</v>
      </c>
      <c r="H95" s="8">
        <f t="shared" si="14"/>
        <v>0</v>
      </c>
      <c r="I95" s="8">
        <f t="shared" si="15"/>
        <v>0</v>
      </c>
      <c r="J95" s="9">
        <v>0</v>
      </c>
      <c r="K95" s="9">
        <v>0</v>
      </c>
      <c r="L95" s="8">
        <f t="shared" si="16"/>
        <v>0</v>
      </c>
      <c r="M95" s="8">
        <f t="shared" si="17"/>
        <v>0</v>
      </c>
      <c r="N95" s="8">
        <f t="shared" si="18"/>
        <v>0</v>
      </c>
      <c r="O95" s="8">
        <f t="shared" si="19"/>
        <v>0</v>
      </c>
      <c r="P95" s="10" t="str">
        <f t="shared" si="20"/>
        <v>OK</v>
      </c>
    </row>
    <row r="96" spans="1:16">
      <c r="A96" s="17">
        <v>247</v>
      </c>
      <c r="B96" s="5" t="s">
        <v>258</v>
      </c>
      <c r="C96" s="5" t="s">
        <v>259</v>
      </c>
      <c r="D96" s="5" t="s">
        <v>31</v>
      </c>
      <c r="E96" s="17" t="s">
        <v>123</v>
      </c>
      <c r="F96" s="18" t="s">
        <v>22</v>
      </c>
      <c r="G96" s="8">
        <v>0</v>
      </c>
      <c r="H96" s="8">
        <f t="shared" si="14"/>
        <v>0</v>
      </c>
      <c r="I96" s="8">
        <f t="shared" si="15"/>
        <v>0</v>
      </c>
      <c r="J96" s="9">
        <v>0</v>
      </c>
      <c r="K96" s="9">
        <v>0</v>
      </c>
      <c r="L96" s="8">
        <f t="shared" si="16"/>
        <v>0</v>
      </c>
      <c r="M96" s="8">
        <f t="shared" si="17"/>
        <v>0</v>
      </c>
      <c r="N96" s="8">
        <f t="shared" si="18"/>
        <v>0</v>
      </c>
      <c r="O96" s="8">
        <f t="shared" si="19"/>
        <v>0</v>
      </c>
      <c r="P96" s="10" t="str">
        <f t="shared" si="20"/>
        <v>OK</v>
      </c>
    </row>
    <row r="97" spans="1:16">
      <c r="A97" s="17" t="s">
        <v>260</v>
      </c>
      <c r="B97" s="5" t="s">
        <v>261</v>
      </c>
      <c r="C97" s="5" t="s">
        <v>188</v>
      </c>
      <c r="D97" s="5" t="s">
        <v>31</v>
      </c>
      <c r="E97" s="17" t="s">
        <v>123</v>
      </c>
      <c r="F97" s="18" t="s">
        <v>22</v>
      </c>
      <c r="G97" s="8">
        <v>0</v>
      </c>
      <c r="H97" s="8">
        <f t="shared" si="14"/>
        <v>0</v>
      </c>
      <c r="I97" s="8">
        <f t="shared" si="15"/>
        <v>0</v>
      </c>
      <c r="J97" s="9">
        <v>0</v>
      </c>
      <c r="K97" s="9">
        <v>0</v>
      </c>
      <c r="L97" s="8">
        <f t="shared" si="16"/>
        <v>0</v>
      </c>
      <c r="M97" s="8">
        <f t="shared" si="17"/>
        <v>0</v>
      </c>
      <c r="N97" s="8">
        <f t="shared" si="18"/>
        <v>0</v>
      </c>
      <c r="O97" s="8">
        <f t="shared" si="19"/>
        <v>0</v>
      </c>
      <c r="P97" s="10" t="str">
        <f t="shared" si="20"/>
        <v>OK</v>
      </c>
    </row>
    <row r="98" spans="1:16">
      <c r="A98" s="17">
        <v>242</v>
      </c>
      <c r="B98" s="5" t="s">
        <v>262</v>
      </c>
      <c r="C98" s="5" t="s">
        <v>263</v>
      </c>
      <c r="D98" s="5" t="s">
        <v>31</v>
      </c>
      <c r="E98" s="17" t="s">
        <v>123</v>
      </c>
      <c r="F98" s="18" t="s">
        <v>22</v>
      </c>
      <c r="G98" s="8">
        <v>0</v>
      </c>
      <c r="H98" s="8">
        <f t="shared" si="14"/>
        <v>0</v>
      </c>
      <c r="I98" s="8">
        <f t="shared" si="15"/>
        <v>0</v>
      </c>
      <c r="J98" s="9">
        <v>0</v>
      </c>
      <c r="K98" s="9">
        <v>0</v>
      </c>
      <c r="L98" s="8">
        <f t="shared" si="16"/>
        <v>0</v>
      </c>
      <c r="M98" s="8">
        <f t="shared" si="17"/>
        <v>0</v>
      </c>
      <c r="N98" s="8">
        <f t="shared" si="18"/>
        <v>0</v>
      </c>
      <c r="O98" s="8">
        <f t="shared" si="19"/>
        <v>0</v>
      </c>
      <c r="P98" s="10" t="str">
        <f t="shared" si="20"/>
        <v>OK</v>
      </c>
    </row>
    <row r="99" spans="1:16">
      <c r="A99" s="17">
        <v>94</v>
      </c>
      <c r="B99" s="5" t="s">
        <v>264</v>
      </c>
      <c r="C99" s="5" t="s">
        <v>265</v>
      </c>
      <c r="D99" s="5" t="s">
        <v>31</v>
      </c>
      <c r="E99" s="17" t="s">
        <v>123</v>
      </c>
      <c r="F99" s="18" t="s">
        <v>22</v>
      </c>
      <c r="G99" s="8">
        <v>0</v>
      </c>
      <c r="H99" s="8">
        <f t="shared" ref="H99:H113" si="21">SUM(F99:F99)*24</f>
        <v>0</v>
      </c>
      <c r="I99" s="8">
        <f t="shared" ref="I99:I113" si="22">SUM(F99:F99)*24</f>
        <v>0</v>
      </c>
      <c r="J99" s="9">
        <v>0</v>
      </c>
      <c r="K99" s="9">
        <v>0</v>
      </c>
      <c r="L99" s="8">
        <f t="shared" ref="L99:L113" si="23">COUNTIF(F99:F99,"ABS")</f>
        <v>0</v>
      </c>
      <c r="M99" s="8">
        <f t="shared" ref="M99:M113" si="24">COUNTIF(F99:F99,"Congé")</f>
        <v>0</v>
      </c>
      <c r="N99" s="8">
        <f t="shared" ref="N99:N113" si="25">COUNTIF(F99:F99,"Férié")</f>
        <v>0</v>
      </c>
      <c r="O99" s="8">
        <f t="shared" ref="O99:O113" si="26">I99+J99+K99+(N99*8.5)</f>
        <v>0</v>
      </c>
      <c r="P99" s="10" t="str">
        <f t="shared" ref="P99:P113" si="27">IF(COUNTIF(F99:F99,"STC")&gt;0,"STC",IF(IFERROR(ISNUMBER(SEARCH("!",F99)),FALSE),"À vérifier","OK"))</f>
        <v>OK</v>
      </c>
    </row>
    <row r="100" spans="1:16">
      <c r="A100" s="17" t="s">
        <v>266</v>
      </c>
      <c r="B100" s="5" t="s">
        <v>267</v>
      </c>
      <c r="C100" s="5" t="s">
        <v>63</v>
      </c>
      <c r="D100" s="5" t="s">
        <v>31</v>
      </c>
      <c r="E100" s="17" t="s">
        <v>123</v>
      </c>
      <c r="F100" s="18" t="s">
        <v>22</v>
      </c>
      <c r="G100" s="8">
        <v>0</v>
      </c>
      <c r="H100" s="8">
        <f t="shared" si="21"/>
        <v>0</v>
      </c>
      <c r="I100" s="8">
        <f t="shared" si="22"/>
        <v>0</v>
      </c>
      <c r="J100" s="9">
        <v>0</v>
      </c>
      <c r="K100" s="9">
        <v>0</v>
      </c>
      <c r="L100" s="8">
        <f t="shared" si="23"/>
        <v>0</v>
      </c>
      <c r="M100" s="8">
        <f t="shared" si="24"/>
        <v>0</v>
      </c>
      <c r="N100" s="8">
        <f t="shared" si="25"/>
        <v>0</v>
      </c>
      <c r="O100" s="8">
        <f t="shared" si="26"/>
        <v>0</v>
      </c>
      <c r="P100" s="10" t="str">
        <f t="shared" si="27"/>
        <v>OK</v>
      </c>
    </row>
    <row r="101" spans="1:16">
      <c r="A101" s="17" t="s">
        <v>268</v>
      </c>
      <c r="B101" s="5" t="s">
        <v>269</v>
      </c>
      <c r="C101" s="5" t="s">
        <v>270</v>
      </c>
      <c r="D101" s="5" t="s">
        <v>31</v>
      </c>
      <c r="E101" s="17" t="s">
        <v>123</v>
      </c>
      <c r="F101" s="18" t="s">
        <v>22</v>
      </c>
      <c r="G101" s="8">
        <v>0</v>
      </c>
      <c r="H101" s="8">
        <f t="shared" si="21"/>
        <v>0</v>
      </c>
      <c r="I101" s="8">
        <f t="shared" si="22"/>
        <v>0</v>
      </c>
      <c r="J101" s="9">
        <v>0</v>
      </c>
      <c r="K101" s="9">
        <v>0</v>
      </c>
      <c r="L101" s="8">
        <f t="shared" si="23"/>
        <v>0</v>
      </c>
      <c r="M101" s="8">
        <f t="shared" si="24"/>
        <v>0</v>
      </c>
      <c r="N101" s="8">
        <f t="shared" si="25"/>
        <v>0</v>
      </c>
      <c r="O101" s="8">
        <f t="shared" si="26"/>
        <v>0</v>
      </c>
      <c r="P101" s="10" t="str">
        <f t="shared" si="27"/>
        <v>OK</v>
      </c>
    </row>
    <row r="102" spans="1:16">
      <c r="A102" s="17" t="s">
        <v>271</v>
      </c>
      <c r="B102" s="5" t="s">
        <v>272</v>
      </c>
      <c r="C102" s="5" t="s">
        <v>273</v>
      </c>
      <c r="D102" s="5" t="s">
        <v>31</v>
      </c>
      <c r="E102" s="17" t="s">
        <v>123</v>
      </c>
      <c r="F102" s="18" t="s">
        <v>22</v>
      </c>
      <c r="G102" s="8">
        <v>0</v>
      </c>
      <c r="H102" s="8">
        <f t="shared" si="21"/>
        <v>0</v>
      </c>
      <c r="I102" s="8">
        <f t="shared" si="22"/>
        <v>0</v>
      </c>
      <c r="J102" s="9">
        <v>0</v>
      </c>
      <c r="K102" s="9">
        <v>0</v>
      </c>
      <c r="L102" s="8">
        <f t="shared" si="23"/>
        <v>0</v>
      </c>
      <c r="M102" s="8">
        <f t="shared" si="24"/>
        <v>0</v>
      </c>
      <c r="N102" s="8">
        <f t="shared" si="25"/>
        <v>0</v>
      </c>
      <c r="O102" s="8">
        <f t="shared" si="26"/>
        <v>0</v>
      </c>
      <c r="P102" s="10" t="str">
        <f t="shared" si="27"/>
        <v>OK</v>
      </c>
    </row>
    <row r="103" spans="1:16">
      <c r="A103" s="17" t="s">
        <v>274</v>
      </c>
      <c r="B103" s="5" t="s">
        <v>272</v>
      </c>
      <c r="C103" s="5" t="s">
        <v>275</v>
      </c>
      <c r="D103" s="5" t="s">
        <v>31</v>
      </c>
      <c r="E103" s="17" t="s">
        <v>123</v>
      </c>
      <c r="F103" s="18" t="s">
        <v>22</v>
      </c>
      <c r="G103" s="8">
        <v>0</v>
      </c>
      <c r="H103" s="8">
        <f t="shared" si="21"/>
        <v>0</v>
      </c>
      <c r="I103" s="8">
        <f t="shared" si="22"/>
        <v>0</v>
      </c>
      <c r="J103" s="9">
        <v>0</v>
      </c>
      <c r="K103" s="9">
        <v>0</v>
      </c>
      <c r="L103" s="8">
        <f t="shared" si="23"/>
        <v>0</v>
      </c>
      <c r="M103" s="8">
        <f t="shared" si="24"/>
        <v>0</v>
      </c>
      <c r="N103" s="8">
        <f t="shared" si="25"/>
        <v>0</v>
      </c>
      <c r="O103" s="8">
        <f t="shared" si="26"/>
        <v>0</v>
      </c>
      <c r="P103" s="10" t="str">
        <f t="shared" si="27"/>
        <v>OK</v>
      </c>
    </row>
    <row r="104" spans="1:16">
      <c r="A104" s="17" t="s">
        <v>276</v>
      </c>
      <c r="B104" s="5" t="s">
        <v>277</v>
      </c>
      <c r="C104" s="5" t="s">
        <v>278</v>
      </c>
      <c r="D104" s="5" t="s">
        <v>31</v>
      </c>
      <c r="E104" s="17" t="s">
        <v>123</v>
      </c>
      <c r="F104" s="18" t="s">
        <v>22</v>
      </c>
      <c r="G104" s="8">
        <v>0</v>
      </c>
      <c r="H104" s="8">
        <f t="shared" si="21"/>
        <v>0</v>
      </c>
      <c r="I104" s="8">
        <f t="shared" si="22"/>
        <v>0</v>
      </c>
      <c r="J104" s="9">
        <v>0</v>
      </c>
      <c r="K104" s="9">
        <v>0</v>
      </c>
      <c r="L104" s="8">
        <f t="shared" si="23"/>
        <v>0</v>
      </c>
      <c r="M104" s="8">
        <f t="shared" si="24"/>
        <v>0</v>
      </c>
      <c r="N104" s="8">
        <f t="shared" si="25"/>
        <v>0</v>
      </c>
      <c r="O104" s="8">
        <f t="shared" si="26"/>
        <v>0</v>
      </c>
      <c r="P104" s="10" t="str">
        <f t="shared" si="27"/>
        <v>OK</v>
      </c>
    </row>
    <row r="105" spans="1:16">
      <c r="A105" s="17">
        <v>215</v>
      </c>
      <c r="B105" s="5" t="s">
        <v>279</v>
      </c>
      <c r="C105" s="5" t="s">
        <v>280</v>
      </c>
      <c r="D105" s="5" t="s">
        <v>31</v>
      </c>
      <c r="E105" s="17" t="s">
        <v>123</v>
      </c>
      <c r="F105" s="18" t="s">
        <v>22</v>
      </c>
      <c r="G105" s="8">
        <v>0</v>
      </c>
      <c r="H105" s="8">
        <f t="shared" si="21"/>
        <v>0</v>
      </c>
      <c r="I105" s="8">
        <f t="shared" si="22"/>
        <v>0</v>
      </c>
      <c r="J105" s="9">
        <v>0</v>
      </c>
      <c r="K105" s="9">
        <v>0</v>
      </c>
      <c r="L105" s="8">
        <f t="shared" si="23"/>
        <v>0</v>
      </c>
      <c r="M105" s="8">
        <f t="shared" si="24"/>
        <v>0</v>
      </c>
      <c r="N105" s="8">
        <f t="shared" si="25"/>
        <v>0</v>
      </c>
      <c r="O105" s="8">
        <f t="shared" si="26"/>
        <v>0</v>
      </c>
      <c r="P105" s="10" t="str">
        <f t="shared" si="27"/>
        <v>OK</v>
      </c>
    </row>
    <row r="106" spans="1:16">
      <c r="A106" s="17">
        <v>204</v>
      </c>
      <c r="B106" s="5" t="s">
        <v>281</v>
      </c>
      <c r="C106" s="5" t="s">
        <v>282</v>
      </c>
      <c r="D106" s="5" t="s">
        <v>31</v>
      </c>
      <c r="E106" s="17" t="s">
        <v>123</v>
      </c>
      <c r="F106" s="18" t="s">
        <v>22</v>
      </c>
      <c r="G106" s="8">
        <v>0</v>
      </c>
      <c r="H106" s="8">
        <f t="shared" si="21"/>
        <v>0</v>
      </c>
      <c r="I106" s="8">
        <f t="shared" si="22"/>
        <v>0</v>
      </c>
      <c r="J106" s="9">
        <v>0</v>
      </c>
      <c r="K106" s="9">
        <v>0</v>
      </c>
      <c r="L106" s="8">
        <f t="shared" si="23"/>
        <v>0</v>
      </c>
      <c r="M106" s="8">
        <f t="shared" si="24"/>
        <v>0</v>
      </c>
      <c r="N106" s="8">
        <f t="shared" si="25"/>
        <v>0</v>
      </c>
      <c r="O106" s="8">
        <f t="shared" si="26"/>
        <v>0</v>
      </c>
      <c r="P106" s="10" t="str">
        <f t="shared" si="27"/>
        <v>OK</v>
      </c>
    </row>
    <row r="107" spans="1:16">
      <c r="A107" s="17" t="s">
        <v>283</v>
      </c>
      <c r="B107" s="5" t="s">
        <v>284</v>
      </c>
      <c r="C107" s="5" t="s">
        <v>285</v>
      </c>
      <c r="D107" s="5" t="s">
        <v>31</v>
      </c>
      <c r="E107" s="17" t="s">
        <v>123</v>
      </c>
      <c r="F107" s="18" t="s">
        <v>22</v>
      </c>
      <c r="G107" s="8">
        <v>0</v>
      </c>
      <c r="H107" s="8">
        <f t="shared" si="21"/>
        <v>0</v>
      </c>
      <c r="I107" s="8">
        <f t="shared" si="22"/>
        <v>0</v>
      </c>
      <c r="J107" s="9">
        <v>0</v>
      </c>
      <c r="K107" s="9">
        <v>0</v>
      </c>
      <c r="L107" s="8">
        <f t="shared" si="23"/>
        <v>0</v>
      </c>
      <c r="M107" s="8">
        <f t="shared" si="24"/>
        <v>0</v>
      </c>
      <c r="N107" s="8">
        <f t="shared" si="25"/>
        <v>0</v>
      </c>
      <c r="O107" s="8">
        <f t="shared" si="26"/>
        <v>0</v>
      </c>
      <c r="P107" s="10" t="str">
        <f t="shared" si="27"/>
        <v>OK</v>
      </c>
    </row>
    <row r="108" spans="1:16">
      <c r="A108" s="17" t="s">
        <v>286</v>
      </c>
      <c r="B108" s="5" t="s">
        <v>63</v>
      </c>
      <c r="C108" s="5" t="s">
        <v>287</v>
      </c>
      <c r="D108" s="5" t="s">
        <v>49</v>
      </c>
      <c r="E108" s="17" t="s">
        <v>123</v>
      </c>
      <c r="F108" s="18" t="s">
        <v>22</v>
      </c>
      <c r="G108" s="8">
        <v>0</v>
      </c>
      <c r="H108" s="8">
        <f t="shared" si="21"/>
        <v>0</v>
      </c>
      <c r="I108" s="8">
        <f t="shared" si="22"/>
        <v>0</v>
      </c>
      <c r="J108" s="9">
        <v>0</v>
      </c>
      <c r="K108" s="9">
        <v>0</v>
      </c>
      <c r="L108" s="8">
        <f t="shared" si="23"/>
        <v>0</v>
      </c>
      <c r="M108" s="8">
        <f t="shared" si="24"/>
        <v>0</v>
      </c>
      <c r="N108" s="8">
        <f t="shared" si="25"/>
        <v>0</v>
      </c>
      <c r="O108" s="8">
        <f t="shared" si="26"/>
        <v>0</v>
      </c>
      <c r="P108" s="10" t="str">
        <f t="shared" si="27"/>
        <v>OK</v>
      </c>
    </row>
    <row r="109" spans="1:16">
      <c r="A109" s="17" t="s">
        <v>288</v>
      </c>
      <c r="B109" s="5" t="s">
        <v>289</v>
      </c>
      <c r="C109" s="5" t="s">
        <v>290</v>
      </c>
      <c r="D109" s="5" t="s">
        <v>69</v>
      </c>
      <c r="E109" s="17" t="s">
        <v>123</v>
      </c>
      <c r="F109" s="18" t="s">
        <v>22</v>
      </c>
      <c r="G109" s="8">
        <v>0</v>
      </c>
      <c r="H109" s="8">
        <f t="shared" si="21"/>
        <v>0</v>
      </c>
      <c r="I109" s="8">
        <f t="shared" si="22"/>
        <v>0</v>
      </c>
      <c r="J109" s="9">
        <v>0</v>
      </c>
      <c r="K109" s="9">
        <v>0</v>
      </c>
      <c r="L109" s="8">
        <f t="shared" si="23"/>
        <v>0</v>
      </c>
      <c r="M109" s="8">
        <f t="shared" si="24"/>
        <v>0</v>
      </c>
      <c r="N109" s="8">
        <f t="shared" si="25"/>
        <v>0</v>
      </c>
      <c r="O109" s="8">
        <f t="shared" si="26"/>
        <v>0</v>
      </c>
      <c r="P109" s="10" t="str">
        <f t="shared" si="27"/>
        <v>OK</v>
      </c>
    </row>
    <row r="110" spans="1:16">
      <c r="A110" s="17" t="s">
        <v>291</v>
      </c>
      <c r="B110" s="5" t="s">
        <v>292</v>
      </c>
      <c r="C110" s="5" t="s">
        <v>77</v>
      </c>
      <c r="D110" s="5" t="s">
        <v>69</v>
      </c>
      <c r="E110" s="17" t="s">
        <v>123</v>
      </c>
      <c r="F110" s="18" t="s">
        <v>22</v>
      </c>
      <c r="G110" s="8">
        <v>0</v>
      </c>
      <c r="H110" s="8">
        <f t="shared" si="21"/>
        <v>0</v>
      </c>
      <c r="I110" s="8">
        <f t="shared" si="22"/>
        <v>0</v>
      </c>
      <c r="J110" s="9">
        <v>0</v>
      </c>
      <c r="K110" s="9">
        <v>0</v>
      </c>
      <c r="L110" s="8">
        <f t="shared" si="23"/>
        <v>0</v>
      </c>
      <c r="M110" s="8">
        <f t="shared" si="24"/>
        <v>0</v>
      </c>
      <c r="N110" s="8">
        <f t="shared" si="25"/>
        <v>0</v>
      </c>
      <c r="O110" s="8">
        <f t="shared" si="26"/>
        <v>0</v>
      </c>
      <c r="P110" s="10" t="str">
        <f t="shared" si="27"/>
        <v>OK</v>
      </c>
    </row>
    <row r="111" spans="1:16">
      <c r="A111" s="17" t="s">
        <v>293</v>
      </c>
      <c r="B111" s="5" t="s">
        <v>294</v>
      </c>
      <c r="C111" s="5" t="s">
        <v>295</v>
      </c>
      <c r="D111" s="5" t="s">
        <v>69</v>
      </c>
      <c r="E111" s="17" t="s">
        <v>123</v>
      </c>
      <c r="F111" s="18" t="s">
        <v>22</v>
      </c>
      <c r="G111" s="8">
        <v>0</v>
      </c>
      <c r="H111" s="8">
        <f t="shared" si="21"/>
        <v>0</v>
      </c>
      <c r="I111" s="8">
        <f t="shared" si="22"/>
        <v>0</v>
      </c>
      <c r="J111" s="9">
        <v>0</v>
      </c>
      <c r="K111" s="9">
        <v>0</v>
      </c>
      <c r="L111" s="8">
        <f t="shared" si="23"/>
        <v>0</v>
      </c>
      <c r="M111" s="8">
        <f t="shared" si="24"/>
        <v>0</v>
      </c>
      <c r="N111" s="8">
        <f t="shared" si="25"/>
        <v>0</v>
      </c>
      <c r="O111" s="8">
        <f t="shared" si="26"/>
        <v>0</v>
      </c>
      <c r="P111" s="10" t="str">
        <f t="shared" si="27"/>
        <v>OK</v>
      </c>
    </row>
    <row r="112" spans="1:16">
      <c r="A112" s="17" t="s">
        <v>296</v>
      </c>
      <c r="B112" s="5" t="s">
        <v>217</v>
      </c>
      <c r="C112" s="5" t="s">
        <v>297</v>
      </c>
      <c r="D112" s="5" t="s">
        <v>69</v>
      </c>
      <c r="E112" s="17" t="s">
        <v>123</v>
      </c>
      <c r="F112" s="18" t="s">
        <v>22</v>
      </c>
      <c r="G112" s="8">
        <v>0</v>
      </c>
      <c r="H112" s="8">
        <f t="shared" si="21"/>
        <v>0</v>
      </c>
      <c r="I112" s="8">
        <f t="shared" si="22"/>
        <v>0</v>
      </c>
      <c r="J112" s="9">
        <v>0</v>
      </c>
      <c r="K112" s="9">
        <v>0</v>
      </c>
      <c r="L112" s="8">
        <f t="shared" si="23"/>
        <v>0</v>
      </c>
      <c r="M112" s="8">
        <f t="shared" si="24"/>
        <v>0</v>
      </c>
      <c r="N112" s="8">
        <f t="shared" si="25"/>
        <v>0</v>
      </c>
      <c r="O112" s="8">
        <f t="shared" si="26"/>
        <v>0</v>
      </c>
      <c r="P112" s="10" t="str">
        <f t="shared" si="27"/>
        <v>OK</v>
      </c>
    </row>
    <row r="113" spans="1:16">
      <c r="A113" s="17">
        <v>89</v>
      </c>
      <c r="B113" s="5" t="s">
        <v>298</v>
      </c>
      <c r="C113" s="5" t="s">
        <v>299</v>
      </c>
      <c r="D113" s="5" t="s">
        <v>69</v>
      </c>
      <c r="E113" s="17" t="s">
        <v>123</v>
      </c>
      <c r="F113" s="18" t="s">
        <v>22</v>
      </c>
      <c r="G113" s="8">
        <v>0</v>
      </c>
      <c r="H113" s="8">
        <f t="shared" si="21"/>
        <v>0</v>
      </c>
      <c r="I113" s="8">
        <f t="shared" si="22"/>
        <v>0</v>
      </c>
      <c r="J113" s="9">
        <v>0</v>
      </c>
      <c r="K113" s="9">
        <v>0</v>
      </c>
      <c r="L113" s="8">
        <f t="shared" si="23"/>
        <v>0</v>
      </c>
      <c r="M113" s="8">
        <f t="shared" si="24"/>
        <v>0</v>
      </c>
      <c r="N113" s="8">
        <f t="shared" si="25"/>
        <v>0</v>
      </c>
      <c r="O113" s="8">
        <f t="shared" si="26"/>
        <v>0</v>
      </c>
      <c r="P113" s="10" t="str">
        <f t="shared" si="27"/>
        <v>OK</v>
      </c>
    </row>
  </sheetData>
  <mergeCells count="1">
    <mergeCell ref="A1:P1"/>
  </mergeCells>
  <conditionalFormatting sqref="F3:F113">
    <cfRule type="expression" dxfId="302" priority="7">
      <formula>F3="ABS"</formula>
    </cfRule>
    <cfRule type="expression" dxfId="301" priority="8">
      <formula>IFERROR(ISNUMBER(SEARCH("!",F3)),FALSE)</formula>
    </cfRule>
    <cfRule type="expression" dxfId="300" priority="9">
      <formula>F3="Repos"</formula>
    </cfRule>
    <cfRule type="expression" dxfId="299" priority="10">
      <formula>F3="Congé"</formula>
    </cfRule>
    <cfRule type="expression" dxfId="298" priority="11">
      <formula>F3="Congé sans solde"</formula>
    </cfRule>
    <cfRule type="expression" dxfId="297" priority="12">
      <formula>F3="Congé maladie"</formula>
    </cfRule>
  </conditionalFormatting>
  <conditionalFormatting sqref="F3:L113">
    <cfRule type="expression" dxfId="296" priority="13">
      <formula>OR(F3="CSS",F3="CM")</formula>
    </cfRule>
  </conditionalFormatting>
  <conditionalFormatting sqref="I3:J113">
    <cfRule type="cellIs" dxfId="295" priority="1" operator="greaterThanOrEqual">
      <formula>1</formula>
    </cfRule>
  </conditionalFormatting>
  <conditionalFormatting sqref="J3:L113 G3:H113">
    <cfRule type="cellIs" dxfId="294" priority="5" operator="greaterThan">
      <formula>0</formula>
    </cfRule>
  </conditionalFormatting>
  <conditionalFormatting sqref="K3:K113">
    <cfRule type="cellIs" dxfId="293" priority="2" operator="greaterThanOrEqual">
      <formula>1</formula>
    </cfRule>
  </conditionalFormatting>
  <conditionalFormatting sqref="M3:M113">
    <cfRule type="expression" dxfId="292" priority="3">
      <formula>M3="STC"</formula>
    </cfRule>
    <cfRule type="expression" dxfId="291" priority="4">
      <formula>OR(M3="Vérifier",M3="À vérifier")</formula>
    </cfRule>
  </conditionalFormatting>
  <conditionalFormatting sqref="M3:N113">
    <cfRule type="cellIs" dxfId="290" priority="6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13"/>
  <sheetViews>
    <sheetView tabSelected="1" workbookViewId="0">
      <selection activeCell="A2" sqref="A2:L103"/>
    </sheetView>
  </sheetViews>
  <sheetFormatPr baseColWidth="10" defaultColWidth="9" defaultRowHeight="14.25"/>
  <cols>
    <col min="1" max="1" width="9" customWidth="1"/>
    <col min="2" max="2" width="18" customWidth="1"/>
    <col min="3" max="4" width="20" customWidth="1"/>
    <col min="5" max="5" width="15" customWidth="1"/>
    <col min="6" max="12" width="8.25" customWidth="1"/>
    <col min="13" max="19" width="8" customWidth="1"/>
    <col min="20" max="21" width="7.25" customWidth="1"/>
    <col min="22" max="22" width="12.875" customWidth="1"/>
  </cols>
  <sheetData>
    <row r="1" spans="1:23" ht="18">
      <c r="A1" s="32" t="s">
        <v>300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"/>
    </row>
    <row r="2" spans="1:23" ht="33.950000000000003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301</v>
      </c>
      <c r="G2" s="4" t="s">
        <v>302</v>
      </c>
      <c r="H2" s="4" t="s">
        <v>303</v>
      </c>
      <c r="I2" s="4" t="s">
        <v>304</v>
      </c>
      <c r="J2" s="4" t="s">
        <v>305</v>
      </c>
      <c r="K2" s="4" t="s">
        <v>306</v>
      </c>
      <c r="L2" s="4" t="s">
        <v>307</v>
      </c>
      <c r="M2" s="4" t="s">
        <v>7</v>
      </c>
      <c r="N2" s="4" t="s">
        <v>8</v>
      </c>
      <c r="O2" s="4" t="s">
        <v>9</v>
      </c>
      <c r="P2" s="4" t="s">
        <v>10</v>
      </c>
      <c r="Q2" s="4" t="s">
        <v>11</v>
      </c>
      <c r="R2" s="4" t="s">
        <v>12</v>
      </c>
      <c r="S2" s="20" t="s">
        <v>13</v>
      </c>
      <c r="T2" s="4" t="s">
        <v>14</v>
      </c>
      <c r="U2" s="4" t="s">
        <v>15</v>
      </c>
      <c r="V2" s="4" t="s">
        <v>16</v>
      </c>
    </row>
    <row r="3" spans="1:23">
      <c r="A3" s="5">
        <v>50</v>
      </c>
      <c r="B3" s="5" t="s">
        <v>106</v>
      </c>
      <c r="C3" s="5" t="s">
        <v>107</v>
      </c>
      <c r="D3" s="5" t="s">
        <v>92</v>
      </c>
      <c r="E3" s="5" t="s">
        <v>21</v>
      </c>
      <c r="F3" s="18">
        <v>0.33333333333333331</v>
      </c>
      <c r="G3" s="18">
        <v>0.33333333333333331</v>
      </c>
      <c r="H3" s="18">
        <v>0.33333333333333331</v>
      </c>
      <c r="I3" s="18">
        <v>0.3125</v>
      </c>
      <c r="J3" s="18">
        <v>0.41666666666666669</v>
      </c>
      <c r="K3" s="7" t="s">
        <v>308</v>
      </c>
      <c r="L3" s="7" t="s">
        <v>308</v>
      </c>
      <c r="M3" s="8">
        <f>48</f>
        <v>48</v>
      </c>
      <c r="N3" s="8">
        <f t="shared" ref="N3:N34" si="0">SUM(F3:L3)*24</f>
        <v>41.5</v>
      </c>
      <c r="O3" s="8">
        <f>IF(COUNTIF(PARAMETRES_REGIMES!$A$3:$A$100,$A3)&gt;0,MIN(M3,SUM(F3:L3)*24),MIN(M3,SUM(F3:K3)*24))</f>
        <v>41.5</v>
      </c>
      <c r="P3" s="9">
        <f>IF(COUNTIF(PARAMETRES_REGIMES!$A$3:$A$100,$A3)&gt;0,FLOOR(MAX(SUM(F3:L3)*24-M3,0),0.5),FLOOR(MAX(SUM(F3:K3)*24-M3,0),0.5))</f>
        <v>0</v>
      </c>
      <c r="Q3" s="9">
        <f>IF(COUNTIF(PARAMETRES_REGIMES!$A$3:$A$100,$A3)&gt;0,0,IF(ISNUMBER(L3),FLOOR(MAX(L3*24,0),0.5),0))</f>
        <v>0</v>
      </c>
      <c r="R3" s="8">
        <f t="shared" ref="R3:R34" si="1">COUNTIF(F3:L3,"ABS")</f>
        <v>0</v>
      </c>
      <c r="S3" s="8">
        <f t="shared" ref="S3:S34" si="2">COUNTIF(F3:L3,"Congé")+COUNTIF(F3:L3,"CSS")*0+COUNTIF(F3:L3,"CM")*0</f>
        <v>0</v>
      </c>
      <c r="T3" s="8">
        <f t="shared" ref="T3:T34" si="3">COUNTIF(F3:L3,"Férié")</f>
        <v>0</v>
      </c>
      <c r="U3" s="8">
        <f t="shared" ref="U3:U34" si="4">O3+P3+Q3+(T3*8.5)</f>
        <v>41.5</v>
      </c>
      <c r="V3" s="10" t="str">
        <f t="shared" ref="V3:V34" si="5">IF(COUNTIF(F3:L3,"STC")&gt;0,"STC",IF(OR(IFERROR(ISNUMBER(SEARCH("!",F3)),FALSE),IFERROR(ISNUMBER(SEARCH("!",G3)),FALSE),IFERROR(ISNUMBER(SEARCH("!",H3)),FALSE),IFERROR(ISNUMBER(SEARCH("!",I3)),FALSE),IFERROR(ISNUMBER(SEARCH("!",J3)),FALSE),IFERROR(ISNUMBER(SEARCH("!",K3)),FALSE),IFERROR(ISNUMBER(SEARCH("!",L3)),FALSE)),"À vérifier","OK"))</f>
        <v>OK</v>
      </c>
    </row>
    <row r="4" spans="1:23">
      <c r="A4" s="5">
        <v>53</v>
      </c>
      <c r="B4" s="5" t="s">
        <v>129</v>
      </c>
      <c r="C4" s="5" t="s">
        <v>130</v>
      </c>
      <c r="D4" s="5" t="s">
        <v>31</v>
      </c>
      <c r="E4" s="5" t="s">
        <v>123</v>
      </c>
      <c r="F4" s="18" t="s">
        <v>12</v>
      </c>
      <c r="G4" s="18">
        <v>0.3125</v>
      </c>
      <c r="H4" s="18">
        <v>0.39583333333333331</v>
      </c>
      <c r="I4" s="18">
        <v>0.39583333333333331</v>
      </c>
      <c r="J4" s="36">
        <v>0.375</v>
      </c>
      <c r="K4" s="7" t="s">
        <v>308</v>
      </c>
      <c r="L4" s="7" t="s">
        <v>308</v>
      </c>
      <c r="M4" s="8">
        <f>48</f>
        <v>48</v>
      </c>
      <c r="N4" s="8">
        <f t="shared" si="0"/>
        <v>35.5</v>
      </c>
      <c r="O4" s="8">
        <f>IF(COUNTIF(PARAMETRES_REGIMES!$A$3:$A$100,$A4)&gt;0,MIN(M4,SUM(F4:L4)*24),MIN(M4,SUM(F4:K4)*24))</f>
        <v>35.5</v>
      </c>
      <c r="P4" s="9">
        <f>IF(COUNTIF(PARAMETRES_REGIMES!$A$3:$A$100,$A4)&gt;0,FLOOR(MAX(SUM(F4:L4)*24-M4,0),0.5),FLOOR(MAX(SUM(F4:K4)*24-M4,0),0.5))</f>
        <v>0</v>
      </c>
      <c r="Q4" s="9">
        <f>IF(COUNTIF(PARAMETRES_REGIMES!$A$3:$A$100,$A4)&gt;0,0,IF(ISNUMBER(L4),FLOOR(MAX(L4*24,0),0.5),0))</f>
        <v>0</v>
      </c>
      <c r="R4" s="8">
        <f t="shared" si="1"/>
        <v>1</v>
      </c>
      <c r="S4" s="8">
        <f t="shared" si="2"/>
        <v>0</v>
      </c>
      <c r="T4" s="8">
        <f t="shared" si="3"/>
        <v>0</v>
      </c>
      <c r="U4" s="8">
        <f t="shared" si="4"/>
        <v>35.5</v>
      </c>
      <c r="V4" s="10" t="str">
        <f t="shared" si="5"/>
        <v>OK</v>
      </c>
    </row>
    <row r="5" spans="1:23">
      <c r="A5" s="5">
        <v>70</v>
      </c>
      <c r="B5" s="5" t="s">
        <v>104</v>
      </c>
      <c r="C5" s="5" t="s">
        <v>105</v>
      </c>
      <c r="D5" s="5" t="s">
        <v>92</v>
      </c>
      <c r="E5" s="5" t="s">
        <v>21</v>
      </c>
      <c r="F5" s="18">
        <v>0.33333333333333331</v>
      </c>
      <c r="G5" s="18">
        <v>0.33333333333333331</v>
      </c>
      <c r="H5" s="18">
        <v>0.33333333333333331</v>
      </c>
      <c r="I5" s="18">
        <v>0.33333333333333331</v>
      </c>
      <c r="J5" s="18">
        <v>0.33333333333333331</v>
      </c>
      <c r="K5" s="7" t="s">
        <v>308</v>
      </c>
      <c r="L5" s="7" t="s">
        <v>308</v>
      </c>
      <c r="M5" s="8">
        <f>48</f>
        <v>48</v>
      </c>
      <c r="N5" s="8">
        <f t="shared" si="0"/>
        <v>40</v>
      </c>
      <c r="O5" s="8">
        <f>IF(COUNTIF(PARAMETRES_REGIMES!$A$3:$A$100,$A5)&gt;0,MIN(M5,SUM(F5:L5)*24),MIN(M5,SUM(F5:K5)*24))</f>
        <v>40</v>
      </c>
      <c r="P5" s="9">
        <f>IF(COUNTIF(PARAMETRES_REGIMES!$A$3:$A$100,$A5)&gt;0,FLOOR(MAX(SUM(F5:L5)*24-M5,0),0.5),FLOOR(MAX(SUM(F5:K5)*24-M5,0),0.5))</f>
        <v>0</v>
      </c>
      <c r="Q5" s="9">
        <f>IF(COUNTIF(PARAMETRES_REGIMES!$A$3:$A$100,$A5)&gt;0,0,IF(ISNUMBER(L5),FLOOR(MAX(L5*24,0),0.5),0))</f>
        <v>0</v>
      </c>
      <c r="R5" s="8">
        <f t="shared" si="1"/>
        <v>0</v>
      </c>
      <c r="S5" s="8">
        <f t="shared" si="2"/>
        <v>0</v>
      </c>
      <c r="T5" s="8">
        <f t="shared" si="3"/>
        <v>0</v>
      </c>
      <c r="U5" s="8">
        <f t="shared" si="4"/>
        <v>40</v>
      </c>
      <c r="V5" s="10" t="str">
        <f t="shared" si="5"/>
        <v>OK</v>
      </c>
    </row>
    <row r="6" spans="1:23">
      <c r="A6" s="5">
        <v>71</v>
      </c>
      <c r="B6" s="5" t="s">
        <v>98</v>
      </c>
      <c r="C6" s="5" t="s">
        <v>99</v>
      </c>
      <c r="D6" s="5" t="s">
        <v>92</v>
      </c>
      <c r="E6" s="5" t="s">
        <v>21</v>
      </c>
      <c r="F6" s="18">
        <v>0.33333333333333331</v>
      </c>
      <c r="G6" s="18">
        <v>0.33333333333333331</v>
      </c>
      <c r="H6" s="18" t="s">
        <v>22</v>
      </c>
      <c r="I6" s="18">
        <v>0.33333333333333331</v>
      </c>
      <c r="J6" s="18">
        <v>0.33333333333333331</v>
      </c>
      <c r="K6" s="7" t="s">
        <v>308</v>
      </c>
      <c r="L6" s="7" t="s">
        <v>308</v>
      </c>
      <c r="M6" s="8">
        <f>48</f>
        <v>48</v>
      </c>
      <c r="N6" s="8">
        <f t="shared" si="0"/>
        <v>32</v>
      </c>
      <c r="O6" s="8">
        <f>IF(COUNTIF(PARAMETRES_REGIMES!$A$3:$A$100,$A6)&gt;0,MIN(M6,SUM(F6:L6)*24),MIN(M6,SUM(F6:K6)*24))</f>
        <v>32</v>
      </c>
      <c r="P6" s="9">
        <f>IF(COUNTIF(PARAMETRES_REGIMES!$A$3:$A$100,$A6)&gt;0,FLOOR(MAX(SUM(F6:L6)*24-M6,0),0.5),FLOOR(MAX(SUM(F6:K6)*24-M6,0),0.5))</f>
        <v>0</v>
      </c>
      <c r="Q6" s="9">
        <f>IF(COUNTIF(PARAMETRES_REGIMES!$A$3:$A$100,$A6)&gt;0,0,IF(ISNUMBER(L6),FLOOR(MAX(L6*24,0),0.5),0))</f>
        <v>0</v>
      </c>
      <c r="R6" s="8">
        <f t="shared" si="1"/>
        <v>0</v>
      </c>
      <c r="S6" s="8">
        <f t="shared" si="2"/>
        <v>0</v>
      </c>
      <c r="T6" s="8">
        <f t="shared" si="3"/>
        <v>0</v>
      </c>
      <c r="U6" s="8">
        <f t="shared" si="4"/>
        <v>32</v>
      </c>
      <c r="V6" s="10" t="str">
        <f t="shared" si="5"/>
        <v>OK</v>
      </c>
    </row>
    <row r="7" spans="1:23">
      <c r="A7" s="5">
        <v>89</v>
      </c>
      <c r="B7" s="5" t="s">
        <v>298</v>
      </c>
      <c r="C7" s="5" t="s">
        <v>299</v>
      </c>
      <c r="D7" s="5" t="s">
        <v>69</v>
      </c>
      <c r="E7" s="5" t="s">
        <v>123</v>
      </c>
      <c r="F7" s="18">
        <v>0.3125</v>
      </c>
      <c r="G7" s="18">
        <v>0.33333333333333331</v>
      </c>
      <c r="H7" s="18">
        <v>0.39583333333333331</v>
      </c>
      <c r="I7" s="18">
        <v>0.39583333333333331</v>
      </c>
      <c r="J7" s="18">
        <v>0.39583333333333331</v>
      </c>
      <c r="K7" s="7" t="s">
        <v>308</v>
      </c>
      <c r="L7" s="7" t="s">
        <v>308</v>
      </c>
      <c r="M7" s="8">
        <f>48</f>
        <v>48</v>
      </c>
      <c r="N7" s="8">
        <f t="shared" si="0"/>
        <v>43.999999999999993</v>
      </c>
      <c r="O7" s="8">
        <f>IF(COUNTIF(PARAMETRES_REGIMES!$A$3:$A$100,$A7)&gt;0,MIN(M7,SUM(F7:L7)*24),MIN(M7,SUM(F7:K7)*24))</f>
        <v>43.999999999999993</v>
      </c>
      <c r="P7" s="9">
        <f>IF(COUNTIF(PARAMETRES_REGIMES!$A$3:$A$100,$A7)&gt;0,FLOOR(MAX(SUM(F7:L7)*24-M7,0),0.5),FLOOR(MAX(SUM(F7:K7)*24-M7,0),0.5))</f>
        <v>0</v>
      </c>
      <c r="Q7" s="9">
        <f>IF(COUNTIF(PARAMETRES_REGIMES!$A$3:$A$100,$A7)&gt;0,0,IF(ISNUMBER(L7),FLOOR(MAX(L7*24,0),0.5),0))</f>
        <v>0</v>
      </c>
      <c r="R7" s="8">
        <f t="shared" si="1"/>
        <v>0</v>
      </c>
      <c r="S7" s="8">
        <f t="shared" si="2"/>
        <v>0</v>
      </c>
      <c r="T7" s="8">
        <f t="shared" si="3"/>
        <v>0</v>
      </c>
      <c r="U7" s="8">
        <f t="shared" si="4"/>
        <v>43.999999999999993</v>
      </c>
      <c r="V7" s="10" t="str">
        <f t="shared" si="5"/>
        <v>OK</v>
      </c>
    </row>
    <row r="8" spans="1:23">
      <c r="A8" s="5">
        <v>94</v>
      </c>
      <c r="B8" s="5" t="s">
        <v>264</v>
      </c>
      <c r="C8" s="5" t="s">
        <v>265</v>
      </c>
      <c r="D8" s="5" t="s">
        <v>31</v>
      </c>
      <c r="E8" s="5" t="s">
        <v>123</v>
      </c>
      <c r="F8" s="18">
        <v>0.3125</v>
      </c>
      <c r="G8" s="18">
        <v>0.3125</v>
      </c>
      <c r="H8" s="18">
        <v>0.39583333333333331</v>
      </c>
      <c r="I8" s="18" t="s">
        <v>12</v>
      </c>
      <c r="J8" s="36">
        <v>0.33333333333333331</v>
      </c>
      <c r="K8" s="7" t="s">
        <v>308</v>
      </c>
      <c r="L8" s="7" t="s">
        <v>308</v>
      </c>
      <c r="M8" s="8">
        <f>48</f>
        <v>48</v>
      </c>
      <c r="N8" s="8">
        <f t="shared" si="0"/>
        <v>32.5</v>
      </c>
      <c r="O8" s="8">
        <f>IF(COUNTIF(PARAMETRES_REGIMES!$A$3:$A$100,$A8)&gt;0,MIN(M8,SUM(F8:L8)*24),MIN(M8,SUM(F8:K8)*24))</f>
        <v>32.5</v>
      </c>
      <c r="P8" s="9">
        <f>IF(COUNTIF(PARAMETRES_REGIMES!$A$3:$A$100,$A8)&gt;0,FLOOR(MAX(SUM(F8:L8)*24-M8,0),0.5),FLOOR(MAX(SUM(F8:K8)*24-M8,0),0.5))</f>
        <v>0</v>
      </c>
      <c r="Q8" s="9">
        <f>IF(COUNTIF(PARAMETRES_REGIMES!$A$3:$A$100,$A8)&gt;0,0,IF(ISNUMBER(L8),FLOOR(MAX(L8*24,0),0.5),0))</f>
        <v>0</v>
      </c>
      <c r="R8" s="8">
        <f t="shared" si="1"/>
        <v>1</v>
      </c>
      <c r="S8" s="8">
        <f t="shared" si="2"/>
        <v>0</v>
      </c>
      <c r="T8" s="8">
        <f t="shared" si="3"/>
        <v>0</v>
      </c>
      <c r="U8" s="8">
        <f t="shared" si="4"/>
        <v>32.5</v>
      </c>
      <c r="V8" s="10" t="str">
        <f t="shared" si="5"/>
        <v>OK</v>
      </c>
    </row>
    <row r="9" spans="1:23">
      <c r="A9" s="5">
        <v>96</v>
      </c>
      <c r="B9" s="5" t="s">
        <v>232</v>
      </c>
      <c r="C9" s="5" t="s">
        <v>234</v>
      </c>
      <c r="D9" s="5" t="s">
        <v>31</v>
      </c>
      <c r="E9" s="5" t="s">
        <v>123</v>
      </c>
      <c r="F9" s="18">
        <v>0.39583333333333331</v>
      </c>
      <c r="G9" s="18" t="s">
        <v>12</v>
      </c>
      <c r="H9" s="18">
        <v>0.3125</v>
      </c>
      <c r="I9" s="18">
        <v>0.39583333333333331</v>
      </c>
      <c r="J9" s="18">
        <v>0.39583333333333331</v>
      </c>
      <c r="K9" s="7" t="s">
        <v>308</v>
      </c>
      <c r="L9" s="7" t="s">
        <v>308</v>
      </c>
      <c r="M9" s="8">
        <f>48</f>
        <v>48</v>
      </c>
      <c r="N9" s="8">
        <f t="shared" si="0"/>
        <v>35.999999999999993</v>
      </c>
      <c r="O9" s="8">
        <f>IF(COUNTIF(PARAMETRES_REGIMES!$A$3:$A$100,$A9)&gt;0,MIN(M9,SUM(F9:L9)*24),MIN(M9,SUM(F9:K9)*24))</f>
        <v>35.999999999999993</v>
      </c>
      <c r="P9" s="9">
        <f>IF(COUNTIF(PARAMETRES_REGIMES!$A$3:$A$100,$A9)&gt;0,FLOOR(MAX(SUM(F9:L9)*24-M9,0),0.5),FLOOR(MAX(SUM(F9:K9)*24-M9,0),0.5))</f>
        <v>0</v>
      </c>
      <c r="Q9" s="9">
        <f>IF(COUNTIF(PARAMETRES_REGIMES!$A$3:$A$100,$A9)&gt;0,0,IF(ISNUMBER(L9),FLOOR(MAX(L9*24,0),0.5),0))</f>
        <v>0</v>
      </c>
      <c r="R9" s="8">
        <f t="shared" si="1"/>
        <v>1</v>
      </c>
      <c r="S9" s="8">
        <f t="shared" si="2"/>
        <v>0</v>
      </c>
      <c r="T9" s="8">
        <f t="shared" si="3"/>
        <v>0</v>
      </c>
      <c r="U9" s="8">
        <f t="shared" si="4"/>
        <v>35.999999999999993</v>
      </c>
      <c r="V9" s="10" t="str">
        <f t="shared" si="5"/>
        <v>OK</v>
      </c>
    </row>
    <row r="10" spans="1:23">
      <c r="A10" s="5">
        <v>97</v>
      </c>
      <c r="B10" s="5" t="s">
        <v>76</v>
      </c>
      <c r="C10" s="5" t="s">
        <v>77</v>
      </c>
      <c r="D10" s="5" t="s">
        <v>69</v>
      </c>
      <c r="E10" s="5" t="s">
        <v>21</v>
      </c>
      <c r="F10" s="18" t="s">
        <v>12</v>
      </c>
      <c r="G10" s="18" t="s">
        <v>12</v>
      </c>
      <c r="H10" s="18" t="s">
        <v>12</v>
      </c>
      <c r="I10" s="18">
        <v>0.39583333333333331</v>
      </c>
      <c r="J10" s="18" t="s">
        <v>12</v>
      </c>
      <c r="K10" s="7" t="s">
        <v>308</v>
      </c>
      <c r="L10" s="7" t="s">
        <v>308</v>
      </c>
      <c r="M10" s="8">
        <f>48</f>
        <v>48</v>
      </c>
      <c r="N10" s="8">
        <f t="shared" si="0"/>
        <v>9.5</v>
      </c>
      <c r="O10" s="8">
        <f>IF(COUNTIF(PARAMETRES_REGIMES!$A$3:$A$100,$A10)&gt;0,MIN(M10,SUM(F10:L10)*24),MIN(M10,SUM(F10:K10)*24))</f>
        <v>9.5</v>
      </c>
      <c r="P10" s="9">
        <f>IF(COUNTIF(PARAMETRES_REGIMES!$A$3:$A$100,$A10)&gt;0,FLOOR(MAX(SUM(F10:L10)*24-M10,0),0.5),FLOOR(MAX(SUM(F10:K10)*24-M10,0),0.5))</f>
        <v>0</v>
      </c>
      <c r="Q10" s="9">
        <f>IF(COUNTIF(PARAMETRES_REGIMES!$A$3:$A$100,$A10)&gt;0,0,IF(ISNUMBER(L10),FLOOR(MAX(L10*24,0),0.5),0))</f>
        <v>0</v>
      </c>
      <c r="R10" s="8">
        <f t="shared" si="1"/>
        <v>4</v>
      </c>
      <c r="S10" s="8">
        <f t="shared" si="2"/>
        <v>0</v>
      </c>
      <c r="T10" s="8">
        <f t="shared" si="3"/>
        <v>0</v>
      </c>
      <c r="U10" s="8">
        <f t="shared" si="4"/>
        <v>9.5</v>
      </c>
      <c r="V10" s="10" t="str">
        <f t="shared" si="5"/>
        <v>OK</v>
      </c>
    </row>
    <row r="11" spans="1:23">
      <c r="A11" s="5">
        <v>118</v>
      </c>
      <c r="B11" s="5" t="s">
        <v>224</v>
      </c>
      <c r="C11" s="5" t="s">
        <v>225</v>
      </c>
      <c r="D11" s="5" t="s">
        <v>31</v>
      </c>
      <c r="E11" s="5" t="s">
        <v>123</v>
      </c>
      <c r="F11" s="18">
        <v>0.3125</v>
      </c>
      <c r="G11" s="18">
        <v>0.3125</v>
      </c>
      <c r="H11" s="18">
        <v>0.39583333333333331</v>
      </c>
      <c r="I11" s="18">
        <v>0.375</v>
      </c>
      <c r="J11" s="18">
        <v>0.39583333333333331</v>
      </c>
      <c r="K11" s="7" t="s">
        <v>308</v>
      </c>
      <c r="L11" s="7" t="s">
        <v>308</v>
      </c>
      <c r="M11" s="8">
        <f>48</f>
        <v>48</v>
      </c>
      <c r="N11" s="8">
        <f t="shared" si="0"/>
        <v>43</v>
      </c>
      <c r="O11" s="8">
        <f>IF(COUNTIF(PARAMETRES_REGIMES!$A$3:$A$100,$A11)&gt;0,MIN(M11,SUM(F11:L11)*24),MIN(M11,SUM(F11:K11)*24))</f>
        <v>43</v>
      </c>
      <c r="P11" s="9">
        <f>IF(COUNTIF(PARAMETRES_REGIMES!$A$3:$A$100,$A11)&gt;0,FLOOR(MAX(SUM(F11:L11)*24-M11,0),0.5),FLOOR(MAX(SUM(F11:K11)*24-M11,0),0.5))</f>
        <v>0</v>
      </c>
      <c r="Q11" s="9">
        <f>IF(COUNTIF(PARAMETRES_REGIMES!$A$3:$A$100,$A11)&gt;0,0,IF(ISNUMBER(L11),FLOOR(MAX(L11*24,0),0.5),0))</f>
        <v>0</v>
      </c>
      <c r="R11" s="8">
        <f t="shared" si="1"/>
        <v>0</v>
      </c>
      <c r="S11" s="8">
        <f t="shared" si="2"/>
        <v>0</v>
      </c>
      <c r="T11" s="8">
        <f t="shared" si="3"/>
        <v>0</v>
      </c>
      <c r="U11" s="8">
        <f t="shared" si="4"/>
        <v>43</v>
      </c>
      <c r="V11" s="10" t="str">
        <f t="shared" si="5"/>
        <v>OK</v>
      </c>
    </row>
    <row r="12" spans="1:23">
      <c r="A12" s="5">
        <v>124</v>
      </c>
      <c r="B12" s="5" t="s">
        <v>29</v>
      </c>
      <c r="C12" s="5" t="s">
        <v>30</v>
      </c>
      <c r="D12" s="5" t="s">
        <v>31</v>
      </c>
      <c r="E12" s="5" t="s">
        <v>21</v>
      </c>
      <c r="F12" s="18">
        <v>0.375</v>
      </c>
      <c r="G12" s="18">
        <v>0.39583333333333331</v>
      </c>
      <c r="H12" s="18">
        <v>0.39583333333333331</v>
      </c>
      <c r="I12" s="18">
        <v>0.39583333333333331</v>
      </c>
      <c r="J12" s="18">
        <v>0.35416666666666669</v>
      </c>
      <c r="K12" s="7" t="s">
        <v>308</v>
      </c>
      <c r="L12" s="7" t="s">
        <v>308</v>
      </c>
      <c r="M12" s="8">
        <f>48</f>
        <v>48</v>
      </c>
      <c r="N12" s="8">
        <f t="shared" si="0"/>
        <v>46</v>
      </c>
      <c r="O12" s="8">
        <f>IF(COUNTIF(PARAMETRES_REGIMES!$A$3:$A$100,$A12)&gt;0,MIN(M12,SUM(F12:L12)*24),MIN(M12,SUM(F12:K12)*24))</f>
        <v>46</v>
      </c>
      <c r="P12" s="9">
        <f>IF(COUNTIF(PARAMETRES_REGIMES!$A$3:$A$100,$A12)&gt;0,FLOOR(MAX(SUM(F12:L12)*24-M12,0),0.5),FLOOR(MAX(SUM(F12:K12)*24-M12,0),0.5))</f>
        <v>0</v>
      </c>
      <c r="Q12" s="9">
        <f>IF(COUNTIF(PARAMETRES_REGIMES!$A$3:$A$100,$A12)&gt;0,0,IF(ISNUMBER(L12),FLOOR(MAX(L12*24,0),0.5),0))</f>
        <v>0</v>
      </c>
      <c r="R12" s="8">
        <f t="shared" si="1"/>
        <v>0</v>
      </c>
      <c r="S12" s="8">
        <f t="shared" si="2"/>
        <v>0</v>
      </c>
      <c r="T12" s="8">
        <f t="shared" si="3"/>
        <v>0</v>
      </c>
      <c r="U12" s="8">
        <f t="shared" si="4"/>
        <v>46</v>
      </c>
      <c r="V12" s="10" t="str">
        <f t="shared" si="5"/>
        <v>OK</v>
      </c>
    </row>
    <row r="13" spans="1:23">
      <c r="A13" s="5">
        <v>132</v>
      </c>
      <c r="B13" s="5" t="s">
        <v>50</v>
      </c>
      <c r="C13" s="5" t="s">
        <v>51</v>
      </c>
      <c r="D13" s="5" t="s">
        <v>49</v>
      </c>
      <c r="E13" s="5" t="s">
        <v>21</v>
      </c>
      <c r="F13" s="18">
        <v>0.39583333333333331</v>
      </c>
      <c r="G13" s="18" t="s">
        <v>12</v>
      </c>
      <c r="H13" s="18">
        <v>0.39583333333333331</v>
      </c>
      <c r="I13" s="18">
        <v>0.39583333333333331</v>
      </c>
      <c r="J13" s="18" t="s">
        <v>12</v>
      </c>
      <c r="K13" s="7" t="s">
        <v>308</v>
      </c>
      <c r="L13" s="7" t="s">
        <v>308</v>
      </c>
      <c r="M13" s="8">
        <f>48</f>
        <v>48</v>
      </c>
      <c r="N13" s="8">
        <f t="shared" si="0"/>
        <v>28.5</v>
      </c>
      <c r="O13" s="8">
        <f>IF(COUNTIF(PARAMETRES_REGIMES!$A$3:$A$100,$A13)&gt;0,MIN(M13,SUM(F13:L13)*24),MIN(M13,SUM(F13:K13)*24))</f>
        <v>28.5</v>
      </c>
      <c r="P13" s="9">
        <f>IF(COUNTIF(PARAMETRES_REGIMES!$A$3:$A$100,$A13)&gt;0,FLOOR(MAX(SUM(F13:L13)*24-M13,0),0.5),FLOOR(MAX(SUM(F13:K13)*24-M13,0),0.5))</f>
        <v>0</v>
      </c>
      <c r="Q13" s="9">
        <f>IF(COUNTIF(PARAMETRES_REGIMES!$A$3:$A$100,$A13)&gt;0,0,IF(ISNUMBER(L13),FLOOR(MAX(L13*24,0),0.5),0))</f>
        <v>0</v>
      </c>
      <c r="R13" s="8">
        <f t="shared" si="1"/>
        <v>2</v>
      </c>
      <c r="S13" s="8">
        <f t="shared" si="2"/>
        <v>0</v>
      </c>
      <c r="T13" s="8">
        <f t="shared" si="3"/>
        <v>0</v>
      </c>
      <c r="U13" s="8">
        <f t="shared" si="4"/>
        <v>28.5</v>
      </c>
      <c r="V13" s="10" t="str">
        <f t="shared" si="5"/>
        <v>OK</v>
      </c>
    </row>
    <row r="14" spans="1:23">
      <c r="A14" s="5">
        <v>135</v>
      </c>
      <c r="B14" s="5" t="s">
        <v>90</v>
      </c>
      <c r="C14" s="5" t="s">
        <v>91</v>
      </c>
      <c r="D14" s="5" t="s">
        <v>92</v>
      </c>
      <c r="E14" s="5" t="s">
        <v>21</v>
      </c>
      <c r="F14" s="18">
        <v>0.3125</v>
      </c>
      <c r="G14" s="18">
        <v>0.3125</v>
      </c>
      <c r="H14" s="18">
        <v>0.3125</v>
      </c>
      <c r="I14" s="18">
        <v>0.3125</v>
      </c>
      <c r="J14" s="18" t="s">
        <v>12</v>
      </c>
      <c r="K14" s="7" t="s">
        <v>308</v>
      </c>
      <c r="L14" s="7" t="s">
        <v>308</v>
      </c>
      <c r="M14" s="8">
        <f>48</f>
        <v>48</v>
      </c>
      <c r="N14" s="8">
        <f t="shared" si="0"/>
        <v>30</v>
      </c>
      <c r="O14" s="8">
        <f>IF(COUNTIF(PARAMETRES_REGIMES!$A$3:$A$100,$A14)&gt;0,MIN(M14,SUM(F14:L14)*24),MIN(M14,SUM(F14:K14)*24))</f>
        <v>30</v>
      </c>
      <c r="P14" s="9">
        <f>IF(COUNTIF(PARAMETRES_REGIMES!$A$3:$A$100,$A14)&gt;0,FLOOR(MAX(SUM(F14:L14)*24-M14,0),0.5),FLOOR(MAX(SUM(F14:K14)*24-M14,0),0.5))</f>
        <v>0</v>
      </c>
      <c r="Q14" s="9">
        <f>IF(COUNTIF(PARAMETRES_REGIMES!$A$3:$A$100,$A14)&gt;0,0,IF(ISNUMBER(L14),FLOOR(MAX(L14*24,0),0.5),0))</f>
        <v>0</v>
      </c>
      <c r="R14" s="8">
        <f t="shared" si="1"/>
        <v>1</v>
      </c>
      <c r="S14" s="8">
        <f t="shared" si="2"/>
        <v>0</v>
      </c>
      <c r="T14" s="8">
        <f t="shared" si="3"/>
        <v>0</v>
      </c>
      <c r="U14" s="8">
        <f t="shared" si="4"/>
        <v>30</v>
      </c>
      <c r="V14" s="10" t="str">
        <f t="shared" si="5"/>
        <v>OK</v>
      </c>
    </row>
    <row r="15" spans="1:23">
      <c r="A15" s="5">
        <v>158</v>
      </c>
      <c r="B15" s="5" t="s">
        <v>62</v>
      </c>
      <c r="C15" s="5" t="s">
        <v>63</v>
      </c>
      <c r="D15" s="5" t="s">
        <v>49</v>
      </c>
      <c r="E15" s="5" t="s">
        <v>21</v>
      </c>
      <c r="F15" s="18">
        <v>0.22916666666666666</v>
      </c>
      <c r="G15" s="18">
        <v>0.39583333333333331</v>
      </c>
      <c r="H15" s="18">
        <v>0.39583333333333331</v>
      </c>
      <c r="I15" s="18">
        <v>0.39583333333333331</v>
      </c>
      <c r="J15" s="18">
        <v>0.39583333333333331</v>
      </c>
      <c r="K15" s="7" t="s">
        <v>308</v>
      </c>
      <c r="L15" s="7" t="s">
        <v>308</v>
      </c>
      <c r="M15" s="8">
        <f>48</f>
        <v>48</v>
      </c>
      <c r="N15" s="8">
        <f t="shared" si="0"/>
        <v>43.499999999999993</v>
      </c>
      <c r="O15" s="8">
        <f>IF(COUNTIF(PARAMETRES_REGIMES!$A$3:$A$100,$A15)&gt;0,MIN(M15,SUM(F15:L15)*24),MIN(M15,SUM(F15:K15)*24))</f>
        <v>43.499999999999993</v>
      </c>
      <c r="P15" s="9">
        <f>IF(COUNTIF(PARAMETRES_REGIMES!$A$3:$A$100,$A15)&gt;0,FLOOR(MAX(SUM(F15:L15)*24-M15,0),0.5),FLOOR(MAX(SUM(F15:K15)*24-M15,0),0.5))</f>
        <v>0</v>
      </c>
      <c r="Q15" s="9">
        <f>IF(COUNTIF(PARAMETRES_REGIMES!$A$3:$A$100,$A15)&gt;0,0,IF(ISNUMBER(L15),FLOOR(MAX(L15*24,0),0.5),0))</f>
        <v>0</v>
      </c>
      <c r="R15" s="8">
        <f t="shared" si="1"/>
        <v>0</v>
      </c>
      <c r="S15" s="8">
        <f t="shared" si="2"/>
        <v>0</v>
      </c>
      <c r="T15" s="8">
        <f t="shared" si="3"/>
        <v>0</v>
      </c>
      <c r="U15" s="8">
        <f t="shared" si="4"/>
        <v>43.499999999999993</v>
      </c>
      <c r="V15" s="10" t="str">
        <f t="shared" si="5"/>
        <v>OK</v>
      </c>
    </row>
    <row r="16" spans="1:23">
      <c r="A16" s="5">
        <v>163</v>
      </c>
      <c r="B16" s="5" t="s">
        <v>160</v>
      </c>
      <c r="C16" s="5" t="s">
        <v>161</v>
      </c>
      <c r="D16" s="5" t="s">
        <v>31</v>
      </c>
      <c r="E16" s="5" t="s">
        <v>123</v>
      </c>
      <c r="F16" s="18">
        <v>0.39583333333333331</v>
      </c>
      <c r="G16" s="18">
        <v>0.39583333333333331</v>
      </c>
      <c r="H16" s="18">
        <v>0.39583333333333331</v>
      </c>
      <c r="I16" s="18">
        <v>0.39583333333333331</v>
      </c>
      <c r="J16" s="18">
        <v>0.39583333333333331</v>
      </c>
      <c r="K16" s="7" t="s">
        <v>308</v>
      </c>
      <c r="L16" s="7" t="s">
        <v>308</v>
      </c>
      <c r="M16" s="8">
        <f>48</f>
        <v>48</v>
      </c>
      <c r="N16" s="8">
        <f t="shared" si="0"/>
        <v>47.5</v>
      </c>
      <c r="O16" s="8">
        <f>IF(COUNTIF(PARAMETRES_REGIMES!$A$3:$A$100,$A16)&gt;0,MIN(M16,SUM(F16:L16)*24),MIN(M16,SUM(F16:K16)*24))</f>
        <v>47.5</v>
      </c>
      <c r="P16" s="9">
        <f>IF(COUNTIF(PARAMETRES_REGIMES!$A$3:$A$100,$A16)&gt;0,FLOOR(MAX(SUM(F16:L16)*24-M16,0),0.5),FLOOR(MAX(SUM(F16:K16)*24-M16,0),0.5))</f>
        <v>0</v>
      </c>
      <c r="Q16" s="9">
        <f>IF(COUNTIF(PARAMETRES_REGIMES!$A$3:$A$100,$A16)&gt;0,0,IF(ISNUMBER(L16),FLOOR(MAX(L16*24,0),0.5),0))</f>
        <v>0</v>
      </c>
      <c r="R16" s="8">
        <f t="shared" si="1"/>
        <v>0</v>
      </c>
      <c r="S16" s="8">
        <f t="shared" si="2"/>
        <v>0</v>
      </c>
      <c r="T16" s="8">
        <f t="shared" si="3"/>
        <v>0</v>
      </c>
      <c r="U16" s="8">
        <f t="shared" si="4"/>
        <v>47.5</v>
      </c>
      <c r="V16" s="10" t="str">
        <f t="shared" si="5"/>
        <v>OK</v>
      </c>
    </row>
    <row r="17" spans="1:22">
      <c r="A17" s="5">
        <v>166</v>
      </c>
      <c r="B17" s="5" t="s">
        <v>195</v>
      </c>
      <c r="C17" s="5" t="s">
        <v>196</v>
      </c>
      <c r="D17" s="5" t="s">
        <v>31</v>
      </c>
      <c r="E17" s="5" t="s">
        <v>123</v>
      </c>
      <c r="F17" s="18">
        <v>0.39583333333333331</v>
      </c>
      <c r="G17" s="18">
        <v>0.39583333333333331</v>
      </c>
      <c r="H17" s="18">
        <v>0.39583333333333331</v>
      </c>
      <c r="I17" s="18">
        <v>0.39583333333333331</v>
      </c>
      <c r="J17" s="18">
        <v>0.39583333333333331</v>
      </c>
      <c r="K17" s="7" t="s">
        <v>308</v>
      </c>
      <c r="L17" s="7" t="s">
        <v>308</v>
      </c>
      <c r="M17" s="8">
        <f>48</f>
        <v>48</v>
      </c>
      <c r="N17" s="8">
        <f t="shared" si="0"/>
        <v>47.5</v>
      </c>
      <c r="O17" s="8">
        <f>IF(COUNTIF(PARAMETRES_REGIMES!$A$3:$A$100,$A17)&gt;0,MIN(M17,SUM(F17:L17)*24),MIN(M17,SUM(F17:K17)*24))</f>
        <v>47.5</v>
      </c>
      <c r="P17" s="9">
        <f>IF(COUNTIF(PARAMETRES_REGIMES!$A$3:$A$100,$A17)&gt;0,FLOOR(MAX(SUM(F17:L17)*24-M17,0),0.5),FLOOR(MAX(SUM(F17:K17)*24-M17,0),0.5))</f>
        <v>0</v>
      </c>
      <c r="Q17" s="9">
        <f>IF(COUNTIF(PARAMETRES_REGIMES!$A$3:$A$100,$A17)&gt;0,0,IF(ISNUMBER(L17),FLOOR(MAX(L17*24,0),0.5),0))</f>
        <v>0</v>
      </c>
      <c r="R17" s="8">
        <f t="shared" si="1"/>
        <v>0</v>
      </c>
      <c r="S17" s="8">
        <f t="shared" si="2"/>
        <v>0</v>
      </c>
      <c r="T17" s="8">
        <f t="shared" si="3"/>
        <v>0</v>
      </c>
      <c r="U17" s="8">
        <f t="shared" si="4"/>
        <v>47.5</v>
      </c>
      <c r="V17" s="10" t="str">
        <f t="shared" si="5"/>
        <v>OK</v>
      </c>
    </row>
    <row r="18" spans="1:22">
      <c r="A18" s="5">
        <v>169</v>
      </c>
      <c r="B18" s="5" t="s">
        <v>184</v>
      </c>
      <c r="C18" s="5" t="s">
        <v>185</v>
      </c>
      <c r="D18" s="5" t="s">
        <v>31</v>
      </c>
      <c r="E18" s="5" t="s">
        <v>123</v>
      </c>
      <c r="F18" s="18" t="s">
        <v>12</v>
      </c>
      <c r="G18" s="18">
        <v>0.3125</v>
      </c>
      <c r="H18" s="18">
        <v>0.39583333333333331</v>
      </c>
      <c r="I18" s="18">
        <v>0.39583333333333331</v>
      </c>
      <c r="J18" s="18">
        <v>0.39583333333333331</v>
      </c>
      <c r="K18" s="7" t="s">
        <v>308</v>
      </c>
      <c r="L18" s="7" t="s">
        <v>308</v>
      </c>
      <c r="M18" s="8">
        <f>48</f>
        <v>48</v>
      </c>
      <c r="N18" s="8">
        <f t="shared" si="0"/>
        <v>35.999999999999993</v>
      </c>
      <c r="O18" s="8">
        <f>IF(COUNTIF(PARAMETRES_REGIMES!$A$3:$A$100,$A18)&gt;0,MIN(M18,SUM(F18:L18)*24),MIN(M18,SUM(F18:K18)*24))</f>
        <v>35.999999999999993</v>
      </c>
      <c r="P18" s="9">
        <f>IF(COUNTIF(PARAMETRES_REGIMES!$A$3:$A$100,$A18)&gt;0,FLOOR(MAX(SUM(F18:L18)*24-M18,0),0.5),FLOOR(MAX(SUM(F18:K18)*24-M18,0),0.5))</f>
        <v>0</v>
      </c>
      <c r="Q18" s="9">
        <f>IF(COUNTIF(PARAMETRES_REGIMES!$A$3:$A$100,$A18)&gt;0,0,IF(ISNUMBER(L18),FLOOR(MAX(L18*24,0),0.5),0))</f>
        <v>0</v>
      </c>
      <c r="R18" s="8">
        <f t="shared" si="1"/>
        <v>1</v>
      </c>
      <c r="S18" s="8">
        <f t="shared" si="2"/>
        <v>0</v>
      </c>
      <c r="T18" s="8">
        <f t="shared" si="3"/>
        <v>0</v>
      </c>
      <c r="U18" s="8">
        <f t="shared" si="4"/>
        <v>35.999999999999993</v>
      </c>
      <c r="V18" s="10" t="str">
        <f t="shared" si="5"/>
        <v>OK</v>
      </c>
    </row>
    <row r="19" spans="1:22">
      <c r="A19" s="5">
        <v>174</v>
      </c>
      <c r="B19" s="5" t="s">
        <v>52</v>
      </c>
      <c r="C19" s="5" t="s">
        <v>53</v>
      </c>
      <c r="D19" s="5" t="s">
        <v>49</v>
      </c>
      <c r="E19" s="5" t="s">
        <v>21</v>
      </c>
      <c r="F19" s="18">
        <v>0.39583333333333331</v>
      </c>
      <c r="G19" s="18">
        <v>0.39583333333333331</v>
      </c>
      <c r="H19" s="18">
        <v>0.39583333333333331</v>
      </c>
      <c r="I19" s="18">
        <v>0.39583333333333331</v>
      </c>
      <c r="J19" s="18">
        <v>0.39583333333333331</v>
      </c>
      <c r="K19" s="7" t="s">
        <v>308</v>
      </c>
      <c r="L19" s="7" t="s">
        <v>308</v>
      </c>
      <c r="M19" s="8">
        <f>48</f>
        <v>48</v>
      </c>
      <c r="N19" s="8">
        <f t="shared" si="0"/>
        <v>47.5</v>
      </c>
      <c r="O19" s="8">
        <f>IF(COUNTIF(PARAMETRES_REGIMES!$A$3:$A$100,$A19)&gt;0,MIN(M19,SUM(F19:L19)*24),MIN(M19,SUM(F19:K19)*24))</f>
        <v>47.5</v>
      </c>
      <c r="P19" s="9">
        <f>IF(COUNTIF(PARAMETRES_REGIMES!$A$3:$A$100,$A19)&gt;0,FLOOR(MAX(SUM(F19:L19)*24-M19,0),0.5),FLOOR(MAX(SUM(F19:K19)*24-M19,0),0.5))</f>
        <v>0</v>
      </c>
      <c r="Q19" s="9">
        <f>IF(COUNTIF(PARAMETRES_REGIMES!$A$3:$A$100,$A19)&gt;0,0,IF(ISNUMBER(L19),FLOOR(MAX(L19*24,0),0.5),0))</f>
        <v>0</v>
      </c>
      <c r="R19" s="8">
        <f t="shared" si="1"/>
        <v>0</v>
      </c>
      <c r="S19" s="8">
        <f t="shared" si="2"/>
        <v>0</v>
      </c>
      <c r="T19" s="8">
        <f t="shared" si="3"/>
        <v>0</v>
      </c>
      <c r="U19" s="8">
        <f t="shared" si="4"/>
        <v>47.5</v>
      </c>
      <c r="V19" s="10" t="str">
        <f t="shared" si="5"/>
        <v>OK</v>
      </c>
    </row>
    <row r="20" spans="1:22">
      <c r="A20" s="5">
        <v>177</v>
      </c>
      <c r="B20" s="5" t="s">
        <v>153</v>
      </c>
      <c r="C20" s="5" t="s">
        <v>154</v>
      </c>
      <c r="D20" s="5" t="s">
        <v>31</v>
      </c>
      <c r="E20" s="5" t="s">
        <v>123</v>
      </c>
      <c r="F20" s="18">
        <v>0.39583333333333331</v>
      </c>
      <c r="G20" s="18" t="s">
        <v>12</v>
      </c>
      <c r="H20" s="18" t="s">
        <v>12</v>
      </c>
      <c r="I20" s="18">
        <v>0.3125</v>
      </c>
      <c r="J20" s="18">
        <v>0.39583333333333331</v>
      </c>
      <c r="K20" s="7" t="s">
        <v>308</v>
      </c>
      <c r="L20" s="7" t="s">
        <v>308</v>
      </c>
      <c r="M20" s="8">
        <f>48</f>
        <v>48</v>
      </c>
      <c r="N20" s="8">
        <f t="shared" si="0"/>
        <v>26.499999999999996</v>
      </c>
      <c r="O20" s="8">
        <f>IF(COUNTIF(PARAMETRES_REGIMES!$A$3:$A$100,$A20)&gt;0,MIN(M20,SUM(F20:L20)*24),MIN(M20,SUM(F20:K20)*24))</f>
        <v>26.499999999999996</v>
      </c>
      <c r="P20" s="9">
        <f>IF(COUNTIF(PARAMETRES_REGIMES!$A$3:$A$100,$A20)&gt;0,FLOOR(MAX(SUM(F20:L20)*24-M20,0),0.5),FLOOR(MAX(SUM(F20:K20)*24-M20,0),0.5))</f>
        <v>0</v>
      </c>
      <c r="Q20" s="9">
        <f>IF(COUNTIF(PARAMETRES_REGIMES!$A$3:$A$100,$A20)&gt;0,0,IF(ISNUMBER(L20),FLOOR(MAX(L20*24,0),0.5),0))</f>
        <v>0</v>
      </c>
      <c r="R20" s="8">
        <f t="shared" si="1"/>
        <v>2</v>
      </c>
      <c r="S20" s="8">
        <f t="shared" si="2"/>
        <v>0</v>
      </c>
      <c r="T20" s="8">
        <f t="shared" si="3"/>
        <v>0</v>
      </c>
      <c r="U20" s="8">
        <f t="shared" si="4"/>
        <v>26.499999999999996</v>
      </c>
      <c r="V20" s="10" t="str">
        <f t="shared" si="5"/>
        <v>OK</v>
      </c>
    </row>
    <row r="21" spans="1:22">
      <c r="A21" s="5">
        <v>183</v>
      </c>
      <c r="B21" s="5" t="s">
        <v>215</v>
      </c>
      <c r="C21" s="5" t="s">
        <v>216</v>
      </c>
      <c r="D21" s="5" t="s">
        <v>31</v>
      </c>
      <c r="E21" s="5" t="s">
        <v>123</v>
      </c>
      <c r="F21" s="18" t="s">
        <v>309</v>
      </c>
      <c r="G21" s="18" t="s">
        <v>309</v>
      </c>
      <c r="H21" s="18" t="s">
        <v>309</v>
      </c>
      <c r="I21" s="18" t="s">
        <v>309</v>
      </c>
      <c r="J21" s="18" t="s">
        <v>309</v>
      </c>
      <c r="K21" s="7" t="s">
        <v>308</v>
      </c>
      <c r="L21" s="7" t="s">
        <v>308</v>
      </c>
      <c r="M21" s="8">
        <f>48</f>
        <v>48</v>
      </c>
      <c r="N21" s="8">
        <f t="shared" si="0"/>
        <v>0</v>
      </c>
      <c r="O21" s="8">
        <f>IF(COUNTIF(PARAMETRES_REGIMES!$A$3:$A$100,$A21)&gt;0,MIN(M21,SUM(F21:L21)*24),MIN(M21,SUM(F21:K21)*24))</f>
        <v>0</v>
      </c>
      <c r="P21" s="9">
        <f>IF(COUNTIF(PARAMETRES_REGIMES!$A$3:$A$100,$A21)&gt;0,FLOOR(MAX(SUM(F21:L21)*24-M21,0),0.5),FLOOR(MAX(SUM(F21:K21)*24-M21,0),0.5))</f>
        <v>0</v>
      </c>
      <c r="Q21" s="9">
        <f>IF(COUNTIF(PARAMETRES_REGIMES!$A$3:$A$100,$A21)&gt;0,0,IF(ISNUMBER(L21),FLOOR(MAX(L21*24,0),0.5),0))</f>
        <v>0</v>
      </c>
      <c r="R21" s="8">
        <f t="shared" si="1"/>
        <v>0</v>
      </c>
      <c r="S21" s="8">
        <f t="shared" si="2"/>
        <v>0</v>
      </c>
      <c r="T21" s="8">
        <f t="shared" si="3"/>
        <v>0</v>
      </c>
      <c r="U21" s="8">
        <f t="shared" si="4"/>
        <v>0</v>
      </c>
      <c r="V21" s="10" t="str">
        <f t="shared" si="5"/>
        <v>STC</v>
      </c>
    </row>
    <row r="22" spans="1:22">
      <c r="A22" s="5">
        <v>192</v>
      </c>
      <c r="B22" s="5" t="s">
        <v>170</v>
      </c>
      <c r="C22" s="5" t="s">
        <v>171</v>
      </c>
      <c r="D22" s="5" t="s">
        <v>31</v>
      </c>
      <c r="E22" s="5" t="s">
        <v>123</v>
      </c>
      <c r="F22" s="18" t="s">
        <v>12</v>
      </c>
      <c r="G22" s="18" t="s">
        <v>12</v>
      </c>
      <c r="H22" s="18">
        <v>0.3125</v>
      </c>
      <c r="I22" s="18">
        <v>0.39583333333333331</v>
      </c>
      <c r="J22" s="18">
        <v>0.39583333333333331</v>
      </c>
      <c r="K22" s="7" t="s">
        <v>308</v>
      </c>
      <c r="L22" s="7" t="s">
        <v>308</v>
      </c>
      <c r="M22" s="8">
        <f>48</f>
        <v>48</v>
      </c>
      <c r="N22" s="8">
        <f t="shared" si="0"/>
        <v>26.499999999999996</v>
      </c>
      <c r="O22" s="8">
        <f>IF(COUNTIF(PARAMETRES_REGIMES!$A$3:$A$100,$A22)&gt;0,MIN(M22,SUM(F22:L22)*24),MIN(M22,SUM(F22:K22)*24))</f>
        <v>26.499999999999996</v>
      </c>
      <c r="P22" s="9">
        <f>IF(COUNTIF(PARAMETRES_REGIMES!$A$3:$A$100,$A22)&gt;0,FLOOR(MAX(SUM(F22:L22)*24-M22,0),0.5),FLOOR(MAX(SUM(F22:K22)*24-M22,0),0.5))</f>
        <v>0</v>
      </c>
      <c r="Q22" s="9">
        <f>IF(COUNTIF(PARAMETRES_REGIMES!$A$3:$A$100,$A22)&gt;0,0,IF(ISNUMBER(L22),FLOOR(MAX(L22*24,0),0.5),0))</f>
        <v>0</v>
      </c>
      <c r="R22" s="8">
        <f t="shared" si="1"/>
        <v>2</v>
      </c>
      <c r="S22" s="8">
        <f t="shared" si="2"/>
        <v>0</v>
      </c>
      <c r="T22" s="8">
        <f t="shared" si="3"/>
        <v>0</v>
      </c>
      <c r="U22" s="8">
        <f t="shared" si="4"/>
        <v>26.499999999999996</v>
      </c>
      <c r="V22" s="10" t="str">
        <f t="shared" si="5"/>
        <v>OK</v>
      </c>
    </row>
    <row r="23" spans="1:22">
      <c r="A23" s="5">
        <v>199</v>
      </c>
      <c r="B23" s="5" t="s">
        <v>226</v>
      </c>
      <c r="C23" s="5" t="s">
        <v>227</v>
      </c>
      <c r="D23" s="5" t="s">
        <v>31</v>
      </c>
      <c r="E23" s="5" t="s">
        <v>123</v>
      </c>
      <c r="F23" s="18" t="s">
        <v>12</v>
      </c>
      <c r="G23" s="18">
        <v>0.3125</v>
      </c>
      <c r="H23" s="18">
        <v>0.39583333333333331</v>
      </c>
      <c r="I23" s="18">
        <v>0.39583333333333331</v>
      </c>
      <c r="J23" s="18">
        <v>0.39583333333333331</v>
      </c>
      <c r="K23" s="7" t="s">
        <v>308</v>
      </c>
      <c r="L23" s="7" t="s">
        <v>308</v>
      </c>
      <c r="M23" s="8">
        <f>48</f>
        <v>48</v>
      </c>
      <c r="N23" s="8">
        <f t="shared" si="0"/>
        <v>35.999999999999993</v>
      </c>
      <c r="O23" s="8">
        <f>IF(COUNTIF(PARAMETRES_REGIMES!$A$3:$A$100,$A23)&gt;0,MIN(M23,SUM(F23:L23)*24),MIN(M23,SUM(F23:K23)*24))</f>
        <v>35.999999999999993</v>
      </c>
      <c r="P23" s="9">
        <f>IF(COUNTIF(PARAMETRES_REGIMES!$A$3:$A$100,$A23)&gt;0,FLOOR(MAX(SUM(F23:L23)*24-M23,0),0.5),FLOOR(MAX(SUM(F23:K23)*24-M23,0),0.5))</f>
        <v>0</v>
      </c>
      <c r="Q23" s="9">
        <f>IF(COUNTIF(PARAMETRES_REGIMES!$A$3:$A$100,$A23)&gt;0,0,IF(ISNUMBER(L23),FLOOR(MAX(L23*24,0),0.5),0))</f>
        <v>0</v>
      </c>
      <c r="R23" s="8">
        <f t="shared" si="1"/>
        <v>1</v>
      </c>
      <c r="S23" s="8">
        <f t="shared" si="2"/>
        <v>0</v>
      </c>
      <c r="T23" s="8">
        <f t="shared" si="3"/>
        <v>0</v>
      </c>
      <c r="U23" s="8">
        <f t="shared" si="4"/>
        <v>35.999999999999993</v>
      </c>
      <c r="V23" s="10" t="str">
        <f t="shared" si="5"/>
        <v>OK</v>
      </c>
    </row>
    <row r="24" spans="1:22">
      <c r="A24" s="5">
        <v>204</v>
      </c>
      <c r="B24" s="5" t="s">
        <v>281</v>
      </c>
      <c r="C24" s="5" t="s">
        <v>282</v>
      </c>
      <c r="D24" s="5" t="s">
        <v>31</v>
      </c>
      <c r="E24" s="5" t="s">
        <v>123</v>
      </c>
      <c r="F24" s="18">
        <v>0.39583333333333331</v>
      </c>
      <c r="G24" s="18">
        <v>0.39583333333333331</v>
      </c>
      <c r="H24" s="18">
        <v>0.39583333333333331</v>
      </c>
      <c r="I24" s="18">
        <v>0.39583333333333331</v>
      </c>
      <c r="J24" s="18">
        <v>0.39583333333333331</v>
      </c>
      <c r="K24" s="7" t="s">
        <v>308</v>
      </c>
      <c r="L24" s="7" t="s">
        <v>308</v>
      </c>
      <c r="M24" s="8">
        <f>48</f>
        <v>48</v>
      </c>
      <c r="N24" s="8">
        <f t="shared" si="0"/>
        <v>47.5</v>
      </c>
      <c r="O24" s="8">
        <f>IF(COUNTIF(PARAMETRES_REGIMES!$A$3:$A$100,$A24)&gt;0,MIN(M24,SUM(F24:L24)*24),MIN(M24,SUM(F24:K24)*24))</f>
        <v>47.5</v>
      </c>
      <c r="P24" s="9">
        <f>IF(COUNTIF(PARAMETRES_REGIMES!$A$3:$A$100,$A24)&gt;0,FLOOR(MAX(SUM(F24:L24)*24-M24,0),0.5),FLOOR(MAX(SUM(F24:K24)*24-M24,0),0.5))</f>
        <v>0</v>
      </c>
      <c r="Q24" s="9">
        <f>IF(COUNTIF(PARAMETRES_REGIMES!$A$3:$A$100,$A24)&gt;0,0,IF(ISNUMBER(L24),FLOOR(MAX(L24*24,0),0.5),0))</f>
        <v>0</v>
      </c>
      <c r="R24" s="8">
        <f t="shared" si="1"/>
        <v>0</v>
      </c>
      <c r="S24" s="8">
        <f t="shared" si="2"/>
        <v>0</v>
      </c>
      <c r="T24" s="8">
        <f t="shared" si="3"/>
        <v>0</v>
      </c>
      <c r="U24" s="8">
        <f t="shared" si="4"/>
        <v>47.5</v>
      </c>
      <c r="V24" s="10" t="str">
        <f t="shared" si="5"/>
        <v>OK</v>
      </c>
    </row>
    <row r="25" spans="1:22">
      <c r="A25" s="5">
        <v>215</v>
      </c>
      <c r="B25" s="5" t="s">
        <v>279</v>
      </c>
      <c r="C25" s="5" t="s">
        <v>280</v>
      </c>
      <c r="D25" s="5" t="s">
        <v>31</v>
      </c>
      <c r="E25" s="5" t="s">
        <v>123</v>
      </c>
      <c r="F25" s="18">
        <v>0.39583333333333331</v>
      </c>
      <c r="G25" s="18">
        <v>0.39583333333333331</v>
      </c>
      <c r="H25" s="18">
        <v>0.39583333333333331</v>
      </c>
      <c r="I25" s="18">
        <v>0.39583333333333331</v>
      </c>
      <c r="J25" s="18">
        <v>0.39583333333333331</v>
      </c>
      <c r="K25" s="7" t="s">
        <v>308</v>
      </c>
      <c r="L25" s="7" t="s">
        <v>308</v>
      </c>
      <c r="M25" s="8">
        <f>48</f>
        <v>48</v>
      </c>
      <c r="N25" s="8">
        <f t="shared" si="0"/>
        <v>47.5</v>
      </c>
      <c r="O25" s="8">
        <f>IF(COUNTIF(PARAMETRES_REGIMES!$A$3:$A$100,$A25)&gt;0,MIN(M25,SUM(F25:L25)*24),MIN(M25,SUM(F25:K25)*24))</f>
        <v>47.5</v>
      </c>
      <c r="P25" s="9">
        <f>IF(COUNTIF(PARAMETRES_REGIMES!$A$3:$A$100,$A25)&gt;0,FLOOR(MAX(SUM(F25:L25)*24-M25,0),0.5),FLOOR(MAX(SUM(F25:K25)*24-M25,0),0.5))</f>
        <v>0</v>
      </c>
      <c r="Q25" s="9">
        <f>IF(COUNTIF(PARAMETRES_REGIMES!$A$3:$A$100,$A25)&gt;0,0,IF(ISNUMBER(L25),FLOOR(MAX(L25*24,0),0.5),0))</f>
        <v>0</v>
      </c>
      <c r="R25" s="8">
        <f t="shared" si="1"/>
        <v>0</v>
      </c>
      <c r="S25" s="8">
        <f t="shared" si="2"/>
        <v>0</v>
      </c>
      <c r="T25" s="8">
        <f t="shared" si="3"/>
        <v>0</v>
      </c>
      <c r="U25" s="8">
        <f t="shared" si="4"/>
        <v>47.5</v>
      </c>
      <c r="V25" s="10" t="str">
        <f t="shared" si="5"/>
        <v>OK</v>
      </c>
    </row>
    <row r="26" spans="1:22">
      <c r="A26" s="5">
        <v>223</v>
      </c>
      <c r="B26" s="5" t="s">
        <v>112</v>
      </c>
      <c r="C26" s="5" t="s">
        <v>113</v>
      </c>
      <c r="D26" s="5" t="s">
        <v>92</v>
      </c>
      <c r="E26" s="5" t="s">
        <v>21</v>
      </c>
      <c r="F26" s="18">
        <v>0.29166666666666669</v>
      </c>
      <c r="G26" s="18">
        <v>0.375</v>
      </c>
      <c r="H26" s="18" t="s">
        <v>12</v>
      </c>
      <c r="I26" s="18">
        <v>0.375</v>
      </c>
      <c r="J26" s="18">
        <v>0.375</v>
      </c>
      <c r="K26" s="7" t="s">
        <v>308</v>
      </c>
      <c r="L26" s="7" t="s">
        <v>308</v>
      </c>
      <c r="M26" s="8">
        <f>48</f>
        <v>48</v>
      </c>
      <c r="N26" s="8">
        <f t="shared" si="0"/>
        <v>34</v>
      </c>
      <c r="O26" s="8">
        <f>IF(COUNTIF(PARAMETRES_REGIMES!$A$3:$A$100,$A26)&gt;0,MIN(M26,SUM(F26:L26)*24),MIN(M26,SUM(F26:K26)*24))</f>
        <v>34</v>
      </c>
      <c r="P26" s="9">
        <f>IF(COUNTIF(PARAMETRES_REGIMES!$A$3:$A$100,$A26)&gt;0,FLOOR(MAX(SUM(F26:L26)*24-M26,0),0.5),FLOOR(MAX(SUM(F26:K26)*24-M26,0),0.5))</f>
        <v>0</v>
      </c>
      <c r="Q26" s="9">
        <f>IF(COUNTIF(PARAMETRES_REGIMES!$A$3:$A$100,$A26)&gt;0,0,IF(ISNUMBER(L26),FLOOR(MAX(L26*24,0),0.5),0))</f>
        <v>0</v>
      </c>
      <c r="R26" s="8">
        <f t="shared" si="1"/>
        <v>1</v>
      </c>
      <c r="S26" s="8">
        <f t="shared" si="2"/>
        <v>0</v>
      </c>
      <c r="T26" s="8">
        <f t="shared" si="3"/>
        <v>0</v>
      </c>
      <c r="U26" s="8">
        <f t="shared" si="4"/>
        <v>34</v>
      </c>
      <c r="V26" s="10" t="str">
        <f t="shared" si="5"/>
        <v>OK</v>
      </c>
    </row>
    <row r="27" spans="1:22">
      <c r="A27" s="5">
        <v>227</v>
      </c>
      <c r="B27" s="5" t="s">
        <v>100</v>
      </c>
      <c r="C27" s="5" t="s">
        <v>101</v>
      </c>
      <c r="D27" s="5" t="s">
        <v>92</v>
      </c>
      <c r="E27" s="5" t="s">
        <v>21</v>
      </c>
      <c r="F27" s="18">
        <v>0.33333333333333331</v>
      </c>
      <c r="G27" s="18" t="s">
        <v>12</v>
      </c>
      <c r="H27" s="18">
        <v>0.33333333333333331</v>
      </c>
      <c r="I27" s="18">
        <v>0.33333333333333331</v>
      </c>
      <c r="J27" s="18">
        <v>0.27083333333333331</v>
      </c>
      <c r="K27" s="7" t="s">
        <v>308</v>
      </c>
      <c r="L27" s="7" t="s">
        <v>308</v>
      </c>
      <c r="M27" s="8">
        <f>48</f>
        <v>48</v>
      </c>
      <c r="N27" s="8">
        <f t="shared" si="0"/>
        <v>30.5</v>
      </c>
      <c r="O27" s="8">
        <f>IF(COUNTIF(PARAMETRES_REGIMES!$A$3:$A$100,$A27)&gt;0,MIN(M27,SUM(F27:L27)*24),MIN(M27,SUM(F27:K27)*24))</f>
        <v>30.5</v>
      </c>
      <c r="P27" s="9">
        <f>IF(COUNTIF(PARAMETRES_REGIMES!$A$3:$A$100,$A27)&gt;0,FLOOR(MAX(SUM(F27:L27)*24-M27,0),0.5),FLOOR(MAX(SUM(F27:K27)*24-M27,0),0.5))</f>
        <v>0</v>
      </c>
      <c r="Q27" s="9">
        <f>IF(COUNTIF(PARAMETRES_REGIMES!$A$3:$A$100,$A27)&gt;0,0,IF(ISNUMBER(L27),FLOOR(MAX(L27*24,0),0.5),0))</f>
        <v>0</v>
      </c>
      <c r="R27" s="8">
        <f t="shared" si="1"/>
        <v>1</v>
      </c>
      <c r="S27" s="8">
        <f t="shared" si="2"/>
        <v>0</v>
      </c>
      <c r="T27" s="8">
        <f t="shared" si="3"/>
        <v>0</v>
      </c>
      <c r="U27" s="8">
        <f t="shared" si="4"/>
        <v>30.5</v>
      </c>
      <c r="V27" s="10" t="str">
        <f t="shared" si="5"/>
        <v>OK</v>
      </c>
    </row>
    <row r="28" spans="1:22">
      <c r="A28" s="5">
        <v>234</v>
      </c>
      <c r="B28" s="5" t="s">
        <v>217</v>
      </c>
      <c r="C28" s="5" t="s">
        <v>218</v>
      </c>
      <c r="D28" s="5" t="s">
        <v>31</v>
      </c>
      <c r="E28" s="5" t="s">
        <v>123</v>
      </c>
      <c r="F28" s="18">
        <v>0.33333333333333331</v>
      </c>
      <c r="G28" s="18">
        <v>0.39583333333333331</v>
      </c>
      <c r="H28" s="18">
        <v>0.39583333333333331</v>
      </c>
      <c r="I28" s="18">
        <v>0.375</v>
      </c>
      <c r="J28" s="36">
        <v>0.375</v>
      </c>
      <c r="K28" s="7" t="s">
        <v>308</v>
      </c>
      <c r="L28" s="7" t="s">
        <v>308</v>
      </c>
      <c r="M28" s="8">
        <f>48</f>
        <v>48</v>
      </c>
      <c r="N28" s="8">
        <f t="shared" si="0"/>
        <v>45</v>
      </c>
      <c r="O28" s="8">
        <f>IF(COUNTIF(PARAMETRES_REGIMES!$A$3:$A$100,$A28)&gt;0,MIN(M28,SUM(F28:L28)*24),MIN(M28,SUM(F28:K28)*24))</f>
        <v>45</v>
      </c>
      <c r="P28" s="9">
        <f>IF(COUNTIF(PARAMETRES_REGIMES!$A$3:$A$100,$A28)&gt;0,FLOOR(MAX(SUM(F28:L28)*24-M28,0),0.5),FLOOR(MAX(SUM(F28:K28)*24-M28,0),0.5))</f>
        <v>0</v>
      </c>
      <c r="Q28" s="9">
        <f>IF(COUNTIF(PARAMETRES_REGIMES!$A$3:$A$100,$A28)&gt;0,0,IF(ISNUMBER(L28),FLOOR(MAX(L28*24,0),0.5),0))</f>
        <v>0</v>
      </c>
      <c r="R28" s="8">
        <f t="shared" si="1"/>
        <v>0</v>
      </c>
      <c r="S28" s="8">
        <f t="shared" si="2"/>
        <v>0</v>
      </c>
      <c r="T28" s="8">
        <f t="shared" si="3"/>
        <v>0</v>
      </c>
      <c r="U28" s="8">
        <f t="shared" si="4"/>
        <v>45</v>
      </c>
      <c r="V28" s="10" t="str">
        <f t="shared" si="5"/>
        <v>OK</v>
      </c>
    </row>
    <row r="29" spans="1:22">
      <c r="A29" s="5">
        <v>240</v>
      </c>
      <c r="B29" s="5" t="s">
        <v>162</v>
      </c>
      <c r="C29" s="5" t="s">
        <v>163</v>
      </c>
      <c r="D29" s="5" t="s">
        <v>31</v>
      </c>
      <c r="E29" s="5" t="s">
        <v>123</v>
      </c>
      <c r="F29" s="18">
        <v>0.39583333333333331</v>
      </c>
      <c r="G29" s="18" t="s">
        <v>12</v>
      </c>
      <c r="H29" s="18">
        <v>0.3125</v>
      </c>
      <c r="I29" s="18">
        <v>0.39583333333333331</v>
      </c>
      <c r="J29" s="18">
        <v>0.39583333333333331</v>
      </c>
      <c r="K29" s="7" t="s">
        <v>308</v>
      </c>
      <c r="L29" s="7" t="s">
        <v>308</v>
      </c>
      <c r="M29" s="8">
        <f>48</f>
        <v>48</v>
      </c>
      <c r="N29" s="8">
        <f t="shared" si="0"/>
        <v>35.999999999999993</v>
      </c>
      <c r="O29" s="8">
        <f>IF(COUNTIF(PARAMETRES_REGIMES!$A$3:$A$100,$A29)&gt;0,MIN(M29,SUM(F29:L29)*24),MIN(M29,SUM(F29:K29)*24))</f>
        <v>35.999999999999993</v>
      </c>
      <c r="P29" s="9">
        <f>IF(COUNTIF(PARAMETRES_REGIMES!$A$3:$A$100,$A29)&gt;0,FLOOR(MAX(SUM(F29:L29)*24-M29,0),0.5),FLOOR(MAX(SUM(F29:K29)*24-M29,0),0.5))</f>
        <v>0</v>
      </c>
      <c r="Q29" s="9">
        <f>IF(COUNTIF(PARAMETRES_REGIMES!$A$3:$A$100,$A29)&gt;0,0,IF(ISNUMBER(L29),FLOOR(MAX(L29*24,0),0.5),0))</f>
        <v>0</v>
      </c>
      <c r="R29" s="8">
        <f t="shared" si="1"/>
        <v>1</v>
      </c>
      <c r="S29" s="8">
        <f t="shared" si="2"/>
        <v>0</v>
      </c>
      <c r="T29" s="8">
        <f t="shared" si="3"/>
        <v>0</v>
      </c>
      <c r="U29" s="8">
        <f t="shared" si="4"/>
        <v>35.999999999999993</v>
      </c>
      <c r="V29" s="10" t="str">
        <f t="shared" si="5"/>
        <v>OK</v>
      </c>
    </row>
    <row r="30" spans="1:22">
      <c r="A30" s="5">
        <v>242</v>
      </c>
      <c r="B30" s="5" t="s">
        <v>262</v>
      </c>
      <c r="C30" s="5" t="s">
        <v>263</v>
      </c>
      <c r="D30" s="5" t="s">
        <v>31</v>
      </c>
      <c r="E30" s="5" t="s">
        <v>123</v>
      </c>
      <c r="F30" s="18">
        <v>0.39583333333333331</v>
      </c>
      <c r="G30" s="18" t="s">
        <v>12</v>
      </c>
      <c r="H30" s="18">
        <v>0.3125</v>
      </c>
      <c r="I30" s="18">
        <v>0.39583333333333331</v>
      </c>
      <c r="J30" s="18">
        <v>0.39583333333333331</v>
      </c>
      <c r="K30" s="7" t="s">
        <v>308</v>
      </c>
      <c r="L30" s="7" t="s">
        <v>308</v>
      </c>
      <c r="M30" s="8">
        <f>48</f>
        <v>48</v>
      </c>
      <c r="N30" s="8">
        <f t="shared" si="0"/>
        <v>35.999999999999993</v>
      </c>
      <c r="O30" s="8">
        <f>IF(COUNTIF(PARAMETRES_REGIMES!$A$3:$A$100,$A30)&gt;0,MIN(M30,SUM(F30:L30)*24),MIN(M30,SUM(F30:K30)*24))</f>
        <v>35.999999999999993</v>
      </c>
      <c r="P30" s="9">
        <f>IF(COUNTIF(PARAMETRES_REGIMES!$A$3:$A$100,$A30)&gt;0,FLOOR(MAX(SUM(F30:L30)*24-M30,0),0.5),FLOOR(MAX(SUM(F30:K30)*24-M30,0),0.5))</f>
        <v>0</v>
      </c>
      <c r="Q30" s="9">
        <f>IF(COUNTIF(PARAMETRES_REGIMES!$A$3:$A$100,$A30)&gt;0,0,IF(ISNUMBER(L30),FLOOR(MAX(L30*24,0),0.5),0))</f>
        <v>0</v>
      </c>
      <c r="R30" s="8">
        <f t="shared" si="1"/>
        <v>1</v>
      </c>
      <c r="S30" s="8">
        <f t="shared" si="2"/>
        <v>0</v>
      </c>
      <c r="T30" s="8">
        <f t="shared" si="3"/>
        <v>0</v>
      </c>
      <c r="U30" s="8">
        <f t="shared" si="4"/>
        <v>35.999999999999993</v>
      </c>
      <c r="V30" s="10" t="str">
        <f t="shared" si="5"/>
        <v>OK</v>
      </c>
    </row>
    <row r="31" spans="1:22">
      <c r="A31" s="5">
        <v>243</v>
      </c>
      <c r="B31" s="5" t="s">
        <v>230</v>
      </c>
      <c r="C31" s="5" t="s">
        <v>205</v>
      </c>
      <c r="D31" s="5" t="s">
        <v>31</v>
      </c>
      <c r="E31" s="5" t="s">
        <v>123</v>
      </c>
      <c r="F31" s="18">
        <v>0.39583333333333331</v>
      </c>
      <c r="G31" s="18">
        <v>0.39583333333333331</v>
      </c>
      <c r="H31" s="18" t="s">
        <v>12</v>
      </c>
      <c r="I31" s="18">
        <v>0.3125</v>
      </c>
      <c r="J31" s="18">
        <v>0.39583333333333331</v>
      </c>
      <c r="K31" s="7" t="s">
        <v>308</v>
      </c>
      <c r="L31" s="7" t="s">
        <v>308</v>
      </c>
      <c r="M31" s="8">
        <f>48</f>
        <v>48</v>
      </c>
      <c r="N31" s="8">
        <f t="shared" si="0"/>
        <v>35.999999999999993</v>
      </c>
      <c r="O31" s="8">
        <f>IF(COUNTIF(PARAMETRES_REGIMES!$A$3:$A$100,$A31)&gt;0,MIN(M31,SUM(F31:L31)*24),MIN(M31,SUM(F31:K31)*24))</f>
        <v>35.999999999999993</v>
      </c>
      <c r="P31" s="9">
        <f>IF(COUNTIF(PARAMETRES_REGIMES!$A$3:$A$100,$A31)&gt;0,FLOOR(MAX(SUM(F31:L31)*24-M31,0),0.5),FLOOR(MAX(SUM(F31:K31)*24-M31,0),0.5))</f>
        <v>0</v>
      </c>
      <c r="Q31" s="9">
        <f>IF(COUNTIF(PARAMETRES_REGIMES!$A$3:$A$100,$A31)&gt;0,0,IF(ISNUMBER(L31),FLOOR(MAX(L31*24,0),0.5),0))</f>
        <v>0</v>
      </c>
      <c r="R31" s="8">
        <f t="shared" si="1"/>
        <v>1</v>
      </c>
      <c r="S31" s="8">
        <f t="shared" si="2"/>
        <v>0</v>
      </c>
      <c r="T31" s="8">
        <f t="shared" si="3"/>
        <v>0</v>
      </c>
      <c r="U31" s="8">
        <f t="shared" si="4"/>
        <v>35.999999999999993</v>
      </c>
      <c r="V31" s="10" t="str">
        <f t="shared" si="5"/>
        <v>OK</v>
      </c>
    </row>
    <row r="32" spans="1:22">
      <c r="A32" s="5">
        <v>244</v>
      </c>
      <c r="B32" s="5" t="s">
        <v>212</v>
      </c>
      <c r="C32" s="5" t="s">
        <v>163</v>
      </c>
      <c r="D32" s="5" t="s">
        <v>31</v>
      </c>
      <c r="E32" s="5" t="s">
        <v>123</v>
      </c>
      <c r="F32" s="18" t="s">
        <v>12</v>
      </c>
      <c r="G32" s="18">
        <v>8.3333333333333329E-2</v>
      </c>
      <c r="H32" s="18" t="s">
        <v>12</v>
      </c>
      <c r="I32" s="18" t="s">
        <v>12</v>
      </c>
      <c r="J32" s="18" t="s">
        <v>12</v>
      </c>
      <c r="K32" s="7" t="s">
        <v>308</v>
      </c>
      <c r="L32" s="7" t="s">
        <v>308</v>
      </c>
      <c r="M32" s="8">
        <f>48</f>
        <v>48</v>
      </c>
      <c r="N32" s="8">
        <f t="shared" si="0"/>
        <v>2</v>
      </c>
      <c r="O32" s="8">
        <f>IF(COUNTIF(PARAMETRES_REGIMES!$A$3:$A$100,$A32)&gt;0,MIN(M32,SUM(F32:L32)*24),MIN(M32,SUM(F32:K32)*24))</f>
        <v>2</v>
      </c>
      <c r="P32" s="9">
        <f>IF(COUNTIF(PARAMETRES_REGIMES!$A$3:$A$100,$A32)&gt;0,FLOOR(MAX(SUM(F32:L32)*24-M32,0),0.5),FLOOR(MAX(SUM(F32:K32)*24-M32,0),0.5))</f>
        <v>0</v>
      </c>
      <c r="Q32" s="9">
        <f>IF(COUNTIF(PARAMETRES_REGIMES!$A$3:$A$100,$A32)&gt;0,0,IF(ISNUMBER(L32),FLOOR(MAX(L32*24,0),0.5),0))</f>
        <v>0</v>
      </c>
      <c r="R32" s="8">
        <f t="shared" si="1"/>
        <v>4</v>
      </c>
      <c r="S32" s="8">
        <f t="shared" si="2"/>
        <v>0</v>
      </c>
      <c r="T32" s="8">
        <f t="shared" si="3"/>
        <v>0</v>
      </c>
      <c r="U32" s="8">
        <f t="shared" si="4"/>
        <v>2</v>
      </c>
      <c r="V32" s="10" t="str">
        <f t="shared" si="5"/>
        <v>OK</v>
      </c>
    </row>
    <row r="33" spans="1:22">
      <c r="A33" s="5">
        <v>247</v>
      </c>
      <c r="B33" s="5" t="s">
        <v>258</v>
      </c>
      <c r="C33" s="5" t="s">
        <v>259</v>
      </c>
      <c r="D33" s="5" t="s">
        <v>31</v>
      </c>
      <c r="E33" s="5" t="s">
        <v>123</v>
      </c>
      <c r="F33" s="18">
        <v>0.39583333333333331</v>
      </c>
      <c r="G33" s="18">
        <v>0.39583333333333331</v>
      </c>
      <c r="H33" s="18">
        <v>0.39583333333333331</v>
      </c>
      <c r="I33" s="18">
        <v>0.39583333333333331</v>
      </c>
      <c r="J33" s="18">
        <v>0.39583333333333331</v>
      </c>
      <c r="K33" s="7" t="s">
        <v>308</v>
      </c>
      <c r="L33" s="7" t="s">
        <v>308</v>
      </c>
      <c r="M33" s="8">
        <f>48</f>
        <v>48</v>
      </c>
      <c r="N33" s="8">
        <f t="shared" si="0"/>
        <v>47.5</v>
      </c>
      <c r="O33" s="8">
        <f>IF(COUNTIF(PARAMETRES_REGIMES!$A$3:$A$100,$A33)&gt;0,MIN(M33,SUM(F33:L33)*24),MIN(M33,SUM(F33:K33)*24))</f>
        <v>47.5</v>
      </c>
      <c r="P33" s="9">
        <f>IF(COUNTIF(PARAMETRES_REGIMES!$A$3:$A$100,$A33)&gt;0,FLOOR(MAX(SUM(F33:L33)*24-M33,0),0.5),FLOOR(MAX(SUM(F33:K33)*24-M33,0),0.5))</f>
        <v>0</v>
      </c>
      <c r="Q33" s="9">
        <f>IF(COUNTIF(PARAMETRES_REGIMES!$A$3:$A$100,$A33)&gt;0,0,IF(ISNUMBER(L33),FLOOR(MAX(L33*24,0),0.5),0))</f>
        <v>0</v>
      </c>
      <c r="R33" s="8">
        <f t="shared" si="1"/>
        <v>0</v>
      </c>
      <c r="S33" s="8">
        <f t="shared" si="2"/>
        <v>0</v>
      </c>
      <c r="T33" s="8">
        <f t="shared" si="3"/>
        <v>0</v>
      </c>
      <c r="U33" s="8">
        <f t="shared" si="4"/>
        <v>47.5</v>
      </c>
      <c r="V33" s="10" t="str">
        <f t="shared" si="5"/>
        <v>OK</v>
      </c>
    </row>
    <row r="34" spans="1:22">
      <c r="A34" s="5">
        <v>248</v>
      </c>
      <c r="B34" s="5" t="s">
        <v>96</v>
      </c>
      <c r="C34" s="5" t="s">
        <v>97</v>
      </c>
      <c r="D34" s="5" t="s">
        <v>92</v>
      </c>
      <c r="E34" s="5" t="s">
        <v>21</v>
      </c>
      <c r="F34" s="18" t="s">
        <v>12</v>
      </c>
      <c r="G34" s="18">
        <v>0.39583333333333331</v>
      </c>
      <c r="H34" s="18">
        <v>0.35416666666666669</v>
      </c>
      <c r="I34" s="18">
        <v>0.39583333333333331</v>
      </c>
      <c r="J34" s="18">
        <v>0.39583333333333331</v>
      </c>
      <c r="K34" s="7" t="s">
        <v>308</v>
      </c>
      <c r="L34" s="7" t="s">
        <v>308</v>
      </c>
      <c r="M34" s="8">
        <f>48</f>
        <v>48</v>
      </c>
      <c r="N34" s="8">
        <f t="shared" si="0"/>
        <v>37</v>
      </c>
      <c r="O34" s="8">
        <f>IF(COUNTIF(PARAMETRES_REGIMES!$A$3:$A$100,$A34)&gt;0,MIN(M34,SUM(F34:L34)*24),MIN(M34,SUM(F34:K34)*24))</f>
        <v>37</v>
      </c>
      <c r="P34" s="9">
        <f>IF(COUNTIF(PARAMETRES_REGIMES!$A$3:$A$100,$A34)&gt;0,FLOOR(MAX(SUM(F34:L34)*24-M34,0),0.5),FLOOR(MAX(SUM(F34:K34)*24-M34,0),0.5))</f>
        <v>0</v>
      </c>
      <c r="Q34" s="9">
        <f>IF(COUNTIF(PARAMETRES_REGIMES!$A$3:$A$100,$A34)&gt;0,0,IF(ISNUMBER(L34),FLOOR(MAX(L34*24,0),0.5),0))</f>
        <v>0</v>
      </c>
      <c r="R34" s="8">
        <f t="shared" si="1"/>
        <v>1</v>
      </c>
      <c r="S34" s="8">
        <f t="shared" si="2"/>
        <v>0</v>
      </c>
      <c r="T34" s="8">
        <f t="shared" si="3"/>
        <v>0</v>
      </c>
      <c r="U34" s="8">
        <f t="shared" si="4"/>
        <v>37</v>
      </c>
      <c r="V34" s="10" t="str">
        <f t="shared" si="5"/>
        <v>OK</v>
      </c>
    </row>
    <row r="35" spans="1:22">
      <c r="A35" s="5">
        <v>249</v>
      </c>
      <c r="B35" s="5" t="s">
        <v>88</v>
      </c>
      <c r="C35" s="5" t="s">
        <v>89</v>
      </c>
      <c r="D35" s="5" t="s">
        <v>87</v>
      </c>
      <c r="E35" s="5" t="s">
        <v>21</v>
      </c>
      <c r="F35" s="18">
        <v>0.35416666666666669</v>
      </c>
      <c r="G35" s="18">
        <v>0.35416666666666669</v>
      </c>
      <c r="H35" s="18">
        <v>0.20833333333333334</v>
      </c>
      <c r="I35" s="18">
        <v>0.375</v>
      </c>
      <c r="J35" s="18">
        <v>0.375</v>
      </c>
      <c r="K35" s="7" t="s">
        <v>308</v>
      </c>
      <c r="L35" s="7" t="s">
        <v>308</v>
      </c>
      <c r="M35" s="8">
        <f>48</f>
        <v>48</v>
      </c>
      <c r="N35" s="8">
        <f t="shared" ref="N35:N66" si="6">SUM(F35:L35)*24</f>
        <v>40</v>
      </c>
      <c r="O35" s="8">
        <f>IF(COUNTIF(PARAMETRES_REGIMES!$A$3:$A$100,$A35)&gt;0,MIN(M35,SUM(F35:L35)*24),MIN(M35,SUM(F35:K35)*24))</f>
        <v>40</v>
      </c>
      <c r="P35" s="9">
        <f>IF(COUNTIF(PARAMETRES_REGIMES!$A$3:$A$100,$A35)&gt;0,FLOOR(MAX(SUM(F35:L35)*24-M35,0),0.5),FLOOR(MAX(SUM(F35:K35)*24-M35,0),0.5))</f>
        <v>0</v>
      </c>
      <c r="Q35" s="9">
        <f>IF(COUNTIF(PARAMETRES_REGIMES!$A$3:$A$100,$A35)&gt;0,0,IF(ISNUMBER(L35),FLOOR(MAX(L35*24,0),0.5),0))</f>
        <v>0</v>
      </c>
      <c r="R35" s="8">
        <f t="shared" ref="R35:R66" si="7">COUNTIF(F35:L35,"ABS")</f>
        <v>0</v>
      </c>
      <c r="S35" s="8">
        <f t="shared" ref="S35:S66" si="8">COUNTIF(F35:L35,"Congé")+COUNTIF(F35:L35,"CSS")*0+COUNTIF(F35:L35,"CM")*0</f>
        <v>0</v>
      </c>
      <c r="T35" s="8">
        <f t="shared" ref="T35:T66" si="9">COUNTIF(F35:L35,"Férié")</f>
        <v>0</v>
      </c>
      <c r="U35" s="8">
        <f t="shared" ref="U35:U66" si="10">O35+P35+Q35+(T35*8.5)</f>
        <v>40</v>
      </c>
      <c r="V35" s="10" t="str">
        <f t="shared" ref="V35:V66" si="11">IF(COUNTIF(F35:L35,"STC")&gt;0,"STC",IF(OR(IFERROR(ISNUMBER(SEARCH("!",F35)),FALSE),IFERROR(ISNUMBER(SEARCH("!",G35)),FALSE),IFERROR(ISNUMBER(SEARCH("!",H35)),FALSE),IFERROR(ISNUMBER(SEARCH("!",I35)),FALSE),IFERROR(ISNUMBER(SEARCH("!",J35)),FALSE),IFERROR(ISNUMBER(SEARCH("!",K35)),FALSE),IFERROR(ISNUMBER(SEARCH("!",L35)),FALSE)),"À vérifier","OK"))</f>
        <v>OK</v>
      </c>
    </row>
    <row r="36" spans="1:22">
      <c r="A36" s="5">
        <v>250</v>
      </c>
      <c r="B36" s="5" t="s">
        <v>108</v>
      </c>
      <c r="C36" s="5" t="s">
        <v>66</v>
      </c>
      <c r="D36" s="5" t="s">
        <v>92</v>
      </c>
      <c r="E36" s="5" t="s">
        <v>21</v>
      </c>
      <c r="F36" s="18">
        <v>0.39583333333333331</v>
      </c>
      <c r="G36" s="18">
        <v>0.41666666666666669</v>
      </c>
      <c r="H36" s="18">
        <v>0.41666666666666669</v>
      </c>
      <c r="I36" s="18">
        <v>0.41666666666666669</v>
      </c>
      <c r="J36" s="18">
        <v>0.41666666666666669</v>
      </c>
      <c r="K36" s="7" t="s">
        <v>308</v>
      </c>
      <c r="L36" s="7" t="s">
        <v>308</v>
      </c>
      <c r="M36" s="8">
        <f>48</f>
        <v>48</v>
      </c>
      <c r="N36" s="8">
        <f t="shared" si="6"/>
        <v>49.5</v>
      </c>
      <c r="O36" s="8">
        <f>IF(COUNTIF(PARAMETRES_REGIMES!$A$3:$A$100,$A36)&gt;0,MIN(M36,SUM(F36:L36)*24),MIN(M36,SUM(F36:K36)*24))</f>
        <v>48</v>
      </c>
      <c r="P36" s="9">
        <f>IF(COUNTIF(PARAMETRES_REGIMES!$A$3:$A$100,$A36)&gt;0,FLOOR(MAX(SUM(F36:L36)*24-M36,0),0.5),FLOOR(MAX(SUM(F36:K36)*24-M36,0),0.5))</f>
        <v>1.5</v>
      </c>
      <c r="Q36" s="9">
        <f>IF(COUNTIF(PARAMETRES_REGIMES!$A$3:$A$100,$A36)&gt;0,0,IF(ISNUMBER(L36),FLOOR(MAX(L36*24,0),0.5),0))</f>
        <v>0</v>
      </c>
      <c r="R36" s="8">
        <f t="shared" si="7"/>
        <v>0</v>
      </c>
      <c r="S36" s="8">
        <f t="shared" si="8"/>
        <v>0</v>
      </c>
      <c r="T36" s="8">
        <f t="shared" si="9"/>
        <v>0</v>
      </c>
      <c r="U36" s="8">
        <f t="shared" si="10"/>
        <v>49.5</v>
      </c>
      <c r="V36" s="10" t="str">
        <f t="shared" si="11"/>
        <v>OK</v>
      </c>
    </row>
    <row r="37" spans="1:22">
      <c r="A37" s="5">
        <v>251</v>
      </c>
      <c r="B37" s="5" t="s">
        <v>102</v>
      </c>
      <c r="C37" s="5" t="s">
        <v>103</v>
      </c>
      <c r="D37" s="5" t="s">
        <v>92</v>
      </c>
      <c r="E37" s="5" t="s">
        <v>21</v>
      </c>
      <c r="F37" s="18" t="s">
        <v>308</v>
      </c>
      <c r="G37" s="18">
        <v>0.33333333333333331</v>
      </c>
      <c r="H37" s="18">
        <v>0.33333333333333331</v>
      </c>
      <c r="I37" s="18">
        <v>0.33333333333333331</v>
      </c>
      <c r="J37" s="18">
        <v>0.33333333333333331</v>
      </c>
      <c r="K37" s="7" t="s">
        <v>308</v>
      </c>
      <c r="L37" s="7" t="s">
        <v>308</v>
      </c>
      <c r="M37" s="8">
        <f>48</f>
        <v>48</v>
      </c>
      <c r="N37" s="8">
        <f t="shared" si="6"/>
        <v>32</v>
      </c>
      <c r="O37" s="8">
        <f>IF(COUNTIF(PARAMETRES_REGIMES!$A$3:$A$100,$A37)&gt;0,MIN(M37,SUM(F37:L37)*24),MIN(M37,SUM(F37:K37)*24))</f>
        <v>32</v>
      </c>
      <c r="P37" s="9">
        <f>IF(COUNTIF(PARAMETRES_REGIMES!$A$3:$A$100,$A37)&gt;0,FLOOR(MAX(SUM(F37:L37)*24-M37,0),0.5),FLOOR(MAX(SUM(F37:K37)*24-M37,0),0.5))</f>
        <v>0</v>
      </c>
      <c r="Q37" s="9">
        <f>IF(COUNTIF(PARAMETRES_REGIMES!$A$3:$A$100,$A37)&gt;0,0,IF(ISNUMBER(L37),FLOOR(MAX(L37*24,0),0.5),0))</f>
        <v>0</v>
      </c>
      <c r="R37" s="8">
        <f t="shared" si="7"/>
        <v>0</v>
      </c>
      <c r="S37" s="8">
        <f t="shared" si="8"/>
        <v>0</v>
      </c>
      <c r="T37" s="8">
        <f t="shared" si="9"/>
        <v>0</v>
      </c>
      <c r="U37" s="8">
        <f t="shared" si="10"/>
        <v>32</v>
      </c>
      <c r="V37" s="10" t="str">
        <f t="shared" si="11"/>
        <v>OK</v>
      </c>
    </row>
    <row r="38" spans="1:22">
      <c r="A38" s="5" t="s">
        <v>54</v>
      </c>
      <c r="B38" s="5" t="s">
        <v>55</v>
      </c>
      <c r="C38" s="5" t="s">
        <v>56</v>
      </c>
      <c r="D38" s="5" t="s">
        <v>49</v>
      </c>
      <c r="E38" s="5" t="s">
        <v>21</v>
      </c>
      <c r="F38" s="18">
        <v>0.375</v>
      </c>
      <c r="G38" s="36">
        <v>4.1666666666666664E-2</v>
      </c>
      <c r="H38" s="18" t="s">
        <v>310</v>
      </c>
      <c r="I38" s="18" t="s">
        <v>310</v>
      </c>
      <c r="J38" s="18" t="s">
        <v>310</v>
      </c>
      <c r="K38" s="7" t="s">
        <v>308</v>
      </c>
      <c r="L38" s="7" t="s">
        <v>308</v>
      </c>
      <c r="M38" s="8">
        <f>48</f>
        <v>48</v>
      </c>
      <c r="N38" s="8">
        <f t="shared" si="6"/>
        <v>10</v>
      </c>
      <c r="O38" s="8">
        <f>IF(COUNTIF(PARAMETRES_REGIMES!$A$3:$A$100,$A38)&gt;0,MIN(M38,SUM(F38:L38)*24),MIN(M38,SUM(F38:K38)*24))</f>
        <v>10</v>
      </c>
      <c r="P38" s="9">
        <f>IF(COUNTIF(PARAMETRES_REGIMES!$A$3:$A$100,$A38)&gt;0,FLOOR(MAX(SUM(F38:L38)*24-M38,0),0.5),FLOOR(MAX(SUM(F38:K38)*24-M38,0),0.5))</f>
        <v>0</v>
      </c>
      <c r="Q38" s="9">
        <f>IF(COUNTIF(PARAMETRES_REGIMES!$A$3:$A$100,$A38)&gt;0,0,IF(ISNUMBER(L38),FLOOR(MAX(L38*24,0),0.5),0))</f>
        <v>0</v>
      </c>
      <c r="R38" s="8">
        <f t="shared" si="7"/>
        <v>0</v>
      </c>
      <c r="S38" s="8">
        <f t="shared" si="8"/>
        <v>0</v>
      </c>
      <c r="T38" s="8">
        <f t="shared" si="9"/>
        <v>0</v>
      </c>
      <c r="U38" s="8">
        <f t="shared" si="10"/>
        <v>10</v>
      </c>
      <c r="V38" s="10" t="str">
        <f t="shared" si="11"/>
        <v>OK</v>
      </c>
    </row>
    <row r="39" spans="1:22">
      <c r="A39" s="5" t="s">
        <v>81</v>
      </c>
      <c r="B39" s="5" t="s">
        <v>82</v>
      </c>
      <c r="C39" s="5" t="s">
        <v>83</v>
      </c>
      <c r="D39" s="5" t="s">
        <v>69</v>
      </c>
      <c r="E39" s="5" t="s">
        <v>21</v>
      </c>
      <c r="F39" s="18">
        <v>0.375</v>
      </c>
      <c r="G39" s="18">
        <v>0.39583333333333331</v>
      </c>
      <c r="H39" s="18">
        <v>0.39583333333333331</v>
      </c>
      <c r="I39" s="18">
        <v>0.375</v>
      </c>
      <c r="J39" s="18">
        <v>0.39583333333333331</v>
      </c>
      <c r="K39" s="7" t="s">
        <v>308</v>
      </c>
      <c r="L39" s="7" t="s">
        <v>308</v>
      </c>
      <c r="M39" s="8">
        <f>48</f>
        <v>48</v>
      </c>
      <c r="N39" s="8">
        <f t="shared" si="6"/>
        <v>46.499999999999993</v>
      </c>
      <c r="O39" s="8">
        <f>IF(COUNTIF(PARAMETRES_REGIMES!$A$3:$A$100,$A39)&gt;0,MIN(M39,SUM(F39:L39)*24),MIN(M39,SUM(F39:K39)*24))</f>
        <v>46.499999999999993</v>
      </c>
      <c r="P39" s="9">
        <f>IF(COUNTIF(PARAMETRES_REGIMES!$A$3:$A$100,$A39)&gt;0,FLOOR(MAX(SUM(F39:L39)*24-M39,0),0.5),FLOOR(MAX(SUM(F39:K39)*24-M39,0),0.5))</f>
        <v>0</v>
      </c>
      <c r="Q39" s="9">
        <f>IF(COUNTIF(PARAMETRES_REGIMES!$A$3:$A$100,$A39)&gt;0,0,IF(ISNUMBER(L39),FLOOR(MAX(L39*24,0),0.5),0))</f>
        <v>0</v>
      </c>
      <c r="R39" s="8">
        <f t="shared" si="7"/>
        <v>0</v>
      </c>
      <c r="S39" s="8">
        <f t="shared" si="8"/>
        <v>0</v>
      </c>
      <c r="T39" s="8">
        <f t="shared" si="9"/>
        <v>0</v>
      </c>
      <c r="U39" s="8">
        <f t="shared" si="10"/>
        <v>46.499999999999993</v>
      </c>
      <c r="V39" s="10" t="str">
        <f t="shared" si="11"/>
        <v>OK</v>
      </c>
    </row>
    <row r="40" spans="1:22">
      <c r="A40" s="5" t="s">
        <v>109</v>
      </c>
      <c r="B40" s="5" t="s">
        <v>110</v>
      </c>
      <c r="C40" s="5" t="s">
        <v>111</v>
      </c>
      <c r="D40" s="5" t="s">
        <v>92</v>
      </c>
      <c r="E40" s="5" t="s">
        <v>21</v>
      </c>
      <c r="F40" s="18">
        <v>0.33333333333333331</v>
      </c>
      <c r="G40" s="18" t="s">
        <v>22</v>
      </c>
      <c r="H40" s="18">
        <v>0.33333333333333331</v>
      </c>
      <c r="I40" s="18">
        <v>0.33333333333333331</v>
      </c>
      <c r="J40" s="18">
        <v>0.33333333333333331</v>
      </c>
      <c r="K40" s="7" t="s">
        <v>308</v>
      </c>
      <c r="L40" s="7" t="s">
        <v>308</v>
      </c>
      <c r="M40" s="8">
        <f>48</f>
        <v>48</v>
      </c>
      <c r="N40" s="8">
        <f t="shared" si="6"/>
        <v>32</v>
      </c>
      <c r="O40" s="8">
        <f>IF(COUNTIF(PARAMETRES_REGIMES!$A$3:$A$100,$A40)&gt;0,MIN(M40,SUM(F40:L40)*24),MIN(M40,SUM(F40:K40)*24))</f>
        <v>32</v>
      </c>
      <c r="P40" s="9">
        <f>IF(COUNTIF(PARAMETRES_REGIMES!$A$3:$A$100,$A40)&gt;0,FLOOR(MAX(SUM(F40:L40)*24-M40,0),0.5),FLOOR(MAX(SUM(F40:K40)*24-M40,0),0.5))</f>
        <v>0</v>
      </c>
      <c r="Q40" s="9">
        <f>IF(COUNTIF(PARAMETRES_REGIMES!$A$3:$A$100,$A40)&gt;0,0,IF(ISNUMBER(L40),FLOOR(MAX(L40*24,0),0.5),0))</f>
        <v>0</v>
      </c>
      <c r="R40" s="8">
        <f t="shared" si="7"/>
        <v>0</v>
      </c>
      <c r="S40" s="8">
        <f t="shared" si="8"/>
        <v>0</v>
      </c>
      <c r="T40" s="8">
        <f t="shared" si="9"/>
        <v>0</v>
      </c>
      <c r="U40" s="8">
        <f t="shared" si="10"/>
        <v>32</v>
      </c>
      <c r="V40" s="10" t="str">
        <f t="shared" si="11"/>
        <v>OK</v>
      </c>
    </row>
    <row r="41" spans="1:22">
      <c r="A41" s="5" t="s">
        <v>117</v>
      </c>
      <c r="B41" s="5" t="s">
        <v>118</v>
      </c>
      <c r="C41" s="5" t="s">
        <v>119</v>
      </c>
      <c r="D41" s="5" t="s">
        <v>92</v>
      </c>
      <c r="E41" s="5" t="s">
        <v>21</v>
      </c>
      <c r="F41" s="18" t="s">
        <v>311</v>
      </c>
      <c r="G41" s="18" t="s">
        <v>311</v>
      </c>
      <c r="H41" s="18" t="s">
        <v>311</v>
      </c>
      <c r="I41" s="18" t="s">
        <v>311</v>
      </c>
      <c r="J41" s="18">
        <v>0.41666666666666669</v>
      </c>
      <c r="K41" s="7" t="s">
        <v>308</v>
      </c>
      <c r="L41" s="7" t="s">
        <v>308</v>
      </c>
      <c r="M41" s="8">
        <f>48</f>
        <v>48</v>
      </c>
      <c r="N41" s="8">
        <f t="shared" si="6"/>
        <v>10</v>
      </c>
      <c r="O41" s="8">
        <f>IF(COUNTIF(PARAMETRES_REGIMES!$A$3:$A$100,$A41)&gt;0,MIN(M41,SUM(F41:L41)*24),MIN(M41,SUM(F41:K41)*24))</f>
        <v>10</v>
      </c>
      <c r="P41" s="9">
        <f>IF(COUNTIF(PARAMETRES_REGIMES!$A$3:$A$100,$A41)&gt;0,FLOOR(MAX(SUM(F41:L41)*24-M41,0),0.5),FLOOR(MAX(SUM(F41:K41)*24-M41,0),0.5))</f>
        <v>0</v>
      </c>
      <c r="Q41" s="9">
        <f>IF(COUNTIF(PARAMETRES_REGIMES!$A$3:$A$100,$A41)&gt;0,0,IF(ISNUMBER(L41),FLOOR(MAX(L41*24,0),0.5),0))</f>
        <v>0</v>
      </c>
      <c r="R41" s="8">
        <f t="shared" si="7"/>
        <v>0</v>
      </c>
      <c r="S41" s="8">
        <f t="shared" si="8"/>
        <v>4</v>
      </c>
      <c r="T41" s="8">
        <f t="shared" si="9"/>
        <v>0</v>
      </c>
      <c r="U41" s="8">
        <f t="shared" si="10"/>
        <v>10</v>
      </c>
      <c r="V41" s="10" t="str">
        <f t="shared" si="11"/>
        <v>OK</v>
      </c>
    </row>
    <row r="42" spans="1:22">
      <c r="A42" s="5" t="s">
        <v>84</v>
      </c>
      <c r="B42" s="5" t="s">
        <v>85</v>
      </c>
      <c r="C42" s="5" t="s">
        <v>86</v>
      </c>
      <c r="D42" s="5" t="s">
        <v>87</v>
      </c>
      <c r="E42" s="5" t="s">
        <v>21</v>
      </c>
      <c r="F42" s="18">
        <v>0.375</v>
      </c>
      <c r="G42" s="18">
        <v>0.3125</v>
      </c>
      <c r="H42" s="18">
        <v>0.35416666666666669</v>
      </c>
      <c r="I42" s="18">
        <v>0.1875</v>
      </c>
      <c r="J42" s="18">
        <v>0.35416666666666669</v>
      </c>
      <c r="K42" s="7" t="s">
        <v>308</v>
      </c>
      <c r="L42" s="7" t="s">
        <v>308</v>
      </c>
      <c r="M42" s="8">
        <f>48</f>
        <v>48</v>
      </c>
      <c r="N42" s="8">
        <f t="shared" si="6"/>
        <v>38</v>
      </c>
      <c r="O42" s="8">
        <f>IF(COUNTIF(PARAMETRES_REGIMES!$A$3:$A$100,$A42)&gt;0,MIN(M42,SUM(F42:L42)*24),MIN(M42,SUM(F42:K42)*24))</f>
        <v>38</v>
      </c>
      <c r="P42" s="9">
        <f>IF(COUNTIF(PARAMETRES_REGIMES!$A$3:$A$100,$A42)&gt;0,FLOOR(MAX(SUM(F42:L42)*24-M42,0),0.5),FLOOR(MAX(SUM(F42:K42)*24-M42,0),0.5))</f>
        <v>0</v>
      </c>
      <c r="Q42" s="9">
        <f>IF(COUNTIF(PARAMETRES_REGIMES!$A$3:$A$100,$A42)&gt;0,0,IF(ISNUMBER(L42),FLOOR(MAX(L42*24,0),0.5),0))</f>
        <v>0</v>
      </c>
      <c r="R42" s="8">
        <f t="shared" si="7"/>
        <v>0</v>
      </c>
      <c r="S42" s="8">
        <f t="shared" si="8"/>
        <v>0</v>
      </c>
      <c r="T42" s="8">
        <f t="shared" si="9"/>
        <v>0</v>
      </c>
      <c r="U42" s="8">
        <f t="shared" si="10"/>
        <v>38</v>
      </c>
      <c r="V42" s="10" t="str">
        <f t="shared" si="11"/>
        <v>OK</v>
      </c>
    </row>
    <row r="43" spans="1:22">
      <c r="A43" s="5" t="s">
        <v>35</v>
      </c>
      <c r="B43" s="5" t="s">
        <v>36</v>
      </c>
      <c r="C43" s="5" t="s">
        <v>37</v>
      </c>
      <c r="D43" s="5" t="s">
        <v>31</v>
      </c>
      <c r="E43" s="5" t="s">
        <v>21</v>
      </c>
      <c r="F43" s="18">
        <v>0.39583333333333331</v>
      </c>
      <c r="G43" s="18">
        <v>0.39583333333333331</v>
      </c>
      <c r="H43" s="18">
        <v>0.39583333333333331</v>
      </c>
      <c r="I43" s="18">
        <v>0.375</v>
      </c>
      <c r="J43" s="18">
        <v>0.39583333333333331</v>
      </c>
      <c r="K43" s="7" t="s">
        <v>308</v>
      </c>
      <c r="L43" s="7" t="s">
        <v>308</v>
      </c>
      <c r="M43" s="8">
        <f>48</f>
        <v>48</v>
      </c>
      <c r="N43" s="8">
        <f t="shared" si="6"/>
        <v>47</v>
      </c>
      <c r="O43" s="8">
        <f>IF(COUNTIF(PARAMETRES_REGIMES!$A$3:$A$100,$A43)&gt;0,MIN(M43,SUM(F43:L43)*24),MIN(M43,SUM(F43:K43)*24))</f>
        <v>47</v>
      </c>
      <c r="P43" s="9">
        <f>IF(COUNTIF(PARAMETRES_REGIMES!$A$3:$A$100,$A43)&gt;0,FLOOR(MAX(SUM(F43:L43)*24-M43,0),0.5),FLOOR(MAX(SUM(F43:K43)*24-M43,0),0.5))</f>
        <v>0</v>
      </c>
      <c r="Q43" s="9">
        <f>IF(COUNTIF(PARAMETRES_REGIMES!$A$3:$A$100,$A43)&gt;0,0,IF(ISNUMBER(L43),FLOOR(MAX(L43*24,0),0.5),0))</f>
        <v>0</v>
      </c>
      <c r="R43" s="8">
        <f t="shared" si="7"/>
        <v>0</v>
      </c>
      <c r="S43" s="8">
        <f t="shared" si="8"/>
        <v>0</v>
      </c>
      <c r="T43" s="8">
        <f t="shared" si="9"/>
        <v>0</v>
      </c>
      <c r="U43" s="8">
        <f t="shared" si="10"/>
        <v>47</v>
      </c>
      <c r="V43" s="10" t="str">
        <f t="shared" si="11"/>
        <v>OK</v>
      </c>
    </row>
    <row r="44" spans="1:22">
      <c r="A44" s="5" t="s">
        <v>67</v>
      </c>
      <c r="B44" s="5" t="s">
        <v>68</v>
      </c>
      <c r="C44" s="5" t="s">
        <v>25</v>
      </c>
      <c r="D44" s="5" t="s">
        <v>69</v>
      </c>
      <c r="E44" s="5" t="s">
        <v>21</v>
      </c>
      <c r="F44" s="18">
        <v>0.375</v>
      </c>
      <c r="G44" s="18">
        <v>0.375</v>
      </c>
      <c r="H44" s="18">
        <v>0.39583333333333331</v>
      </c>
      <c r="I44" s="18">
        <v>0.375</v>
      </c>
      <c r="J44" s="18">
        <v>0.39583333333333331</v>
      </c>
      <c r="K44" s="7" t="s">
        <v>308</v>
      </c>
      <c r="L44" s="7" t="s">
        <v>308</v>
      </c>
      <c r="M44" s="8">
        <f>48</f>
        <v>48</v>
      </c>
      <c r="N44" s="8">
        <f t="shared" si="6"/>
        <v>46</v>
      </c>
      <c r="O44" s="8">
        <f>IF(COUNTIF(PARAMETRES_REGIMES!$A$3:$A$100,$A44)&gt;0,MIN(M44,SUM(F44:L44)*24),MIN(M44,SUM(F44:K44)*24))</f>
        <v>46</v>
      </c>
      <c r="P44" s="9">
        <f>IF(COUNTIF(PARAMETRES_REGIMES!$A$3:$A$100,$A44)&gt;0,FLOOR(MAX(SUM(F44:L44)*24-M44,0),0.5),FLOOR(MAX(SUM(F44:K44)*24-M44,0),0.5))</f>
        <v>0</v>
      </c>
      <c r="Q44" s="9">
        <f>IF(COUNTIF(PARAMETRES_REGIMES!$A$3:$A$100,$A44)&gt;0,0,IF(ISNUMBER(L44),FLOOR(MAX(L44*24,0),0.5),0))</f>
        <v>0</v>
      </c>
      <c r="R44" s="8">
        <f t="shared" si="7"/>
        <v>0</v>
      </c>
      <c r="S44" s="8">
        <f t="shared" si="8"/>
        <v>0</v>
      </c>
      <c r="T44" s="8">
        <f t="shared" si="9"/>
        <v>0</v>
      </c>
      <c r="U44" s="8">
        <f t="shared" si="10"/>
        <v>46</v>
      </c>
      <c r="V44" s="10" t="str">
        <f t="shared" si="11"/>
        <v>OK</v>
      </c>
    </row>
    <row r="45" spans="1:22">
      <c r="A45" s="5" t="s">
        <v>38</v>
      </c>
      <c r="B45" s="5" t="s">
        <v>39</v>
      </c>
      <c r="C45" s="5" t="s">
        <v>40</v>
      </c>
      <c r="D45" s="5" t="s">
        <v>31</v>
      </c>
      <c r="E45" s="5" t="s">
        <v>21</v>
      </c>
      <c r="F45" s="18">
        <v>0.33333333333333331</v>
      </c>
      <c r="G45" s="18">
        <v>0.33333333333333331</v>
      </c>
      <c r="H45" s="18">
        <v>0.39583333333333331</v>
      </c>
      <c r="I45" s="18">
        <v>0.375</v>
      </c>
      <c r="J45" s="18">
        <v>0.39583333333333331</v>
      </c>
      <c r="K45" s="7" t="s">
        <v>308</v>
      </c>
      <c r="L45" s="7" t="s">
        <v>308</v>
      </c>
      <c r="M45" s="8">
        <f>48</f>
        <v>48</v>
      </c>
      <c r="N45" s="8">
        <f t="shared" si="6"/>
        <v>44</v>
      </c>
      <c r="O45" s="8">
        <f>IF(COUNTIF(PARAMETRES_REGIMES!$A$3:$A$100,$A45)&gt;0,MIN(M45,SUM(F45:L45)*24),MIN(M45,SUM(F45:K45)*24))</f>
        <v>44</v>
      </c>
      <c r="P45" s="9">
        <f>IF(COUNTIF(PARAMETRES_REGIMES!$A$3:$A$100,$A45)&gt;0,FLOOR(MAX(SUM(F45:L45)*24-M45,0),0.5),FLOOR(MAX(SUM(F45:K45)*24-M45,0),0.5))</f>
        <v>0</v>
      </c>
      <c r="Q45" s="9">
        <f>IF(COUNTIF(PARAMETRES_REGIMES!$A$3:$A$100,$A45)&gt;0,0,IF(ISNUMBER(L45),FLOOR(MAX(L45*24,0),0.5),0))</f>
        <v>0</v>
      </c>
      <c r="R45" s="8">
        <f t="shared" si="7"/>
        <v>0</v>
      </c>
      <c r="S45" s="8">
        <f t="shared" si="8"/>
        <v>0</v>
      </c>
      <c r="T45" s="8">
        <f t="shared" si="9"/>
        <v>0</v>
      </c>
      <c r="U45" s="8">
        <f t="shared" si="10"/>
        <v>44</v>
      </c>
      <c r="V45" s="10" t="str">
        <f t="shared" si="11"/>
        <v>OK</v>
      </c>
    </row>
    <row r="46" spans="1:22">
      <c r="A46" s="5" t="s">
        <v>41</v>
      </c>
      <c r="B46" s="5" t="s">
        <v>42</v>
      </c>
      <c r="C46" s="5" t="s">
        <v>43</v>
      </c>
      <c r="D46" s="5" t="s">
        <v>31</v>
      </c>
      <c r="E46" s="5" t="s">
        <v>21</v>
      </c>
      <c r="F46" s="18">
        <v>0.3125</v>
      </c>
      <c r="G46" s="18">
        <v>0.3125</v>
      </c>
      <c r="H46" s="18">
        <v>0.33333333333333331</v>
      </c>
      <c r="I46" s="18">
        <v>0.375</v>
      </c>
      <c r="J46" s="18">
        <v>0.39583333333333331</v>
      </c>
      <c r="K46" s="7" t="s">
        <v>308</v>
      </c>
      <c r="L46" s="7" t="s">
        <v>308</v>
      </c>
      <c r="M46" s="8">
        <f>48</f>
        <v>48</v>
      </c>
      <c r="N46" s="8">
        <f t="shared" si="6"/>
        <v>41.5</v>
      </c>
      <c r="O46" s="8">
        <f>IF(COUNTIF(PARAMETRES_REGIMES!$A$3:$A$100,$A46)&gt;0,MIN(M46,SUM(F46:L46)*24),MIN(M46,SUM(F46:K46)*24))</f>
        <v>41.5</v>
      </c>
      <c r="P46" s="9">
        <f>IF(COUNTIF(PARAMETRES_REGIMES!$A$3:$A$100,$A46)&gt;0,FLOOR(MAX(SUM(F46:L46)*24-M46,0),0.5),FLOOR(MAX(SUM(F46:K46)*24-M46,0),0.5))</f>
        <v>0</v>
      </c>
      <c r="Q46" s="9">
        <f>IF(COUNTIF(PARAMETRES_REGIMES!$A$3:$A$100,$A46)&gt;0,0,IF(ISNUMBER(L46),FLOOR(MAX(L46*24,0),0.5),0))</f>
        <v>0</v>
      </c>
      <c r="R46" s="8">
        <f t="shared" si="7"/>
        <v>0</v>
      </c>
      <c r="S46" s="8">
        <f t="shared" si="8"/>
        <v>0</v>
      </c>
      <c r="T46" s="8">
        <f t="shared" si="9"/>
        <v>0</v>
      </c>
      <c r="U46" s="8">
        <f t="shared" si="10"/>
        <v>41.5</v>
      </c>
      <c r="V46" s="10" t="str">
        <f t="shared" si="11"/>
        <v>OK</v>
      </c>
    </row>
    <row r="47" spans="1:22">
      <c r="A47" s="5" t="s">
        <v>26</v>
      </c>
      <c r="B47" s="5" t="s">
        <v>27</v>
      </c>
      <c r="C47" s="5" t="s">
        <v>28</v>
      </c>
      <c r="D47" s="5" t="s">
        <v>20</v>
      </c>
      <c r="E47" s="5" t="s">
        <v>21</v>
      </c>
      <c r="F47" s="18">
        <v>0.375</v>
      </c>
      <c r="G47" s="18">
        <v>0.375</v>
      </c>
      <c r="H47" s="18">
        <v>0.375</v>
      </c>
      <c r="I47" s="18">
        <v>0.39583333333333331</v>
      </c>
      <c r="J47" s="18">
        <v>0.375</v>
      </c>
      <c r="K47" s="7" t="s">
        <v>308</v>
      </c>
      <c r="L47" s="7" t="s">
        <v>308</v>
      </c>
      <c r="M47" s="8">
        <f>48</f>
        <v>48</v>
      </c>
      <c r="N47" s="8">
        <f t="shared" si="6"/>
        <v>45.5</v>
      </c>
      <c r="O47" s="8">
        <f>IF(COUNTIF(PARAMETRES_REGIMES!$A$3:$A$100,$A47)&gt;0,MIN(M47,SUM(F47:L47)*24),MIN(M47,SUM(F47:K47)*24))</f>
        <v>45.5</v>
      </c>
      <c r="P47" s="9">
        <f>IF(COUNTIF(PARAMETRES_REGIMES!$A$3:$A$100,$A47)&gt;0,FLOOR(MAX(SUM(F47:L47)*24-M47,0),0.5),FLOOR(MAX(SUM(F47:K47)*24-M47,0),0.5))</f>
        <v>0</v>
      </c>
      <c r="Q47" s="9">
        <f>IF(COUNTIF(PARAMETRES_REGIMES!$A$3:$A$100,$A47)&gt;0,0,IF(ISNUMBER(L47),FLOOR(MAX(L47*24,0),0.5),0))</f>
        <v>0</v>
      </c>
      <c r="R47" s="8">
        <f t="shared" si="7"/>
        <v>0</v>
      </c>
      <c r="S47" s="8">
        <f t="shared" si="8"/>
        <v>0</v>
      </c>
      <c r="T47" s="8">
        <f t="shared" si="9"/>
        <v>0</v>
      </c>
      <c r="U47" s="8">
        <f t="shared" si="10"/>
        <v>45.5</v>
      </c>
      <c r="V47" s="10" t="str">
        <f t="shared" si="11"/>
        <v>OK</v>
      </c>
    </row>
    <row r="48" spans="1:22">
      <c r="A48" s="5" t="s">
        <v>78</v>
      </c>
      <c r="B48" s="5" t="s">
        <v>79</v>
      </c>
      <c r="C48" s="5" t="s">
        <v>80</v>
      </c>
      <c r="D48" s="5" t="s">
        <v>69</v>
      </c>
      <c r="E48" s="5" t="s">
        <v>21</v>
      </c>
      <c r="F48" s="18">
        <v>0.375</v>
      </c>
      <c r="G48" s="18">
        <v>0.375</v>
      </c>
      <c r="H48" s="18">
        <v>0.39583333333333331</v>
      </c>
      <c r="I48" s="18">
        <v>0.375</v>
      </c>
      <c r="J48" s="18">
        <v>0.39583333333333331</v>
      </c>
      <c r="K48" s="7" t="s">
        <v>308</v>
      </c>
      <c r="L48" s="7" t="s">
        <v>308</v>
      </c>
      <c r="M48" s="8">
        <f>48</f>
        <v>48</v>
      </c>
      <c r="N48" s="8">
        <f t="shared" si="6"/>
        <v>46</v>
      </c>
      <c r="O48" s="8">
        <f>IF(COUNTIF(PARAMETRES_REGIMES!$A$3:$A$100,$A48)&gt;0,MIN(M48,SUM(F48:L48)*24),MIN(M48,SUM(F48:K48)*24))</f>
        <v>46</v>
      </c>
      <c r="P48" s="9">
        <f>IF(COUNTIF(PARAMETRES_REGIMES!$A$3:$A$100,$A48)&gt;0,FLOOR(MAX(SUM(F48:L48)*24-M48,0),0.5),FLOOR(MAX(SUM(F48:K48)*24-M48,0),0.5))</f>
        <v>0</v>
      </c>
      <c r="Q48" s="9">
        <f>IF(COUNTIF(PARAMETRES_REGIMES!$A$3:$A$100,$A48)&gt;0,0,IF(ISNUMBER(L48),FLOOR(MAX(L48*24,0),0.5),0))</f>
        <v>0</v>
      </c>
      <c r="R48" s="8">
        <f t="shared" si="7"/>
        <v>0</v>
      </c>
      <c r="S48" s="8">
        <f t="shared" si="8"/>
        <v>0</v>
      </c>
      <c r="T48" s="8">
        <f t="shared" si="9"/>
        <v>0</v>
      </c>
      <c r="U48" s="8">
        <f t="shared" si="10"/>
        <v>46</v>
      </c>
      <c r="V48" s="10" t="str">
        <f t="shared" si="11"/>
        <v>OK</v>
      </c>
    </row>
    <row r="49" spans="1:22">
      <c r="A49" s="5" t="s">
        <v>32</v>
      </c>
      <c r="B49" s="5" t="s">
        <v>33</v>
      </c>
      <c r="C49" s="5" t="s">
        <v>34</v>
      </c>
      <c r="D49" s="5" t="s">
        <v>31</v>
      </c>
      <c r="E49" s="5" t="s">
        <v>21</v>
      </c>
      <c r="F49" s="18">
        <v>0.39583333333333331</v>
      </c>
      <c r="G49" s="18">
        <v>0.375</v>
      </c>
      <c r="H49" s="18">
        <v>0.39583333333333331</v>
      </c>
      <c r="I49" s="18">
        <v>0.375</v>
      </c>
      <c r="J49" s="18">
        <v>0.27083333333333331</v>
      </c>
      <c r="K49" s="7" t="s">
        <v>308</v>
      </c>
      <c r="L49" s="7" t="s">
        <v>308</v>
      </c>
      <c r="M49" s="8">
        <f>48</f>
        <v>48</v>
      </c>
      <c r="N49" s="8">
        <f t="shared" si="6"/>
        <v>43.499999999999993</v>
      </c>
      <c r="O49" s="8">
        <f>IF(COUNTIF(PARAMETRES_REGIMES!$A$3:$A$100,$A49)&gt;0,MIN(M49,SUM(F49:L49)*24),MIN(M49,SUM(F49:K49)*24))</f>
        <v>43.499999999999993</v>
      </c>
      <c r="P49" s="9">
        <f>IF(COUNTIF(PARAMETRES_REGIMES!$A$3:$A$100,$A49)&gt;0,FLOOR(MAX(SUM(F49:L49)*24-M49,0),0.5),FLOOR(MAX(SUM(F49:K49)*24-M49,0),0.5))</f>
        <v>0</v>
      </c>
      <c r="Q49" s="9">
        <f>IF(COUNTIF(PARAMETRES_REGIMES!$A$3:$A$100,$A49)&gt;0,0,IF(ISNUMBER(L49),FLOOR(MAX(L49*24,0),0.5),0))</f>
        <v>0</v>
      </c>
      <c r="R49" s="8">
        <f t="shared" si="7"/>
        <v>0</v>
      </c>
      <c r="S49" s="8">
        <f t="shared" si="8"/>
        <v>0</v>
      </c>
      <c r="T49" s="8">
        <f t="shared" si="9"/>
        <v>0</v>
      </c>
      <c r="U49" s="8">
        <f t="shared" si="10"/>
        <v>43.499999999999993</v>
      </c>
      <c r="V49" s="10" t="str">
        <f t="shared" si="11"/>
        <v>OK</v>
      </c>
    </row>
    <row r="50" spans="1:22">
      <c r="A50" s="5" t="s">
        <v>44</v>
      </c>
      <c r="B50" s="5" t="s">
        <v>45</v>
      </c>
      <c r="C50" s="5" t="s">
        <v>46</v>
      </c>
      <c r="D50" s="5" t="s">
        <v>31</v>
      </c>
      <c r="E50" s="5" t="s">
        <v>21</v>
      </c>
      <c r="F50" s="18">
        <v>0.29166666666666669</v>
      </c>
      <c r="G50" s="18">
        <v>0.39583333333333331</v>
      </c>
      <c r="H50" s="18">
        <v>0.39583333333333331</v>
      </c>
      <c r="I50" s="18">
        <v>0.375</v>
      </c>
      <c r="J50" s="18">
        <v>0.39583333333333331</v>
      </c>
      <c r="K50" s="7" t="s">
        <v>308</v>
      </c>
      <c r="L50" s="7" t="s">
        <v>308</v>
      </c>
      <c r="M50" s="8">
        <f>48</f>
        <v>48</v>
      </c>
      <c r="N50" s="8">
        <f t="shared" si="6"/>
        <v>44.5</v>
      </c>
      <c r="O50" s="8">
        <f>IF(COUNTIF(PARAMETRES_REGIMES!$A$3:$A$100,$A50)&gt;0,MIN(M50,SUM(F50:L50)*24),MIN(M50,SUM(F50:K50)*24))</f>
        <v>44.5</v>
      </c>
      <c r="P50" s="9">
        <f>IF(COUNTIF(PARAMETRES_REGIMES!$A$3:$A$100,$A50)&gt;0,FLOOR(MAX(SUM(F50:L50)*24-M50,0),0.5),FLOOR(MAX(SUM(F50:K50)*24-M50,0),0.5))</f>
        <v>0</v>
      </c>
      <c r="Q50" s="9">
        <f>IF(COUNTIF(PARAMETRES_REGIMES!$A$3:$A$100,$A50)&gt;0,0,IF(ISNUMBER(L50),FLOOR(MAX(L50*24,0),0.5),0))</f>
        <v>0</v>
      </c>
      <c r="R50" s="8">
        <f t="shared" si="7"/>
        <v>0</v>
      </c>
      <c r="S50" s="8">
        <f t="shared" si="8"/>
        <v>0</v>
      </c>
      <c r="T50" s="8">
        <f t="shared" si="9"/>
        <v>0</v>
      </c>
      <c r="U50" s="8">
        <f t="shared" si="10"/>
        <v>44.5</v>
      </c>
      <c r="V50" s="10" t="str">
        <f t="shared" si="11"/>
        <v>OK</v>
      </c>
    </row>
    <row r="51" spans="1:22">
      <c r="A51" s="5" t="s">
        <v>70</v>
      </c>
      <c r="B51" s="5" t="s">
        <v>71</v>
      </c>
      <c r="C51" s="5" t="s">
        <v>72</v>
      </c>
      <c r="D51" s="5" t="s">
        <v>69</v>
      </c>
      <c r="E51" s="5" t="s">
        <v>21</v>
      </c>
      <c r="F51" s="18">
        <v>0.375</v>
      </c>
      <c r="G51" s="18">
        <v>0.39583333333333331</v>
      </c>
      <c r="H51" s="18">
        <v>0.39583333333333331</v>
      </c>
      <c r="I51" s="18">
        <v>0.375</v>
      </c>
      <c r="J51" s="18">
        <v>0.375</v>
      </c>
      <c r="K51" s="7" t="s">
        <v>308</v>
      </c>
      <c r="L51" s="7" t="s">
        <v>308</v>
      </c>
      <c r="M51" s="8">
        <f>48</f>
        <v>48</v>
      </c>
      <c r="N51" s="8">
        <f t="shared" si="6"/>
        <v>46</v>
      </c>
      <c r="O51" s="8">
        <f>IF(COUNTIF(PARAMETRES_REGIMES!$A$3:$A$100,$A51)&gt;0,MIN(M51,SUM(F51:L51)*24),MIN(M51,SUM(F51:K51)*24))</f>
        <v>46</v>
      </c>
      <c r="P51" s="9">
        <f>IF(COUNTIF(PARAMETRES_REGIMES!$A$3:$A$100,$A51)&gt;0,FLOOR(MAX(SUM(F51:L51)*24-M51,0),0.5),FLOOR(MAX(SUM(F51:K51)*24-M51,0),0.5))</f>
        <v>0</v>
      </c>
      <c r="Q51" s="9">
        <f>IF(COUNTIF(PARAMETRES_REGIMES!$A$3:$A$100,$A51)&gt;0,0,IF(ISNUMBER(L51),FLOOR(MAX(L51*24,0),0.5),0))</f>
        <v>0</v>
      </c>
      <c r="R51" s="8">
        <f t="shared" si="7"/>
        <v>0</v>
      </c>
      <c r="S51" s="8">
        <f t="shared" si="8"/>
        <v>0</v>
      </c>
      <c r="T51" s="8">
        <f t="shared" si="9"/>
        <v>0</v>
      </c>
      <c r="U51" s="8">
        <f t="shared" si="10"/>
        <v>46</v>
      </c>
      <c r="V51" s="10" t="str">
        <f t="shared" si="11"/>
        <v>OK</v>
      </c>
    </row>
    <row r="52" spans="1:22">
      <c r="A52" s="5" t="s">
        <v>17</v>
      </c>
      <c r="B52" s="5" t="s">
        <v>18</v>
      </c>
      <c r="C52" s="5" t="s">
        <v>19</v>
      </c>
      <c r="D52" s="5" t="s">
        <v>20</v>
      </c>
      <c r="E52" s="5" t="s">
        <v>21</v>
      </c>
      <c r="F52" s="18">
        <v>0.3125</v>
      </c>
      <c r="G52" s="18">
        <v>0.375</v>
      </c>
      <c r="H52" s="18">
        <v>0.39583333333333331</v>
      </c>
      <c r="I52" s="18">
        <v>0.33333333333333331</v>
      </c>
      <c r="J52" s="18">
        <v>0.375</v>
      </c>
      <c r="K52" s="7" t="s">
        <v>308</v>
      </c>
      <c r="L52" s="7" t="s">
        <v>308</v>
      </c>
      <c r="M52" s="8">
        <f>48</f>
        <v>48</v>
      </c>
      <c r="N52" s="8">
        <f t="shared" si="6"/>
        <v>43</v>
      </c>
      <c r="O52" s="8">
        <f>IF(COUNTIF(PARAMETRES_REGIMES!$A$3:$A$100,$A52)&gt;0,MIN(M52,SUM(F52:L52)*24),MIN(M52,SUM(F52:K52)*24))</f>
        <v>43</v>
      </c>
      <c r="P52" s="9">
        <f>IF(COUNTIF(PARAMETRES_REGIMES!$A$3:$A$100,$A52)&gt;0,FLOOR(MAX(SUM(F52:L52)*24-M52,0),0.5),FLOOR(MAX(SUM(F52:K52)*24-M52,0),0.5))</f>
        <v>0</v>
      </c>
      <c r="Q52" s="9">
        <f>IF(COUNTIF(PARAMETRES_REGIMES!$A$3:$A$100,$A52)&gt;0,0,IF(ISNUMBER(L52),FLOOR(MAX(L52*24,0),0.5),0))</f>
        <v>0</v>
      </c>
      <c r="R52" s="8">
        <f t="shared" si="7"/>
        <v>0</v>
      </c>
      <c r="S52" s="8">
        <f t="shared" si="8"/>
        <v>0</v>
      </c>
      <c r="T52" s="8">
        <f t="shared" si="9"/>
        <v>0</v>
      </c>
      <c r="U52" s="8">
        <f t="shared" si="10"/>
        <v>43</v>
      </c>
      <c r="V52" s="10" t="str">
        <f t="shared" si="11"/>
        <v>OK</v>
      </c>
    </row>
    <row r="53" spans="1:22">
      <c r="A53" s="5" t="s">
        <v>47</v>
      </c>
      <c r="B53" s="5" t="s">
        <v>28</v>
      </c>
      <c r="C53" s="5" t="s">
        <v>48</v>
      </c>
      <c r="D53" s="5" t="s">
        <v>49</v>
      </c>
      <c r="E53" s="5" t="s">
        <v>21</v>
      </c>
      <c r="F53" s="18">
        <v>0.39583333333333331</v>
      </c>
      <c r="G53" s="18">
        <v>0.39583333333333331</v>
      </c>
      <c r="H53" s="18">
        <v>0.39583333333333331</v>
      </c>
      <c r="I53" s="18">
        <v>0.39583333333333331</v>
      </c>
      <c r="J53" s="18">
        <v>0.39583333333333331</v>
      </c>
      <c r="K53" s="7" t="s">
        <v>308</v>
      </c>
      <c r="L53" s="7" t="s">
        <v>308</v>
      </c>
      <c r="M53" s="8">
        <f>48</f>
        <v>48</v>
      </c>
      <c r="N53" s="8">
        <f t="shared" si="6"/>
        <v>47.5</v>
      </c>
      <c r="O53" s="8">
        <f>IF(COUNTIF(PARAMETRES_REGIMES!$A$3:$A$100,$A53)&gt;0,MIN(M53,SUM(F53:L53)*24),MIN(M53,SUM(F53:K53)*24))</f>
        <v>47.5</v>
      </c>
      <c r="P53" s="9">
        <f>IF(COUNTIF(PARAMETRES_REGIMES!$A$3:$A$100,$A53)&gt;0,FLOOR(MAX(SUM(F53:L53)*24-M53,0),0.5),FLOOR(MAX(SUM(F53:K53)*24-M53,0),0.5))</f>
        <v>0</v>
      </c>
      <c r="Q53" s="9">
        <f>IF(COUNTIF(PARAMETRES_REGIMES!$A$3:$A$100,$A53)&gt;0,0,IF(ISNUMBER(L53),FLOOR(MAX(L53*24,0),0.5),0))</f>
        <v>0</v>
      </c>
      <c r="R53" s="8">
        <f t="shared" si="7"/>
        <v>0</v>
      </c>
      <c r="S53" s="8">
        <f t="shared" si="8"/>
        <v>0</v>
      </c>
      <c r="T53" s="8">
        <f t="shared" si="9"/>
        <v>0</v>
      </c>
      <c r="U53" s="8">
        <f t="shared" si="10"/>
        <v>47.5</v>
      </c>
      <c r="V53" s="10" t="str">
        <f t="shared" si="11"/>
        <v>OK</v>
      </c>
    </row>
    <row r="54" spans="1:22">
      <c r="A54" s="5" t="s">
        <v>93</v>
      </c>
      <c r="B54" s="5" t="s">
        <v>94</v>
      </c>
      <c r="C54" s="5" t="s">
        <v>95</v>
      </c>
      <c r="D54" s="5" t="s">
        <v>92</v>
      </c>
      <c r="E54" s="5" t="s">
        <v>21</v>
      </c>
      <c r="F54" s="18">
        <v>0.39583333333333331</v>
      </c>
      <c r="G54" s="18">
        <v>0.39583333333333331</v>
      </c>
      <c r="H54" s="18">
        <v>0.39583333333333331</v>
      </c>
      <c r="I54" s="18">
        <v>0.39583333333333331</v>
      </c>
      <c r="J54" s="18">
        <v>0.39583333333333331</v>
      </c>
      <c r="K54" s="7" t="s">
        <v>308</v>
      </c>
      <c r="L54" s="7" t="s">
        <v>308</v>
      </c>
      <c r="M54" s="8">
        <f>48</f>
        <v>48</v>
      </c>
      <c r="N54" s="8">
        <f t="shared" si="6"/>
        <v>47.5</v>
      </c>
      <c r="O54" s="8">
        <f>IF(COUNTIF(PARAMETRES_REGIMES!$A$3:$A$100,$A54)&gt;0,MIN(M54,SUM(F54:L54)*24),MIN(M54,SUM(F54:K54)*24))</f>
        <v>47.5</v>
      </c>
      <c r="P54" s="9">
        <f>IF(COUNTIF(PARAMETRES_REGIMES!$A$3:$A$100,$A54)&gt;0,FLOOR(MAX(SUM(F54:L54)*24-M54,0),0.5),FLOOR(MAX(SUM(F54:K54)*24-M54,0),0.5))</f>
        <v>0</v>
      </c>
      <c r="Q54" s="9">
        <f>IF(COUNTIF(PARAMETRES_REGIMES!$A$3:$A$100,$A54)&gt;0,0,IF(ISNUMBER(L54),FLOOR(MAX(L54*24,0),0.5),0))</f>
        <v>0</v>
      </c>
      <c r="R54" s="8">
        <f t="shared" si="7"/>
        <v>0</v>
      </c>
      <c r="S54" s="8">
        <f t="shared" si="8"/>
        <v>0</v>
      </c>
      <c r="T54" s="8">
        <f t="shared" si="9"/>
        <v>0</v>
      </c>
      <c r="U54" s="8">
        <f t="shared" si="10"/>
        <v>47.5</v>
      </c>
      <c r="V54" s="10" t="str">
        <f t="shared" si="11"/>
        <v>OK</v>
      </c>
    </row>
    <row r="55" spans="1:22">
      <c r="A55" s="5" t="s">
        <v>286</v>
      </c>
      <c r="B55" s="5" t="s">
        <v>63</v>
      </c>
      <c r="C55" s="5" t="s">
        <v>287</v>
      </c>
      <c r="D55" s="5" t="s">
        <v>49</v>
      </c>
      <c r="E55" s="5" t="s">
        <v>123</v>
      </c>
      <c r="F55" s="18">
        <v>0.39583333333333331</v>
      </c>
      <c r="G55" s="18">
        <v>0.39583333333333331</v>
      </c>
      <c r="H55" s="18">
        <v>0.39583333333333331</v>
      </c>
      <c r="I55" s="18">
        <v>0.39583333333333331</v>
      </c>
      <c r="J55" s="18">
        <v>0.39583333333333331</v>
      </c>
      <c r="K55" s="7" t="s">
        <v>308</v>
      </c>
      <c r="L55" s="7" t="s">
        <v>308</v>
      </c>
      <c r="M55" s="8">
        <f>48</f>
        <v>48</v>
      </c>
      <c r="N55" s="8">
        <f t="shared" si="6"/>
        <v>47.5</v>
      </c>
      <c r="O55" s="8">
        <f>IF(COUNTIF(PARAMETRES_REGIMES!$A$3:$A$100,$A55)&gt;0,MIN(M55,SUM(F55:L55)*24),MIN(M55,SUM(F55:K55)*24))</f>
        <v>47.5</v>
      </c>
      <c r="P55" s="9">
        <f>IF(COUNTIF(PARAMETRES_REGIMES!$A$3:$A$100,$A55)&gt;0,FLOOR(MAX(SUM(F55:L55)*24-M55,0),0.5),FLOOR(MAX(SUM(F55:K55)*24-M55,0),0.5))</f>
        <v>0</v>
      </c>
      <c r="Q55" s="9">
        <f>IF(COUNTIF(PARAMETRES_REGIMES!$A$3:$A$100,$A55)&gt;0,0,IF(ISNUMBER(L55),FLOOR(MAX(L55*24,0),0.5),0))</f>
        <v>0</v>
      </c>
      <c r="R55" s="8">
        <f t="shared" si="7"/>
        <v>0</v>
      </c>
      <c r="S55" s="8">
        <f t="shared" si="8"/>
        <v>0</v>
      </c>
      <c r="T55" s="8">
        <f t="shared" si="9"/>
        <v>0</v>
      </c>
      <c r="U55" s="8">
        <f t="shared" si="10"/>
        <v>47.5</v>
      </c>
      <c r="V55" s="10" t="str">
        <f t="shared" si="11"/>
        <v>OK</v>
      </c>
    </row>
    <row r="56" spans="1:22">
      <c r="A56" s="5" t="s">
        <v>137</v>
      </c>
      <c r="B56" s="5" t="s">
        <v>138</v>
      </c>
      <c r="C56" s="5" t="s">
        <v>139</v>
      </c>
      <c r="D56" s="5" t="s">
        <v>31</v>
      </c>
      <c r="E56" s="5" t="s">
        <v>123</v>
      </c>
      <c r="F56" s="18">
        <v>0.33333333333333331</v>
      </c>
      <c r="G56" s="18">
        <v>0.33333333333333331</v>
      </c>
      <c r="H56" s="18">
        <v>0.39583333333333331</v>
      </c>
      <c r="I56" s="18" t="s">
        <v>12</v>
      </c>
      <c r="J56" s="18">
        <v>0.33333333333333331</v>
      </c>
      <c r="K56" s="7" t="s">
        <v>308</v>
      </c>
      <c r="L56" s="7" t="s">
        <v>308</v>
      </c>
      <c r="M56" s="8">
        <f>48</f>
        <v>48</v>
      </c>
      <c r="N56" s="8">
        <f t="shared" si="6"/>
        <v>33.5</v>
      </c>
      <c r="O56" s="8">
        <f>IF(COUNTIF(PARAMETRES_REGIMES!$A$3:$A$100,$A56)&gt;0,MIN(M56,SUM(F56:L56)*24),MIN(M56,SUM(F56:K56)*24))</f>
        <v>33.5</v>
      </c>
      <c r="P56" s="9">
        <f>IF(COUNTIF(PARAMETRES_REGIMES!$A$3:$A$100,$A56)&gt;0,FLOOR(MAX(SUM(F56:L56)*24-M56,0),0.5),FLOOR(MAX(SUM(F56:K56)*24-M56,0),0.5))</f>
        <v>0</v>
      </c>
      <c r="Q56" s="9">
        <f>IF(COUNTIF(PARAMETRES_REGIMES!$A$3:$A$100,$A56)&gt;0,0,IF(ISNUMBER(L56),FLOOR(MAX(L56*24,0),0.5),0))</f>
        <v>0</v>
      </c>
      <c r="R56" s="8">
        <f t="shared" si="7"/>
        <v>1</v>
      </c>
      <c r="S56" s="8">
        <f t="shared" si="8"/>
        <v>0</v>
      </c>
      <c r="T56" s="8">
        <f t="shared" si="9"/>
        <v>0</v>
      </c>
      <c r="U56" s="8">
        <f t="shared" si="10"/>
        <v>33.5</v>
      </c>
      <c r="V56" s="10" t="str">
        <f t="shared" si="11"/>
        <v>OK</v>
      </c>
    </row>
    <row r="57" spans="1:22">
      <c r="A57" s="5" t="s">
        <v>164</v>
      </c>
      <c r="B57" s="5" t="s">
        <v>165</v>
      </c>
      <c r="C57" s="5" t="s">
        <v>166</v>
      </c>
      <c r="D57" s="5" t="s">
        <v>31</v>
      </c>
      <c r="E57" s="5" t="s">
        <v>123</v>
      </c>
      <c r="F57" s="18" t="s">
        <v>309</v>
      </c>
      <c r="G57" s="18" t="s">
        <v>309</v>
      </c>
      <c r="H57" s="18" t="s">
        <v>309</v>
      </c>
      <c r="I57" s="18" t="s">
        <v>309</v>
      </c>
      <c r="J57" s="18" t="s">
        <v>309</v>
      </c>
      <c r="K57" s="7" t="s">
        <v>308</v>
      </c>
      <c r="L57" s="7" t="s">
        <v>308</v>
      </c>
      <c r="M57" s="8">
        <f>48</f>
        <v>48</v>
      </c>
      <c r="N57" s="8">
        <f t="shared" si="6"/>
        <v>0</v>
      </c>
      <c r="O57" s="8">
        <f>IF(COUNTIF(PARAMETRES_REGIMES!$A$3:$A$100,$A57)&gt;0,MIN(M57,SUM(F57:L57)*24),MIN(M57,SUM(F57:K57)*24))</f>
        <v>0</v>
      </c>
      <c r="P57" s="9">
        <f>IF(COUNTIF(PARAMETRES_REGIMES!$A$3:$A$100,$A57)&gt;0,FLOOR(MAX(SUM(F57:L57)*24-M57,0),0.5),FLOOR(MAX(SUM(F57:K57)*24-M57,0),0.5))</f>
        <v>0</v>
      </c>
      <c r="Q57" s="9">
        <f>IF(COUNTIF(PARAMETRES_REGIMES!$A$3:$A$100,$A57)&gt;0,0,IF(ISNUMBER(L57),FLOOR(MAX(L57*24,0),0.5),0))</f>
        <v>0</v>
      </c>
      <c r="R57" s="8">
        <f t="shared" si="7"/>
        <v>0</v>
      </c>
      <c r="S57" s="8">
        <f t="shared" si="8"/>
        <v>0</v>
      </c>
      <c r="T57" s="8">
        <f t="shared" si="9"/>
        <v>0</v>
      </c>
      <c r="U57" s="8">
        <f t="shared" si="10"/>
        <v>0</v>
      </c>
      <c r="V57" s="10" t="str">
        <f t="shared" si="11"/>
        <v>STC</v>
      </c>
    </row>
    <row r="58" spans="1:22">
      <c r="A58" s="5" t="s">
        <v>167</v>
      </c>
      <c r="B58" s="5" t="s">
        <v>168</v>
      </c>
      <c r="C58" s="5" t="s">
        <v>169</v>
      </c>
      <c r="D58" s="5" t="s">
        <v>31</v>
      </c>
      <c r="E58" s="5" t="s">
        <v>123</v>
      </c>
      <c r="F58" s="18" t="s">
        <v>309</v>
      </c>
      <c r="G58" s="18" t="s">
        <v>309</v>
      </c>
      <c r="H58" s="18" t="s">
        <v>309</v>
      </c>
      <c r="I58" s="18" t="s">
        <v>309</v>
      </c>
      <c r="J58" s="18" t="s">
        <v>309</v>
      </c>
      <c r="K58" s="7" t="s">
        <v>308</v>
      </c>
      <c r="L58" s="7" t="s">
        <v>308</v>
      </c>
      <c r="M58" s="8">
        <f>48</f>
        <v>48</v>
      </c>
      <c r="N58" s="8">
        <f t="shared" si="6"/>
        <v>0</v>
      </c>
      <c r="O58" s="8">
        <f>IF(COUNTIF(PARAMETRES_REGIMES!$A$3:$A$100,$A58)&gt;0,MIN(M58,SUM(F58:L58)*24),MIN(M58,SUM(F58:K58)*24))</f>
        <v>0</v>
      </c>
      <c r="P58" s="9">
        <f>IF(COUNTIF(PARAMETRES_REGIMES!$A$3:$A$100,$A58)&gt;0,FLOOR(MAX(SUM(F58:L58)*24-M58,0),0.5),FLOOR(MAX(SUM(F58:K58)*24-M58,0),0.5))</f>
        <v>0</v>
      </c>
      <c r="Q58" s="9">
        <f>IF(COUNTIF(PARAMETRES_REGIMES!$A$3:$A$100,$A58)&gt;0,0,IF(ISNUMBER(L58),FLOOR(MAX(L58*24,0),0.5),0))</f>
        <v>0</v>
      </c>
      <c r="R58" s="8">
        <f t="shared" si="7"/>
        <v>0</v>
      </c>
      <c r="S58" s="8">
        <f t="shared" si="8"/>
        <v>0</v>
      </c>
      <c r="T58" s="8">
        <f t="shared" si="9"/>
        <v>0</v>
      </c>
      <c r="U58" s="8">
        <f t="shared" si="10"/>
        <v>0</v>
      </c>
      <c r="V58" s="10" t="str">
        <f t="shared" si="11"/>
        <v>STC</v>
      </c>
    </row>
    <row r="59" spans="1:22">
      <c r="A59" s="5" t="s">
        <v>64</v>
      </c>
      <c r="B59" s="5" t="s">
        <v>65</v>
      </c>
      <c r="C59" s="5" t="s">
        <v>66</v>
      </c>
      <c r="D59" s="5" t="s">
        <v>49</v>
      </c>
      <c r="E59" s="5" t="s">
        <v>21</v>
      </c>
      <c r="F59" s="18">
        <v>0.39583333333333331</v>
      </c>
      <c r="G59" s="18">
        <v>0.41666666666666669</v>
      </c>
      <c r="H59" s="18">
        <v>0.41666666666666669</v>
      </c>
      <c r="I59" s="18">
        <v>0.39583333333333331</v>
      </c>
      <c r="J59" s="18">
        <v>0.39583333333333331</v>
      </c>
      <c r="K59" s="7" t="s">
        <v>308</v>
      </c>
      <c r="L59" s="7" t="s">
        <v>308</v>
      </c>
      <c r="M59" s="8">
        <f>48</f>
        <v>48</v>
      </c>
      <c r="N59" s="8">
        <f t="shared" si="6"/>
        <v>48.5</v>
      </c>
      <c r="O59" s="8">
        <f>IF(COUNTIF(PARAMETRES_REGIMES!$A$3:$A$100,$A59)&gt;0,MIN(M59,SUM(F59:L59)*24),MIN(M59,SUM(F59:K59)*24))</f>
        <v>48</v>
      </c>
      <c r="P59" s="9">
        <f>IF(COUNTIF(PARAMETRES_REGIMES!$A$3:$A$100,$A59)&gt;0,FLOOR(MAX(SUM(F59:L59)*24-M59,0),0.5),FLOOR(MAX(SUM(F59:K59)*24-M59,0),0.5))</f>
        <v>0.5</v>
      </c>
      <c r="Q59" s="9">
        <f>IF(COUNTIF(PARAMETRES_REGIMES!$A$3:$A$100,$A59)&gt;0,0,IF(ISNUMBER(L59),FLOOR(MAX(L59*24,0),0.5),0))</f>
        <v>0</v>
      </c>
      <c r="R59" s="8">
        <f t="shared" si="7"/>
        <v>0</v>
      </c>
      <c r="S59" s="8">
        <f t="shared" si="8"/>
        <v>0</v>
      </c>
      <c r="T59" s="8">
        <f t="shared" si="9"/>
        <v>0</v>
      </c>
      <c r="U59" s="8">
        <f t="shared" si="10"/>
        <v>48.5</v>
      </c>
      <c r="V59" s="10" t="str">
        <f t="shared" si="11"/>
        <v>OK</v>
      </c>
    </row>
    <row r="60" spans="1:22">
      <c r="A60" s="5" t="s">
        <v>235</v>
      </c>
      <c r="B60" s="5" t="s">
        <v>232</v>
      </c>
      <c r="C60" s="5" t="s">
        <v>236</v>
      </c>
      <c r="D60" s="5" t="s">
        <v>31</v>
      </c>
      <c r="E60" s="5" t="s">
        <v>123</v>
      </c>
      <c r="F60" s="18">
        <v>0.39583333333333331</v>
      </c>
      <c r="G60" s="18">
        <v>0.39583333333333331</v>
      </c>
      <c r="H60" s="18">
        <v>0.39583333333333331</v>
      </c>
      <c r="I60" s="18">
        <v>0.39583333333333331</v>
      </c>
      <c r="J60" s="18" t="s">
        <v>12</v>
      </c>
      <c r="K60" s="7" t="s">
        <v>308</v>
      </c>
      <c r="L60" s="7" t="s">
        <v>308</v>
      </c>
      <c r="M60" s="8">
        <f>48</f>
        <v>48</v>
      </c>
      <c r="N60" s="8">
        <f t="shared" si="6"/>
        <v>38</v>
      </c>
      <c r="O60" s="8">
        <f>IF(COUNTIF(PARAMETRES_REGIMES!$A$3:$A$100,$A60)&gt;0,MIN(M60,SUM(F60:L60)*24),MIN(M60,SUM(F60:K60)*24))</f>
        <v>38</v>
      </c>
      <c r="P60" s="9">
        <f>IF(COUNTIF(PARAMETRES_REGIMES!$A$3:$A$100,$A60)&gt;0,FLOOR(MAX(SUM(F60:L60)*24-M60,0),0.5),FLOOR(MAX(SUM(F60:K60)*24-M60,0),0.5))</f>
        <v>0</v>
      </c>
      <c r="Q60" s="9">
        <f>IF(COUNTIF(PARAMETRES_REGIMES!$A$3:$A$100,$A60)&gt;0,0,IF(ISNUMBER(L60),FLOOR(MAX(L60*24,0),0.5),0))</f>
        <v>0</v>
      </c>
      <c r="R60" s="8">
        <f t="shared" si="7"/>
        <v>1</v>
      </c>
      <c r="S60" s="8">
        <f t="shared" si="8"/>
        <v>0</v>
      </c>
      <c r="T60" s="8">
        <f t="shared" si="9"/>
        <v>0</v>
      </c>
      <c r="U60" s="8">
        <f t="shared" si="10"/>
        <v>38</v>
      </c>
      <c r="V60" s="10" t="str">
        <f t="shared" si="11"/>
        <v>OK</v>
      </c>
    </row>
    <row r="61" spans="1:22">
      <c r="A61" s="5" t="s">
        <v>23</v>
      </c>
      <c r="B61" s="5" t="s">
        <v>24</v>
      </c>
      <c r="C61" s="5" t="s">
        <v>25</v>
      </c>
      <c r="D61" s="5" t="s">
        <v>20</v>
      </c>
      <c r="E61" s="5" t="s">
        <v>21</v>
      </c>
      <c r="F61" s="18">
        <v>0.39583333333333331</v>
      </c>
      <c r="G61" s="18">
        <v>0.39583333333333331</v>
      </c>
      <c r="H61" s="18">
        <v>0.39583333333333331</v>
      </c>
      <c r="I61" s="18">
        <v>0.4375</v>
      </c>
      <c r="J61" s="18">
        <v>0.375</v>
      </c>
      <c r="K61" s="7" t="s">
        <v>308</v>
      </c>
      <c r="L61" s="7" t="s">
        <v>308</v>
      </c>
      <c r="M61" s="8">
        <f>48</f>
        <v>48</v>
      </c>
      <c r="N61" s="8">
        <f t="shared" si="6"/>
        <v>48</v>
      </c>
      <c r="O61" s="8">
        <f>IF(COUNTIF(PARAMETRES_REGIMES!$A$3:$A$100,$A61)&gt;0,MIN(M61,SUM(F61:L61)*24),MIN(M61,SUM(F61:K61)*24))</f>
        <v>48</v>
      </c>
      <c r="P61" s="9">
        <f>IF(COUNTIF(PARAMETRES_REGIMES!$A$3:$A$100,$A61)&gt;0,FLOOR(MAX(SUM(F61:L61)*24-M61,0),0.5),FLOOR(MAX(SUM(F61:K61)*24-M61,0),0.5))</f>
        <v>0</v>
      </c>
      <c r="Q61" s="9">
        <f>IF(COUNTIF(PARAMETRES_REGIMES!$A$3:$A$100,$A61)&gt;0,0,IF(ISNUMBER(L61),FLOOR(MAX(L61*24,0),0.5),0))</f>
        <v>0</v>
      </c>
      <c r="R61" s="8">
        <f t="shared" si="7"/>
        <v>0</v>
      </c>
      <c r="S61" s="8">
        <f t="shared" si="8"/>
        <v>0</v>
      </c>
      <c r="T61" s="8">
        <f t="shared" si="9"/>
        <v>0</v>
      </c>
      <c r="U61" s="8">
        <f t="shared" si="10"/>
        <v>48</v>
      </c>
      <c r="V61" s="10" t="str">
        <f t="shared" si="11"/>
        <v>OK</v>
      </c>
    </row>
    <row r="62" spans="1:22">
      <c r="A62" s="5" t="s">
        <v>246</v>
      </c>
      <c r="B62" s="5" t="s">
        <v>247</v>
      </c>
      <c r="C62" s="5" t="s">
        <v>248</v>
      </c>
      <c r="D62" s="5" t="s">
        <v>31</v>
      </c>
      <c r="E62" s="5" t="s">
        <v>123</v>
      </c>
      <c r="F62" s="18">
        <v>0.39583333333333331</v>
      </c>
      <c r="G62" s="18">
        <v>0.39583333333333331</v>
      </c>
      <c r="H62" s="18">
        <v>0.39583333333333331</v>
      </c>
      <c r="I62" s="18">
        <v>0.39583333333333331</v>
      </c>
      <c r="J62" s="18">
        <v>0.39583333333333331</v>
      </c>
      <c r="K62" s="7" t="s">
        <v>308</v>
      </c>
      <c r="L62" s="7" t="s">
        <v>308</v>
      </c>
      <c r="M62" s="8">
        <f>48</f>
        <v>48</v>
      </c>
      <c r="N62" s="8">
        <f t="shared" si="6"/>
        <v>47.5</v>
      </c>
      <c r="O62" s="8">
        <f>IF(COUNTIF(PARAMETRES_REGIMES!$A$3:$A$100,$A62)&gt;0,MIN(M62,SUM(F62:L62)*24),MIN(M62,SUM(F62:K62)*24))</f>
        <v>47.5</v>
      </c>
      <c r="P62" s="9">
        <f>IF(COUNTIF(PARAMETRES_REGIMES!$A$3:$A$100,$A62)&gt;0,FLOOR(MAX(SUM(F62:L62)*24-M62,0),0.5),FLOOR(MAX(SUM(F62:K62)*24-M62,0),0.5))</f>
        <v>0</v>
      </c>
      <c r="Q62" s="9">
        <f>IF(COUNTIF(PARAMETRES_REGIMES!$A$3:$A$100,$A62)&gt;0,0,IF(ISNUMBER(L62),FLOOR(MAX(L62*24,0),0.5),0))</f>
        <v>0</v>
      </c>
      <c r="R62" s="8">
        <f t="shared" si="7"/>
        <v>0</v>
      </c>
      <c r="S62" s="8">
        <f t="shared" si="8"/>
        <v>0</v>
      </c>
      <c r="T62" s="8">
        <f t="shared" si="9"/>
        <v>0</v>
      </c>
      <c r="U62" s="8">
        <f t="shared" si="10"/>
        <v>47.5</v>
      </c>
      <c r="V62" s="10" t="str">
        <f t="shared" si="11"/>
        <v>OK</v>
      </c>
    </row>
    <row r="63" spans="1:22">
      <c r="A63" s="5" t="s">
        <v>146</v>
      </c>
      <c r="B63" s="5" t="s">
        <v>147</v>
      </c>
      <c r="C63" s="5" t="s">
        <v>148</v>
      </c>
      <c r="D63" s="5" t="s">
        <v>31</v>
      </c>
      <c r="E63" s="5" t="s">
        <v>123</v>
      </c>
      <c r="F63" s="18">
        <v>0.39583333333333331</v>
      </c>
      <c r="G63" s="18">
        <v>0.39583333333333331</v>
      </c>
      <c r="H63" s="18">
        <v>0.375</v>
      </c>
      <c r="I63" s="18">
        <v>0.39583333333333331</v>
      </c>
      <c r="J63" s="18">
        <v>0.39583333333333331</v>
      </c>
      <c r="K63" s="7" t="s">
        <v>308</v>
      </c>
      <c r="L63" s="7" t="s">
        <v>308</v>
      </c>
      <c r="M63" s="8">
        <f>48</f>
        <v>48</v>
      </c>
      <c r="N63" s="8">
        <f t="shared" si="6"/>
        <v>46.999999999999993</v>
      </c>
      <c r="O63" s="8">
        <f>IF(COUNTIF(PARAMETRES_REGIMES!$A$3:$A$100,$A63)&gt;0,MIN(M63,SUM(F63:L63)*24),MIN(M63,SUM(F63:K63)*24))</f>
        <v>46.999999999999993</v>
      </c>
      <c r="P63" s="9">
        <f>IF(COUNTIF(PARAMETRES_REGIMES!$A$3:$A$100,$A63)&gt;0,FLOOR(MAX(SUM(F63:L63)*24-M63,0),0.5),FLOOR(MAX(SUM(F63:K63)*24-M63,0),0.5))</f>
        <v>0</v>
      </c>
      <c r="Q63" s="9">
        <f>IF(COUNTIF(PARAMETRES_REGIMES!$A$3:$A$100,$A63)&gt;0,0,IF(ISNUMBER(L63),FLOOR(MAX(L63*24,0),0.5),0))</f>
        <v>0</v>
      </c>
      <c r="R63" s="8">
        <f t="shared" si="7"/>
        <v>0</v>
      </c>
      <c r="S63" s="8">
        <f t="shared" si="8"/>
        <v>0</v>
      </c>
      <c r="T63" s="8">
        <f t="shared" si="9"/>
        <v>0</v>
      </c>
      <c r="U63" s="8">
        <f t="shared" si="10"/>
        <v>46.999999999999993</v>
      </c>
      <c r="V63" s="10" t="str">
        <f t="shared" si="11"/>
        <v>OK</v>
      </c>
    </row>
    <row r="64" spans="1:22">
      <c r="A64" s="5" t="s">
        <v>222</v>
      </c>
      <c r="B64" s="5" t="s">
        <v>223</v>
      </c>
      <c r="C64" s="5" t="s">
        <v>19</v>
      </c>
      <c r="D64" s="5" t="s">
        <v>31</v>
      </c>
      <c r="E64" s="5" t="s">
        <v>123</v>
      </c>
      <c r="F64" s="18">
        <v>0.39583333333333331</v>
      </c>
      <c r="G64" s="18">
        <v>0.39583333333333331</v>
      </c>
      <c r="H64" s="18">
        <v>0.39583333333333331</v>
      </c>
      <c r="I64" s="18">
        <v>0.39583333333333331</v>
      </c>
      <c r="J64" s="18">
        <v>0.41666666666666669</v>
      </c>
      <c r="K64" s="7" t="s">
        <v>308</v>
      </c>
      <c r="L64" s="7" t="s">
        <v>308</v>
      </c>
      <c r="M64" s="8">
        <f>48</f>
        <v>48</v>
      </c>
      <c r="N64" s="8">
        <f t="shared" si="6"/>
        <v>48</v>
      </c>
      <c r="O64" s="8">
        <f>IF(COUNTIF(PARAMETRES_REGIMES!$A$3:$A$100,$A64)&gt;0,MIN(M64,SUM(F64:L64)*24),MIN(M64,SUM(F64:K64)*24))</f>
        <v>48</v>
      </c>
      <c r="P64" s="9">
        <f>IF(COUNTIF(PARAMETRES_REGIMES!$A$3:$A$100,$A64)&gt;0,FLOOR(MAX(SUM(F64:L64)*24-M64,0),0.5),FLOOR(MAX(SUM(F64:K64)*24-M64,0),0.5))</f>
        <v>0</v>
      </c>
      <c r="Q64" s="9">
        <f>IF(COUNTIF(PARAMETRES_REGIMES!$A$3:$A$100,$A64)&gt;0,0,IF(ISNUMBER(L64),FLOOR(MAX(L64*24,0),0.5),0))</f>
        <v>0</v>
      </c>
      <c r="R64" s="8">
        <f t="shared" si="7"/>
        <v>0</v>
      </c>
      <c r="S64" s="8">
        <f t="shared" si="8"/>
        <v>0</v>
      </c>
      <c r="T64" s="8">
        <f t="shared" si="9"/>
        <v>0</v>
      </c>
      <c r="U64" s="8">
        <f t="shared" si="10"/>
        <v>48</v>
      </c>
      <c r="V64" s="10" t="str">
        <f t="shared" si="11"/>
        <v>OK</v>
      </c>
    </row>
    <row r="65" spans="1:22">
      <c r="A65" s="5" t="s">
        <v>114</v>
      </c>
      <c r="B65" s="5" t="s">
        <v>115</v>
      </c>
      <c r="C65" s="5" t="s">
        <v>116</v>
      </c>
      <c r="D65" s="5" t="s">
        <v>92</v>
      </c>
      <c r="E65" s="5" t="s">
        <v>21</v>
      </c>
      <c r="F65" s="18">
        <v>0.39583333333333331</v>
      </c>
      <c r="G65" s="18">
        <v>0.39583333333333331</v>
      </c>
      <c r="H65" s="18" t="s">
        <v>312</v>
      </c>
      <c r="I65" s="18">
        <v>0.39583333333333331</v>
      </c>
      <c r="J65" s="18">
        <v>0.39583333333333331</v>
      </c>
      <c r="K65" s="7" t="s">
        <v>308</v>
      </c>
      <c r="L65" s="7" t="s">
        <v>308</v>
      </c>
      <c r="M65" s="8">
        <f>48</f>
        <v>48</v>
      </c>
      <c r="N65" s="8">
        <f t="shared" si="6"/>
        <v>38</v>
      </c>
      <c r="O65" s="8">
        <f>IF(COUNTIF(PARAMETRES_REGIMES!$A$3:$A$100,$A65)&gt;0,MIN(M65,SUM(F65:L65)*24),MIN(M65,SUM(F65:K65)*24))</f>
        <v>38</v>
      </c>
      <c r="P65" s="9">
        <f>IF(COUNTIF(PARAMETRES_REGIMES!$A$3:$A$100,$A65)&gt;0,FLOOR(MAX(SUM(F65:L65)*24-M65,0),0.5),FLOOR(MAX(SUM(F65:K65)*24-M65,0),0.5))</f>
        <v>0</v>
      </c>
      <c r="Q65" s="9">
        <f>IF(COUNTIF(PARAMETRES_REGIMES!$A$3:$A$100,$A65)&gt;0,0,IF(ISNUMBER(L65),FLOOR(MAX(L65*24,0),0.5),0))</f>
        <v>0</v>
      </c>
      <c r="R65" s="8">
        <f t="shared" si="7"/>
        <v>0</v>
      </c>
      <c r="S65" s="8">
        <f t="shared" si="8"/>
        <v>1</v>
      </c>
      <c r="T65" s="8">
        <f t="shared" si="9"/>
        <v>0</v>
      </c>
      <c r="U65" s="8">
        <f t="shared" si="10"/>
        <v>38</v>
      </c>
      <c r="V65" s="10" t="str">
        <f t="shared" si="11"/>
        <v>OK</v>
      </c>
    </row>
    <row r="66" spans="1:22">
      <c r="A66" s="5" t="s">
        <v>114</v>
      </c>
      <c r="B66" s="5" t="s">
        <v>150</v>
      </c>
      <c r="C66" s="5" t="s">
        <v>152</v>
      </c>
      <c r="D66" s="5" t="s">
        <v>31</v>
      </c>
      <c r="E66" s="5" t="s">
        <v>123</v>
      </c>
      <c r="F66" s="18">
        <v>0.39583333333333331</v>
      </c>
      <c r="G66" s="18">
        <v>0.39583333333333331</v>
      </c>
      <c r="H66" s="18">
        <v>0.39583333333333331</v>
      </c>
      <c r="I66" s="18">
        <v>0.39583333333333331</v>
      </c>
      <c r="J66" s="18">
        <v>0.39583333333333331</v>
      </c>
      <c r="K66" s="7" t="s">
        <v>308</v>
      </c>
      <c r="L66" s="7" t="s">
        <v>308</v>
      </c>
      <c r="M66" s="8">
        <f>48</f>
        <v>48</v>
      </c>
      <c r="N66" s="8">
        <f t="shared" si="6"/>
        <v>47.5</v>
      </c>
      <c r="O66" s="8">
        <f>IF(COUNTIF(PARAMETRES_REGIMES!$A$3:$A$100,$A66)&gt;0,MIN(M66,SUM(F66:L66)*24),MIN(M66,SUM(F66:K66)*24))</f>
        <v>47.5</v>
      </c>
      <c r="P66" s="9">
        <f>IF(COUNTIF(PARAMETRES_REGIMES!$A$3:$A$100,$A66)&gt;0,FLOOR(MAX(SUM(F66:L66)*24-M66,0),0.5),FLOOR(MAX(SUM(F66:K66)*24-M66,0),0.5))</f>
        <v>0</v>
      </c>
      <c r="Q66" s="9">
        <f>IF(COUNTIF(PARAMETRES_REGIMES!$A$3:$A$100,$A66)&gt;0,0,IF(ISNUMBER(L66),FLOOR(MAX(L66*24,0),0.5),0))</f>
        <v>0</v>
      </c>
      <c r="R66" s="8">
        <f t="shared" si="7"/>
        <v>0</v>
      </c>
      <c r="S66" s="8">
        <f t="shared" si="8"/>
        <v>0</v>
      </c>
      <c r="T66" s="8">
        <f t="shared" si="9"/>
        <v>0</v>
      </c>
      <c r="U66" s="8">
        <f t="shared" si="10"/>
        <v>47.5</v>
      </c>
      <c r="V66" s="10" t="str">
        <f t="shared" si="11"/>
        <v>OK</v>
      </c>
    </row>
    <row r="67" spans="1:22">
      <c r="A67" s="5" t="s">
        <v>149</v>
      </c>
      <c r="B67" s="5" t="s">
        <v>150</v>
      </c>
      <c r="C67" s="5" t="s">
        <v>151</v>
      </c>
      <c r="D67" s="5" t="s">
        <v>31</v>
      </c>
      <c r="E67" s="5" t="s">
        <v>123</v>
      </c>
      <c r="F67" s="18">
        <v>0.39583333333333331</v>
      </c>
      <c r="G67" s="18">
        <v>0.39583333333333331</v>
      </c>
      <c r="H67" s="18">
        <v>0.39583333333333331</v>
      </c>
      <c r="I67" s="18">
        <v>0.39583333333333331</v>
      </c>
      <c r="J67" s="18">
        <v>0.39583333333333331</v>
      </c>
      <c r="K67" s="7" t="s">
        <v>308</v>
      </c>
      <c r="L67" s="7" t="s">
        <v>308</v>
      </c>
      <c r="M67" s="8">
        <f>48</f>
        <v>48</v>
      </c>
      <c r="N67" s="8">
        <f t="shared" ref="N67:N98" si="12">SUM(F67:L67)*24</f>
        <v>47.5</v>
      </c>
      <c r="O67" s="8">
        <f>IF(COUNTIF(PARAMETRES_REGIMES!$A$3:$A$100,$A67)&gt;0,MIN(M67,SUM(F67:L67)*24),MIN(M67,SUM(F67:K67)*24))</f>
        <v>47.5</v>
      </c>
      <c r="P67" s="9">
        <f>IF(COUNTIF(PARAMETRES_REGIMES!$A$3:$A$100,$A67)&gt;0,FLOOR(MAX(SUM(F67:L67)*24-M67,0),0.5),FLOOR(MAX(SUM(F67:K67)*24-M67,0),0.5))</f>
        <v>0</v>
      </c>
      <c r="Q67" s="9">
        <f>IF(COUNTIF(PARAMETRES_REGIMES!$A$3:$A$100,$A67)&gt;0,0,IF(ISNUMBER(L67),FLOOR(MAX(L67*24,0),0.5),0))</f>
        <v>0</v>
      </c>
      <c r="R67" s="8">
        <f t="shared" ref="R67:R98" si="13">COUNTIF(F67:L67,"ABS")</f>
        <v>0</v>
      </c>
      <c r="S67" s="8">
        <f t="shared" ref="S67:S98" si="14">COUNTIF(F67:L67,"Congé")+COUNTIF(F67:L67,"CSS")*0+COUNTIF(F67:L67,"CM")*0</f>
        <v>0</v>
      </c>
      <c r="T67" s="8">
        <f t="shared" ref="T67:T98" si="15">COUNTIF(F67:L67,"Férié")</f>
        <v>0</v>
      </c>
      <c r="U67" s="8">
        <f t="shared" ref="U67:U98" si="16">O67+P67+Q67+(T67*8.5)</f>
        <v>47.5</v>
      </c>
      <c r="V67" s="10" t="str">
        <f t="shared" ref="V67:V98" si="17">IF(COUNTIF(F67:L67,"STC")&gt;0,"STC",IF(OR(IFERROR(ISNUMBER(SEARCH("!",F67)),FALSE),IFERROR(ISNUMBER(SEARCH("!",G67)),FALSE),IFERROR(ISNUMBER(SEARCH("!",H67)),FALSE),IFERROR(ISNUMBER(SEARCH("!",I67)),FALSE),IFERROR(ISNUMBER(SEARCH("!",J67)),FALSE),IFERROR(ISNUMBER(SEARCH("!",K67)),FALSE),IFERROR(ISNUMBER(SEARCH("!",L67)),FALSE)),"À vérifier","OK"))</f>
        <v>OK</v>
      </c>
    </row>
    <row r="68" spans="1:22">
      <c r="A68" s="5" t="s">
        <v>120</v>
      </c>
      <c r="B68" s="5" t="s">
        <v>121</v>
      </c>
      <c r="C68" s="5" t="s">
        <v>122</v>
      </c>
      <c r="D68" s="5" t="s">
        <v>31</v>
      </c>
      <c r="E68" s="5" t="s">
        <v>123</v>
      </c>
      <c r="F68" s="18">
        <v>0.4375</v>
      </c>
      <c r="G68" s="18">
        <v>0.4375</v>
      </c>
      <c r="H68" s="18">
        <v>0.4375</v>
      </c>
      <c r="I68" s="18">
        <v>0.39583333333333331</v>
      </c>
      <c r="J68" s="18">
        <v>0.41666666666666669</v>
      </c>
      <c r="K68" s="7" t="s">
        <v>308</v>
      </c>
      <c r="L68" s="7" t="s">
        <v>308</v>
      </c>
      <c r="M68" s="8">
        <f>48</f>
        <v>48</v>
      </c>
      <c r="N68" s="8">
        <f t="shared" si="12"/>
        <v>51</v>
      </c>
      <c r="O68" s="8">
        <f>IF(COUNTIF(PARAMETRES_REGIMES!$A$3:$A$100,$A68)&gt;0,MIN(M68,SUM(F68:L68)*24),MIN(M68,SUM(F68:K68)*24))</f>
        <v>48</v>
      </c>
      <c r="P68" s="9">
        <f>IF(COUNTIF(PARAMETRES_REGIMES!$A$3:$A$100,$A68)&gt;0,FLOOR(MAX(SUM(F68:L68)*24-M68,0),0.5),FLOOR(MAX(SUM(F68:K68)*24-M68,0),0.5))</f>
        <v>3</v>
      </c>
      <c r="Q68" s="9">
        <f>IF(COUNTIF(PARAMETRES_REGIMES!$A$3:$A$100,$A68)&gt;0,0,IF(ISNUMBER(L68),FLOOR(MAX(L68*24,0),0.5),0))</f>
        <v>0</v>
      </c>
      <c r="R68" s="8">
        <f t="shared" si="13"/>
        <v>0</v>
      </c>
      <c r="S68" s="8">
        <f t="shared" si="14"/>
        <v>0</v>
      </c>
      <c r="T68" s="8">
        <f t="shared" si="15"/>
        <v>0</v>
      </c>
      <c r="U68" s="8">
        <f t="shared" si="16"/>
        <v>51</v>
      </c>
      <c r="V68" s="10" t="str">
        <f t="shared" si="17"/>
        <v>OK</v>
      </c>
    </row>
    <row r="69" spans="1:22">
      <c r="A69" s="5" t="s">
        <v>178</v>
      </c>
      <c r="B69" s="5" t="s">
        <v>179</v>
      </c>
      <c r="C69" s="5" t="s">
        <v>180</v>
      </c>
      <c r="D69" s="5" t="s">
        <v>31</v>
      </c>
      <c r="E69" s="5" t="s">
        <v>123</v>
      </c>
      <c r="F69" s="18">
        <v>0.39583333333333331</v>
      </c>
      <c r="G69" s="18">
        <v>0.39583333333333331</v>
      </c>
      <c r="H69" s="18">
        <v>0.39583333333333331</v>
      </c>
      <c r="I69" s="18">
        <v>0.39583333333333331</v>
      </c>
      <c r="J69" s="18">
        <v>0.39583333333333331</v>
      </c>
      <c r="K69" s="7" t="s">
        <v>308</v>
      </c>
      <c r="L69" s="7" t="s">
        <v>308</v>
      </c>
      <c r="M69" s="8">
        <f>48</f>
        <v>48</v>
      </c>
      <c r="N69" s="8">
        <f t="shared" si="12"/>
        <v>47.5</v>
      </c>
      <c r="O69" s="8">
        <f>IF(COUNTIF(PARAMETRES_REGIMES!$A$3:$A$100,$A69)&gt;0,MIN(M69,SUM(F69:L69)*24),MIN(M69,SUM(F69:K69)*24))</f>
        <v>47.5</v>
      </c>
      <c r="P69" s="9">
        <f>IF(COUNTIF(PARAMETRES_REGIMES!$A$3:$A$100,$A69)&gt;0,FLOOR(MAX(SUM(F69:L69)*24-M69,0),0.5),FLOOR(MAX(SUM(F69:K69)*24-M69,0),0.5))</f>
        <v>0</v>
      </c>
      <c r="Q69" s="9">
        <f>IF(COUNTIF(PARAMETRES_REGIMES!$A$3:$A$100,$A69)&gt;0,0,IF(ISNUMBER(L69),FLOOR(MAX(L69*24,0),0.5),0))</f>
        <v>0</v>
      </c>
      <c r="R69" s="8">
        <f t="shared" si="13"/>
        <v>0</v>
      </c>
      <c r="S69" s="8">
        <f t="shared" si="14"/>
        <v>0</v>
      </c>
      <c r="T69" s="8">
        <f t="shared" si="15"/>
        <v>0</v>
      </c>
      <c r="U69" s="8">
        <f t="shared" si="16"/>
        <v>47.5</v>
      </c>
      <c r="V69" s="10" t="str">
        <f t="shared" si="17"/>
        <v>OK</v>
      </c>
    </row>
    <row r="70" spans="1:22">
      <c r="A70" s="5" t="s">
        <v>192</v>
      </c>
      <c r="B70" s="5" t="s">
        <v>193</v>
      </c>
      <c r="C70" s="5" t="s">
        <v>194</v>
      </c>
      <c r="D70" s="5" t="s">
        <v>31</v>
      </c>
      <c r="E70" s="5" t="s">
        <v>123</v>
      </c>
      <c r="F70" s="18">
        <v>0.29166666666666669</v>
      </c>
      <c r="G70" s="18">
        <v>0.375</v>
      </c>
      <c r="H70" s="18" t="s">
        <v>12</v>
      </c>
      <c r="I70" s="18" t="s">
        <v>12</v>
      </c>
      <c r="J70" s="18" t="s">
        <v>12</v>
      </c>
      <c r="K70" s="7" t="s">
        <v>308</v>
      </c>
      <c r="L70" s="7" t="s">
        <v>308</v>
      </c>
      <c r="M70" s="8">
        <f>48</f>
        <v>48</v>
      </c>
      <c r="N70" s="8">
        <f t="shared" si="12"/>
        <v>16</v>
      </c>
      <c r="O70" s="8">
        <f>IF(COUNTIF(PARAMETRES_REGIMES!$A$3:$A$100,$A70)&gt;0,MIN(M70,SUM(F70:L70)*24),MIN(M70,SUM(F70:K70)*24))</f>
        <v>16</v>
      </c>
      <c r="P70" s="9">
        <f>IF(COUNTIF(PARAMETRES_REGIMES!$A$3:$A$100,$A70)&gt;0,FLOOR(MAX(SUM(F70:L70)*24-M70,0),0.5),FLOOR(MAX(SUM(F70:K70)*24-M70,0),0.5))</f>
        <v>0</v>
      </c>
      <c r="Q70" s="9">
        <f>IF(COUNTIF(PARAMETRES_REGIMES!$A$3:$A$100,$A70)&gt;0,0,IF(ISNUMBER(L70),FLOOR(MAX(L70*24,0),0.5),0))</f>
        <v>0</v>
      </c>
      <c r="R70" s="8">
        <f t="shared" si="13"/>
        <v>3</v>
      </c>
      <c r="S70" s="8">
        <f t="shared" si="14"/>
        <v>0</v>
      </c>
      <c r="T70" s="8">
        <f t="shared" si="15"/>
        <v>0</v>
      </c>
      <c r="U70" s="8">
        <f t="shared" si="16"/>
        <v>16</v>
      </c>
      <c r="V70" s="10" t="str">
        <f t="shared" si="17"/>
        <v>OK</v>
      </c>
    </row>
    <row r="71" spans="1:22">
      <c r="A71" s="5" t="s">
        <v>266</v>
      </c>
      <c r="B71" s="5" t="s">
        <v>267</v>
      </c>
      <c r="C71" s="5" t="s">
        <v>63</v>
      </c>
      <c r="D71" s="5" t="s">
        <v>31</v>
      </c>
      <c r="E71" s="5" t="s">
        <v>123</v>
      </c>
      <c r="F71" s="18">
        <v>0.29166666666666669</v>
      </c>
      <c r="G71" s="18">
        <v>0.375</v>
      </c>
      <c r="H71" s="18">
        <v>0.39583333333333331</v>
      </c>
      <c r="I71" s="18">
        <v>0.375</v>
      </c>
      <c r="J71" s="18">
        <v>0.39583333333333331</v>
      </c>
      <c r="K71" s="7" t="s">
        <v>308</v>
      </c>
      <c r="L71" s="7" t="s">
        <v>308</v>
      </c>
      <c r="M71" s="8">
        <f>48</f>
        <v>48</v>
      </c>
      <c r="N71" s="8">
        <f t="shared" si="12"/>
        <v>44</v>
      </c>
      <c r="O71" s="8">
        <f>IF(COUNTIF(PARAMETRES_REGIMES!$A$3:$A$100,$A71)&gt;0,MIN(M71,SUM(F71:L71)*24),MIN(M71,SUM(F71:K71)*24))</f>
        <v>44</v>
      </c>
      <c r="P71" s="9">
        <f>IF(COUNTIF(PARAMETRES_REGIMES!$A$3:$A$100,$A71)&gt;0,FLOOR(MAX(SUM(F71:L71)*24-M71,0),0.5),FLOOR(MAX(SUM(F71:K71)*24-M71,0),0.5))</f>
        <v>0</v>
      </c>
      <c r="Q71" s="9">
        <f>IF(COUNTIF(PARAMETRES_REGIMES!$A$3:$A$100,$A71)&gt;0,0,IF(ISNUMBER(L71),FLOOR(MAX(L71*24,0),0.5),0))</f>
        <v>0</v>
      </c>
      <c r="R71" s="8">
        <f t="shared" si="13"/>
        <v>0</v>
      </c>
      <c r="S71" s="8">
        <f t="shared" si="14"/>
        <v>0</v>
      </c>
      <c r="T71" s="8">
        <f t="shared" si="15"/>
        <v>0</v>
      </c>
      <c r="U71" s="8">
        <f t="shared" si="16"/>
        <v>44</v>
      </c>
      <c r="V71" s="10" t="str">
        <f t="shared" si="17"/>
        <v>OK</v>
      </c>
    </row>
    <row r="72" spans="1:22">
      <c r="A72" s="5" t="s">
        <v>268</v>
      </c>
      <c r="B72" s="5" t="s">
        <v>269</v>
      </c>
      <c r="C72" s="5" t="s">
        <v>270</v>
      </c>
      <c r="D72" s="5" t="s">
        <v>31</v>
      </c>
      <c r="E72" s="5" t="s">
        <v>123</v>
      </c>
      <c r="F72" s="18">
        <v>0.3125</v>
      </c>
      <c r="G72" s="18">
        <v>0.3125</v>
      </c>
      <c r="H72" s="18">
        <v>0.39583333333333331</v>
      </c>
      <c r="I72" s="18">
        <v>0.39583333333333331</v>
      </c>
      <c r="J72" s="18">
        <v>0.375</v>
      </c>
      <c r="K72" s="7" t="s">
        <v>308</v>
      </c>
      <c r="L72" s="7" t="s">
        <v>308</v>
      </c>
      <c r="M72" s="8">
        <f>48</f>
        <v>48</v>
      </c>
      <c r="N72" s="8">
        <f t="shared" si="12"/>
        <v>43</v>
      </c>
      <c r="O72" s="8">
        <f>IF(COUNTIF(PARAMETRES_REGIMES!$A$3:$A$100,$A72)&gt;0,MIN(M72,SUM(F72:L72)*24),MIN(M72,SUM(F72:K72)*24))</f>
        <v>43</v>
      </c>
      <c r="P72" s="9">
        <f>IF(COUNTIF(PARAMETRES_REGIMES!$A$3:$A$100,$A72)&gt;0,FLOOR(MAX(SUM(F72:L72)*24-M72,0),0.5),FLOOR(MAX(SUM(F72:K72)*24-M72,0),0.5))</f>
        <v>0</v>
      </c>
      <c r="Q72" s="9">
        <f>IF(COUNTIF(PARAMETRES_REGIMES!$A$3:$A$100,$A72)&gt;0,0,IF(ISNUMBER(L72),FLOOR(MAX(L72*24,0),0.5),0))</f>
        <v>0</v>
      </c>
      <c r="R72" s="8">
        <f t="shared" si="13"/>
        <v>0</v>
      </c>
      <c r="S72" s="8">
        <f t="shared" si="14"/>
        <v>0</v>
      </c>
      <c r="T72" s="8">
        <f t="shared" si="15"/>
        <v>0</v>
      </c>
      <c r="U72" s="8">
        <f t="shared" si="16"/>
        <v>43</v>
      </c>
      <c r="V72" s="10" t="str">
        <f t="shared" si="17"/>
        <v>OK</v>
      </c>
    </row>
    <row r="73" spans="1:22">
      <c r="A73" s="5" t="s">
        <v>296</v>
      </c>
      <c r="B73" s="5" t="s">
        <v>217</v>
      </c>
      <c r="C73" s="5" t="s">
        <v>297</v>
      </c>
      <c r="D73" s="5" t="s">
        <v>69</v>
      </c>
      <c r="E73" s="5" t="s">
        <v>123</v>
      </c>
      <c r="F73" s="18">
        <v>0.375</v>
      </c>
      <c r="G73" s="18">
        <v>0.33333333333333331</v>
      </c>
      <c r="H73" s="18">
        <v>0.39583333333333331</v>
      </c>
      <c r="I73" s="18">
        <v>0.39583333333333331</v>
      </c>
      <c r="J73" s="18">
        <v>0.39583333333333331</v>
      </c>
      <c r="K73" s="7" t="s">
        <v>308</v>
      </c>
      <c r="L73" s="7" t="s">
        <v>308</v>
      </c>
      <c r="M73" s="8">
        <f>48</f>
        <v>48</v>
      </c>
      <c r="N73" s="8">
        <f t="shared" si="12"/>
        <v>45.499999999999993</v>
      </c>
      <c r="O73" s="8">
        <f>IF(COUNTIF(PARAMETRES_REGIMES!$A$3:$A$100,$A73)&gt;0,MIN(M73,SUM(F73:L73)*24),MIN(M73,SUM(F73:K73)*24))</f>
        <v>45.499999999999993</v>
      </c>
      <c r="P73" s="9">
        <f>IF(COUNTIF(PARAMETRES_REGIMES!$A$3:$A$100,$A73)&gt;0,FLOOR(MAX(SUM(F73:L73)*24-M73,0),0.5),FLOOR(MAX(SUM(F73:K73)*24-M73,0),0.5))</f>
        <v>0</v>
      </c>
      <c r="Q73" s="9">
        <f>IF(COUNTIF(PARAMETRES_REGIMES!$A$3:$A$100,$A73)&gt;0,0,IF(ISNUMBER(L73),FLOOR(MAX(L73*24,0),0.5),0))</f>
        <v>0</v>
      </c>
      <c r="R73" s="8">
        <f t="shared" si="13"/>
        <v>0</v>
      </c>
      <c r="S73" s="8">
        <f t="shared" si="14"/>
        <v>0</v>
      </c>
      <c r="T73" s="8">
        <f t="shared" si="15"/>
        <v>0</v>
      </c>
      <c r="U73" s="8">
        <f t="shared" si="16"/>
        <v>45.499999999999993</v>
      </c>
      <c r="V73" s="10" t="str">
        <f t="shared" si="17"/>
        <v>OK</v>
      </c>
    </row>
    <row r="74" spans="1:22">
      <c r="A74" s="5" t="s">
        <v>181</v>
      </c>
      <c r="B74" s="5" t="s">
        <v>182</v>
      </c>
      <c r="C74" s="5" t="s">
        <v>183</v>
      </c>
      <c r="D74" s="5" t="s">
        <v>31</v>
      </c>
      <c r="E74" s="5" t="s">
        <v>123</v>
      </c>
      <c r="F74" s="18">
        <v>0.29166666666666669</v>
      </c>
      <c r="G74" s="18">
        <v>0.375</v>
      </c>
      <c r="H74" s="18">
        <v>0.39583333333333331</v>
      </c>
      <c r="I74" s="18">
        <v>0.375</v>
      </c>
      <c r="J74" s="18">
        <v>0.39583333333333331</v>
      </c>
      <c r="K74" s="7" t="s">
        <v>308</v>
      </c>
      <c r="L74" s="7" t="s">
        <v>308</v>
      </c>
      <c r="M74" s="8">
        <f>48</f>
        <v>48</v>
      </c>
      <c r="N74" s="8">
        <f t="shared" si="12"/>
        <v>44</v>
      </c>
      <c r="O74" s="8">
        <f>IF(COUNTIF(PARAMETRES_REGIMES!$A$3:$A$100,$A74)&gt;0,MIN(M74,SUM(F74:L74)*24),MIN(M74,SUM(F74:K74)*24))</f>
        <v>44</v>
      </c>
      <c r="P74" s="9">
        <f>IF(COUNTIF(PARAMETRES_REGIMES!$A$3:$A$100,$A74)&gt;0,FLOOR(MAX(SUM(F74:L74)*24-M74,0),0.5),FLOOR(MAX(SUM(F74:K74)*24-M74,0),0.5))</f>
        <v>0</v>
      </c>
      <c r="Q74" s="9">
        <f>IF(COUNTIF(PARAMETRES_REGIMES!$A$3:$A$100,$A74)&gt;0,0,IF(ISNUMBER(L74),FLOOR(MAX(L74*24,0),0.5),0))</f>
        <v>0</v>
      </c>
      <c r="R74" s="8">
        <f t="shared" si="13"/>
        <v>0</v>
      </c>
      <c r="S74" s="8">
        <f t="shared" si="14"/>
        <v>0</v>
      </c>
      <c r="T74" s="8">
        <f t="shared" si="15"/>
        <v>0</v>
      </c>
      <c r="U74" s="8">
        <f t="shared" si="16"/>
        <v>44</v>
      </c>
      <c r="V74" s="10" t="str">
        <f t="shared" si="17"/>
        <v>OK</v>
      </c>
    </row>
    <row r="75" spans="1:22">
      <c r="A75" s="5" t="s">
        <v>288</v>
      </c>
      <c r="B75" s="5" t="s">
        <v>289</v>
      </c>
      <c r="C75" s="5" t="s">
        <v>290</v>
      </c>
      <c r="D75" s="5" t="s">
        <v>69</v>
      </c>
      <c r="E75" s="5" t="s">
        <v>123</v>
      </c>
      <c r="F75" s="18">
        <v>0.39583333333333331</v>
      </c>
      <c r="G75" s="18">
        <v>0.39583333333333331</v>
      </c>
      <c r="H75" s="18">
        <v>0.39583333333333331</v>
      </c>
      <c r="I75" s="18">
        <v>0.39583333333333331</v>
      </c>
      <c r="J75" s="18">
        <v>0.39583333333333331</v>
      </c>
      <c r="K75" s="7" t="s">
        <v>308</v>
      </c>
      <c r="L75" s="7" t="s">
        <v>308</v>
      </c>
      <c r="M75" s="8">
        <f>48</f>
        <v>48</v>
      </c>
      <c r="N75" s="8">
        <f t="shared" si="12"/>
        <v>47.5</v>
      </c>
      <c r="O75" s="8">
        <f>IF(COUNTIF(PARAMETRES_REGIMES!$A$3:$A$100,$A75)&gt;0,MIN(M75,SUM(F75:L75)*24),MIN(M75,SUM(F75:K75)*24))</f>
        <v>47.5</v>
      </c>
      <c r="P75" s="9">
        <f>IF(COUNTIF(PARAMETRES_REGIMES!$A$3:$A$100,$A75)&gt;0,FLOOR(MAX(SUM(F75:L75)*24-M75,0),0.5),FLOOR(MAX(SUM(F75:K75)*24-M75,0),0.5))</f>
        <v>0</v>
      </c>
      <c r="Q75" s="9">
        <f>IF(COUNTIF(PARAMETRES_REGIMES!$A$3:$A$100,$A75)&gt;0,0,IF(ISNUMBER(L75),FLOOR(MAX(L75*24,0),0.5),0))</f>
        <v>0</v>
      </c>
      <c r="R75" s="8">
        <f t="shared" si="13"/>
        <v>0</v>
      </c>
      <c r="S75" s="8">
        <f t="shared" si="14"/>
        <v>0</v>
      </c>
      <c r="T75" s="8">
        <f t="shared" si="15"/>
        <v>0</v>
      </c>
      <c r="U75" s="8">
        <f t="shared" si="16"/>
        <v>47.5</v>
      </c>
      <c r="V75" s="10" t="str">
        <f t="shared" si="17"/>
        <v>OK</v>
      </c>
    </row>
    <row r="76" spans="1:22">
      <c r="A76" s="5" t="s">
        <v>291</v>
      </c>
      <c r="B76" s="5" t="s">
        <v>292</v>
      </c>
      <c r="C76" s="5" t="s">
        <v>77</v>
      </c>
      <c r="D76" s="5" t="s">
        <v>69</v>
      </c>
      <c r="E76" s="5" t="s">
        <v>123</v>
      </c>
      <c r="F76" s="18">
        <v>0.39583333333333331</v>
      </c>
      <c r="G76" s="18">
        <v>0.39583333333333331</v>
      </c>
      <c r="H76" s="18">
        <v>0.29166666666666669</v>
      </c>
      <c r="I76" s="18">
        <v>0.39583333333333331</v>
      </c>
      <c r="J76" s="18" t="s">
        <v>310</v>
      </c>
      <c r="K76" s="7" t="s">
        <v>308</v>
      </c>
      <c r="L76" s="7" t="s">
        <v>308</v>
      </c>
      <c r="M76" s="8">
        <f>48</f>
        <v>48</v>
      </c>
      <c r="N76" s="8">
        <f t="shared" si="12"/>
        <v>35.5</v>
      </c>
      <c r="O76" s="8">
        <f>IF(COUNTIF(PARAMETRES_REGIMES!$A$3:$A$100,$A76)&gt;0,MIN(M76,SUM(F76:L76)*24),MIN(M76,SUM(F76:K76)*24))</f>
        <v>35.5</v>
      </c>
      <c r="P76" s="9">
        <f>IF(COUNTIF(PARAMETRES_REGIMES!$A$3:$A$100,$A76)&gt;0,FLOOR(MAX(SUM(F76:L76)*24-M76,0),0.5),FLOOR(MAX(SUM(F76:K76)*24-M76,0),0.5))</f>
        <v>0</v>
      </c>
      <c r="Q76" s="9">
        <f>IF(COUNTIF(PARAMETRES_REGIMES!$A$3:$A$100,$A76)&gt;0,0,IF(ISNUMBER(L76),FLOOR(MAX(L76*24,0),0.5),0))</f>
        <v>0</v>
      </c>
      <c r="R76" s="8">
        <f t="shared" si="13"/>
        <v>0</v>
      </c>
      <c r="S76" s="8">
        <f t="shared" si="14"/>
        <v>0</v>
      </c>
      <c r="T76" s="8">
        <f t="shared" si="15"/>
        <v>0</v>
      </c>
      <c r="U76" s="8">
        <f t="shared" si="16"/>
        <v>35.5</v>
      </c>
      <c r="V76" s="10" t="str">
        <f t="shared" si="17"/>
        <v>OK</v>
      </c>
    </row>
    <row r="77" spans="1:22">
      <c r="A77" s="5" t="s">
        <v>140</v>
      </c>
      <c r="B77" s="5" t="s">
        <v>141</v>
      </c>
      <c r="C77" s="5" t="s">
        <v>142</v>
      </c>
      <c r="D77" s="5" t="s">
        <v>31</v>
      </c>
      <c r="E77" s="5" t="s">
        <v>123</v>
      </c>
      <c r="F77" s="18">
        <v>0.33333333333333331</v>
      </c>
      <c r="G77" s="18">
        <v>0.33333333333333331</v>
      </c>
      <c r="H77" s="18" t="s">
        <v>12</v>
      </c>
      <c r="I77" s="18">
        <v>0.33333333333333331</v>
      </c>
      <c r="J77" s="18" t="s">
        <v>12</v>
      </c>
      <c r="K77" s="7" t="s">
        <v>308</v>
      </c>
      <c r="L77" s="7" t="s">
        <v>308</v>
      </c>
      <c r="M77" s="8">
        <f>48</f>
        <v>48</v>
      </c>
      <c r="N77" s="8">
        <f t="shared" si="12"/>
        <v>24</v>
      </c>
      <c r="O77" s="8">
        <f>IF(COUNTIF(PARAMETRES_REGIMES!$A$3:$A$100,$A77)&gt;0,MIN(M77,SUM(F77:L77)*24),MIN(M77,SUM(F77:K77)*24))</f>
        <v>24</v>
      </c>
      <c r="P77" s="9">
        <f>IF(COUNTIF(PARAMETRES_REGIMES!$A$3:$A$100,$A77)&gt;0,FLOOR(MAX(SUM(F77:L77)*24-M77,0),0.5),FLOOR(MAX(SUM(F77:K77)*24-M77,0),0.5))</f>
        <v>0</v>
      </c>
      <c r="Q77" s="9">
        <f>IF(COUNTIF(PARAMETRES_REGIMES!$A$3:$A$100,$A77)&gt;0,0,IF(ISNUMBER(L77),FLOOR(MAX(L77*24,0),0.5),0))</f>
        <v>0</v>
      </c>
      <c r="R77" s="8">
        <f t="shared" si="13"/>
        <v>2</v>
      </c>
      <c r="S77" s="8">
        <f t="shared" si="14"/>
        <v>0</v>
      </c>
      <c r="T77" s="8">
        <f t="shared" si="15"/>
        <v>0</v>
      </c>
      <c r="U77" s="8">
        <f t="shared" si="16"/>
        <v>24</v>
      </c>
      <c r="V77" s="10" t="str">
        <f t="shared" si="17"/>
        <v>OK</v>
      </c>
    </row>
    <row r="78" spans="1:22">
      <c r="A78" s="5" t="s">
        <v>73</v>
      </c>
      <c r="B78" s="5" t="s">
        <v>74</v>
      </c>
      <c r="C78" s="5" t="s">
        <v>75</v>
      </c>
      <c r="D78" s="5" t="s">
        <v>69</v>
      </c>
      <c r="E78" s="5" t="s">
        <v>21</v>
      </c>
      <c r="F78" s="18" t="s">
        <v>309</v>
      </c>
      <c r="G78" s="18" t="s">
        <v>309</v>
      </c>
      <c r="H78" s="18" t="s">
        <v>309</v>
      </c>
      <c r="I78" s="18" t="s">
        <v>309</v>
      </c>
      <c r="J78" s="18" t="s">
        <v>309</v>
      </c>
      <c r="K78" s="7" t="s">
        <v>308</v>
      </c>
      <c r="L78" s="7" t="s">
        <v>308</v>
      </c>
      <c r="M78" s="8">
        <f>48</f>
        <v>48</v>
      </c>
      <c r="N78" s="8">
        <f t="shared" si="12"/>
        <v>0</v>
      </c>
      <c r="O78" s="8">
        <f>IF(COUNTIF(PARAMETRES_REGIMES!$A$3:$A$100,$A78)&gt;0,MIN(M78,SUM(F78:L78)*24),MIN(M78,SUM(F78:K78)*24))</f>
        <v>0</v>
      </c>
      <c r="P78" s="9">
        <f>IF(COUNTIF(PARAMETRES_REGIMES!$A$3:$A$100,$A78)&gt;0,FLOOR(MAX(SUM(F78:L78)*24-M78,0),0.5),FLOOR(MAX(SUM(F78:K78)*24-M78,0),0.5))</f>
        <v>0</v>
      </c>
      <c r="Q78" s="9">
        <f>IF(COUNTIF(PARAMETRES_REGIMES!$A$3:$A$100,$A78)&gt;0,0,IF(ISNUMBER(L78),FLOOR(MAX(L78*24,0),0.5),0))</f>
        <v>0</v>
      </c>
      <c r="R78" s="8">
        <f t="shared" si="13"/>
        <v>0</v>
      </c>
      <c r="S78" s="8">
        <f t="shared" si="14"/>
        <v>0</v>
      </c>
      <c r="T78" s="8">
        <f t="shared" si="15"/>
        <v>0</v>
      </c>
      <c r="U78" s="8">
        <f t="shared" si="16"/>
        <v>0</v>
      </c>
      <c r="V78" s="10" t="str">
        <f t="shared" si="17"/>
        <v>STC</v>
      </c>
    </row>
    <row r="79" spans="1:22">
      <c r="A79" s="5" t="s">
        <v>134</v>
      </c>
      <c r="B79" s="5" t="s">
        <v>135</v>
      </c>
      <c r="C79" s="5" t="s">
        <v>136</v>
      </c>
      <c r="D79" s="5" t="s">
        <v>31</v>
      </c>
      <c r="E79" s="5" t="s">
        <v>123</v>
      </c>
      <c r="F79" s="18">
        <v>0.39583333333333331</v>
      </c>
      <c r="G79" s="18">
        <v>0.39583333333333331</v>
      </c>
      <c r="H79" s="18" t="s">
        <v>313</v>
      </c>
      <c r="I79" s="18">
        <v>0.39583333333333331</v>
      </c>
      <c r="J79" s="18">
        <v>0.39583333333333331</v>
      </c>
      <c r="K79" s="7" t="s">
        <v>308</v>
      </c>
      <c r="L79" s="7" t="s">
        <v>308</v>
      </c>
      <c r="M79" s="8">
        <f>48</f>
        <v>48</v>
      </c>
      <c r="N79" s="8">
        <f t="shared" si="12"/>
        <v>38</v>
      </c>
      <c r="O79" s="8">
        <f>IF(COUNTIF(PARAMETRES_REGIMES!$A$3:$A$100,$A79)&gt;0,MIN(M79,SUM(F79:L79)*24),MIN(M79,SUM(F79:K79)*24))</f>
        <v>38</v>
      </c>
      <c r="P79" s="9">
        <f>IF(COUNTIF(PARAMETRES_REGIMES!$A$3:$A$100,$A79)&gt;0,FLOOR(MAX(SUM(F79:L79)*24-M79,0),0.5),FLOOR(MAX(SUM(F79:K79)*24-M79,0),0.5))</f>
        <v>0</v>
      </c>
      <c r="Q79" s="9">
        <f>IF(COUNTIF(PARAMETRES_REGIMES!$A$3:$A$100,$A79)&gt;0,0,IF(ISNUMBER(L79),FLOOR(MAX(L79*24,0),0.5),0))</f>
        <v>0</v>
      </c>
      <c r="R79" s="8">
        <f t="shared" si="13"/>
        <v>0</v>
      </c>
      <c r="S79" s="8">
        <f t="shared" si="14"/>
        <v>0</v>
      </c>
      <c r="T79" s="8">
        <f t="shared" si="15"/>
        <v>0</v>
      </c>
      <c r="U79" s="8">
        <f t="shared" si="16"/>
        <v>38</v>
      </c>
      <c r="V79" s="10" t="str">
        <f t="shared" si="17"/>
        <v>OK</v>
      </c>
    </row>
    <row r="80" spans="1:22">
      <c r="A80" s="5" t="s">
        <v>271</v>
      </c>
      <c r="B80" s="5" t="s">
        <v>272</v>
      </c>
      <c r="C80" s="5" t="s">
        <v>273</v>
      </c>
      <c r="D80" s="5" t="s">
        <v>31</v>
      </c>
      <c r="E80" s="5" t="s">
        <v>123</v>
      </c>
      <c r="F80" s="18">
        <v>0.29166666666666669</v>
      </c>
      <c r="G80" s="18">
        <v>0.39583333333333331</v>
      </c>
      <c r="H80" s="18">
        <v>0.39583333333333331</v>
      </c>
      <c r="I80" s="18" t="s">
        <v>12</v>
      </c>
      <c r="J80" s="18">
        <v>0.33333333333333331</v>
      </c>
      <c r="K80" s="7" t="s">
        <v>308</v>
      </c>
      <c r="L80" s="7" t="s">
        <v>308</v>
      </c>
      <c r="M80" s="8">
        <f>48</f>
        <v>48</v>
      </c>
      <c r="N80" s="8">
        <f t="shared" si="12"/>
        <v>34</v>
      </c>
      <c r="O80" s="8">
        <f>IF(COUNTIF(PARAMETRES_REGIMES!$A$3:$A$100,$A80)&gt;0,MIN(M80,SUM(F80:L80)*24),MIN(M80,SUM(F80:K80)*24))</f>
        <v>34</v>
      </c>
      <c r="P80" s="9">
        <f>IF(COUNTIF(PARAMETRES_REGIMES!$A$3:$A$100,$A80)&gt;0,FLOOR(MAX(SUM(F80:L80)*24-M80,0),0.5),FLOOR(MAX(SUM(F80:K80)*24-M80,0),0.5))</f>
        <v>0</v>
      </c>
      <c r="Q80" s="9">
        <f>IF(COUNTIF(PARAMETRES_REGIMES!$A$3:$A$100,$A80)&gt;0,0,IF(ISNUMBER(L80),FLOOR(MAX(L80*24,0),0.5),0))</f>
        <v>0</v>
      </c>
      <c r="R80" s="8">
        <f t="shared" si="13"/>
        <v>1</v>
      </c>
      <c r="S80" s="8">
        <f t="shared" si="14"/>
        <v>0</v>
      </c>
      <c r="T80" s="8">
        <f t="shared" si="15"/>
        <v>0</v>
      </c>
      <c r="U80" s="8">
        <f t="shared" si="16"/>
        <v>34</v>
      </c>
      <c r="V80" s="10" t="str">
        <f t="shared" si="17"/>
        <v>OK</v>
      </c>
    </row>
    <row r="81" spans="1:22">
      <c r="A81" s="5" t="s">
        <v>131</v>
      </c>
      <c r="B81" s="5" t="s">
        <v>132</v>
      </c>
      <c r="C81" s="5" t="s">
        <v>133</v>
      </c>
      <c r="D81" s="5" t="s">
        <v>31</v>
      </c>
      <c r="E81" s="5" t="s">
        <v>123</v>
      </c>
      <c r="F81" s="18" t="s">
        <v>12</v>
      </c>
      <c r="G81" s="18">
        <v>0.3125</v>
      </c>
      <c r="H81" s="18">
        <v>0.39583333333333331</v>
      </c>
      <c r="I81" s="18">
        <v>0.39583333333333331</v>
      </c>
      <c r="J81" s="18">
        <v>0.39583333333333331</v>
      </c>
      <c r="K81" s="7" t="s">
        <v>308</v>
      </c>
      <c r="L81" s="7" t="s">
        <v>308</v>
      </c>
      <c r="M81" s="8">
        <f>48</f>
        <v>48</v>
      </c>
      <c r="N81" s="8">
        <f t="shared" si="12"/>
        <v>35.999999999999993</v>
      </c>
      <c r="O81" s="8">
        <f>IF(COUNTIF(PARAMETRES_REGIMES!$A$3:$A$100,$A81)&gt;0,MIN(M81,SUM(F81:L81)*24),MIN(M81,SUM(F81:K81)*24))</f>
        <v>35.999999999999993</v>
      </c>
      <c r="P81" s="9">
        <f>IF(COUNTIF(PARAMETRES_REGIMES!$A$3:$A$100,$A81)&gt;0,FLOOR(MAX(SUM(F81:L81)*24-M81,0),0.5),FLOOR(MAX(SUM(F81:K81)*24-M81,0),0.5))</f>
        <v>0</v>
      </c>
      <c r="Q81" s="9">
        <f>IF(COUNTIF(PARAMETRES_REGIMES!$A$3:$A$100,$A81)&gt;0,0,IF(ISNUMBER(L81),FLOOR(MAX(L81*24,0),0.5),0))</f>
        <v>0</v>
      </c>
      <c r="R81" s="8">
        <f t="shared" si="13"/>
        <v>1</v>
      </c>
      <c r="S81" s="8">
        <f t="shared" si="14"/>
        <v>0</v>
      </c>
      <c r="T81" s="8">
        <f t="shared" si="15"/>
        <v>0</v>
      </c>
      <c r="U81" s="8">
        <f t="shared" si="16"/>
        <v>35.999999999999993</v>
      </c>
      <c r="V81" s="10" t="str">
        <f t="shared" si="17"/>
        <v>OK</v>
      </c>
    </row>
    <row r="82" spans="1:22">
      <c r="A82" s="5" t="s">
        <v>157</v>
      </c>
      <c r="B82" s="5" t="s">
        <v>158</v>
      </c>
      <c r="C82" s="5" t="s">
        <v>159</v>
      </c>
      <c r="D82" s="5" t="s">
        <v>31</v>
      </c>
      <c r="E82" s="5" t="s">
        <v>123</v>
      </c>
      <c r="F82" s="18">
        <v>0.39583333333333331</v>
      </c>
      <c r="G82" s="18">
        <v>0.39583333333333331</v>
      </c>
      <c r="H82" s="18">
        <v>0.39583333333333331</v>
      </c>
      <c r="I82" s="18">
        <v>0.39583333333333331</v>
      </c>
      <c r="J82" s="18">
        <v>0.39583333333333331</v>
      </c>
      <c r="K82" s="7" t="s">
        <v>308</v>
      </c>
      <c r="L82" s="7" t="s">
        <v>308</v>
      </c>
      <c r="M82" s="8">
        <f>48</f>
        <v>48</v>
      </c>
      <c r="N82" s="8">
        <f t="shared" si="12"/>
        <v>47.5</v>
      </c>
      <c r="O82" s="8">
        <f>IF(COUNTIF(PARAMETRES_REGIMES!$A$3:$A$100,$A82)&gt;0,MIN(M82,SUM(F82:L82)*24),MIN(M82,SUM(F82:K82)*24))</f>
        <v>47.5</v>
      </c>
      <c r="P82" s="9">
        <f>IF(COUNTIF(PARAMETRES_REGIMES!$A$3:$A$100,$A82)&gt;0,FLOOR(MAX(SUM(F82:L82)*24-M82,0),0.5),FLOOR(MAX(SUM(F82:K82)*24-M82,0),0.5))</f>
        <v>0</v>
      </c>
      <c r="Q82" s="9">
        <f>IF(COUNTIF(PARAMETRES_REGIMES!$A$3:$A$100,$A82)&gt;0,0,IF(ISNUMBER(L82),FLOOR(MAX(L82*24,0),0.5),0))</f>
        <v>0</v>
      </c>
      <c r="R82" s="8">
        <f t="shared" si="13"/>
        <v>0</v>
      </c>
      <c r="S82" s="8">
        <f t="shared" si="14"/>
        <v>0</v>
      </c>
      <c r="T82" s="8">
        <f t="shared" si="15"/>
        <v>0</v>
      </c>
      <c r="U82" s="8">
        <f t="shared" si="16"/>
        <v>47.5</v>
      </c>
      <c r="V82" s="10" t="str">
        <f t="shared" si="17"/>
        <v>OK</v>
      </c>
    </row>
    <row r="83" spans="1:22">
      <c r="A83" s="5" t="s">
        <v>249</v>
      </c>
      <c r="B83" s="5" t="s">
        <v>250</v>
      </c>
      <c r="C83" s="5" t="s">
        <v>251</v>
      </c>
      <c r="D83" s="5" t="s">
        <v>31</v>
      </c>
      <c r="E83" s="5" t="s">
        <v>123</v>
      </c>
      <c r="F83" s="18">
        <v>0.39583333333333331</v>
      </c>
      <c r="G83" s="18">
        <v>0.39583333333333331</v>
      </c>
      <c r="H83" s="18" t="s">
        <v>12</v>
      </c>
      <c r="I83" s="18">
        <v>0.3125</v>
      </c>
      <c r="J83" s="18">
        <v>0.39583333333333331</v>
      </c>
      <c r="K83" s="7" t="s">
        <v>308</v>
      </c>
      <c r="L83" s="7" t="s">
        <v>308</v>
      </c>
      <c r="M83" s="8">
        <f>48</f>
        <v>48</v>
      </c>
      <c r="N83" s="8">
        <f t="shared" si="12"/>
        <v>35.999999999999993</v>
      </c>
      <c r="O83" s="8">
        <f>IF(COUNTIF(PARAMETRES_REGIMES!$A$3:$A$100,$A83)&gt;0,MIN(M83,SUM(F83:L83)*24),MIN(M83,SUM(F83:K83)*24))</f>
        <v>35.999999999999993</v>
      </c>
      <c r="P83" s="9">
        <f>IF(COUNTIF(PARAMETRES_REGIMES!$A$3:$A$100,$A83)&gt;0,FLOOR(MAX(SUM(F83:L83)*24-M83,0),0.5),FLOOR(MAX(SUM(F83:K83)*24-M83,0),0.5))</f>
        <v>0</v>
      </c>
      <c r="Q83" s="9">
        <f>IF(COUNTIF(PARAMETRES_REGIMES!$A$3:$A$100,$A83)&gt;0,0,IF(ISNUMBER(L83),FLOOR(MAX(L83*24,0),0.5),0))</f>
        <v>0</v>
      </c>
      <c r="R83" s="8">
        <f t="shared" si="13"/>
        <v>1</v>
      </c>
      <c r="S83" s="8">
        <f t="shared" si="14"/>
        <v>0</v>
      </c>
      <c r="T83" s="8">
        <f t="shared" si="15"/>
        <v>0</v>
      </c>
      <c r="U83" s="8">
        <f t="shared" si="16"/>
        <v>35.999999999999993</v>
      </c>
      <c r="V83" s="10" t="str">
        <f t="shared" si="17"/>
        <v>OK</v>
      </c>
    </row>
    <row r="84" spans="1:22">
      <c r="A84" s="5" t="s">
        <v>276</v>
      </c>
      <c r="B84" s="5" t="s">
        <v>277</v>
      </c>
      <c r="C84" s="5" t="s">
        <v>278</v>
      </c>
      <c r="D84" s="5" t="s">
        <v>31</v>
      </c>
      <c r="E84" s="5" t="s">
        <v>123</v>
      </c>
      <c r="F84" s="18" t="s">
        <v>12</v>
      </c>
      <c r="G84" s="18">
        <v>0.3125</v>
      </c>
      <c r="H84" s="18">
        <v>0.39583333333333331</v>
      </c>
      <c r="I84" s="18">
        <v>0.39583333333333331</v>
      </c>
      <c r="J84" s="18">
        <v>0.39583333333333331</v>
      </c>
      <c r="K84" s="7" t="s">
        <v>308</v>
      </c>
      <c r="L84" s="7" t="s">
        <v>308</v>
      </c>
      <c r="M84" s="8">
        <f>48</f>
        <v>48</v>
      </c>
      <c r="N84" s="8">
        <f t="shared" si="12"/>
        <v>35.999999999999993</v>
      </c>
      <c r="O84" s="8">
        <f>IF(COUNTIF(PARAMETRES_REGIMES!$A$3:$A$100,$A84)&gt;0,MIN(M84,SUM(F84:L84)*24),MIN(M84,SUM(F84:K84)*24))</f>
        <v>35.999999999999993</v>
      </c>
      <c r="P84" s="9">
        <f>IF(COUNTIF(PARAMETRES_REGIMES!$A$3:$A$100,$A84)&gt;0,FLOOR(MAX(SUM(F84:L84)*24-M84,0),0.5),FLOOR(MAX(SUM(F84:K84)*24-M84,0),0.5))</f>
        <v>0</v>
      </c>
      <c r="Q84" s="9">
        <f>IF(COUNTIF(PARAMETRES_REGIMES!$A$3:$A$100,$A84)&gt;0,0,IF(ISNUMBER(L84),FLOOR(MAX(L84*24,0),0.5),0))</f>
        <v>0</v>
      </c>
      <c r="R84" s="8">
        <f t="shared" si="13"/>
        <v>1</v>
      </c>
      <c r="S84" s="8">
        <f t="shared" si="14"/>
        <v>0</v>
      </c>
      <c r="T84" s="8">
        <f t="shared" si="15"/>
        <v>0</v>
      </c>
      <c r="U84" s="8">
        <f t="shared" si="16"/>
        <v>35.999999999999993</v>
      </c>
      <c r="V84" s="10" t="str">
        <f t="shared" si="17"/>
        <v>OK</v>
      </c>
    </row>
    <row r="85" spans="1:22">
      <c r="A85" s="5" t="s">
        <v>260</v>
      </c>
      <c r="B85" s="5" t="s">
        <v>261</v>
      </c>
      <c r="C85" s="5" t="s">
        <v>188</v>
      </c>
      <c r="D85" s="5" t="s">
        <v>31</v>
      </c>
      <c r="E85" s="5" t="s">
        <v>123</v>
      </c>
      <c r="F85" s="18" t="s">
        <v>12</v>
      </c>
      <c r="G85" s="18">
        <v>0.3125</v>
      </c>
      <c r="H85" s="18">
        <v>0.39583333333333331</v>
      </c>
      <c r="I85" s="18">
        <v>0.39583333333333331</v>
      </c>
      <c r="J85" s="18">
        <v>0.39583333333333331</v>
      </c>
      <c r="K85" s="7" t="s">
        <v>308</v>
      </c>
      <c r="L85" s="7" t="s">
        <v>308</v>
      </c>
      <c r="M85" s="8">
        <f>48</f>
        <v>48</v>
      </c>
      <c r="N85" s="8">
        <f t="shared" si="12"/>
        <v>35.999999999999993</v>
      </c>
      <c r="O85" s="8">
        <f>IF(COUNTIF(PARAMETRES_REGIMES!$A$3:$A$100,$A85)&gt;0,MIN(M85,SUM(F85:L85)*24),MIN(M85,SUM(F85:K85)*24))</f>
        <v>35.999999999999993</v>
      </c>
      <c r="P85" s="9">
        <f>IF(COUNTIF(PARAMETRES_REGIMES!$A$3:$A$100,$A85)&gt;0,FLOOR(MAX(SUM(F85:L85)*24-M85,0),0.5),FLOOR(MAX(SUM(F85:K85)*24-M85,0),0.5))</f>
        <v>0</v>
      </c>
      <c r="Q85" s="9">
        <f>IF(COUNTIF(PARAMETRES_REGIMES!$A$3:$A$100,$A85)&gt;0,0,IF(ISNUMBER(L85),FLOOR(MAX(L85*24,0),0.5),0))</f>
        <v>0</v>
      </c>
      <c r="R85" s="8">
        <f t="shared" si="13"/>
        <v>1</v>
      </c>
      <c r="S85" s="8">
        <f t="shared" si="14"/>
        <v>0</v>
      </c>
      <c r="T85" s="8">
        <f t="shared" si="15"/>
        <v>0</v>
      </c>
      <c r="U85" s="8">
        <f t="shared" si="16"/>
        <v>35.999999999999993</v>
      </c>
      <c r="V85" s="10" t="str">
        <f t="shared" si="17"/>
        <v>OK</v>
      </c>
    </row>
    <row r="86" spans="1:22">
      <c r="A86" s="5" t="s">
        <v>143</v>
      </c>
      <c r="B86" s="5" t="s">
        <v>144</v>
      </c>
      <c r="C86" s="5" t="s">
        <v>145</v>
      </c>
      <c r="D86" s="5" t="s">
        <v>31</v>
      </c>
      <c r="E86" s="5" t="s">
        <v>123</v>
      </c>
      <c r="F86" s="18">
        <v>0.39583333333333331</v>
      </c>
      <c r="G86" s="18">
        <v>0.39583333333333331</v>
      </c>
      <c r="H86" s="18">
        <v>0.39583333333333331</v>
      </c>
      <c r="I86" s="18">
        <v>0.39583333333333331</v>
      </c>
      <c r="J86" s="18">
        <v>0.39583333333333331</v>
      </c>
      <c r="K86" s="7" t="s">
        <v>308</v>
      </c>
      <c r="L86" s="7" t="s">
        <v>308</v>
      </c>
      <c r="M86" s="8">
        <f>48</f>
        <v>48</v>
      </c>
      <c r="N86" s="8">
        <f t="shared" si="12"/>
        <v>47.5</v>
      </c>
      <c r="O86" s="8">
        <f>IF(COUNTIF(PARAMETRES_REGIMES!$A$3:$A$100,$A86)&gt;0,MIN(M86,SUM(F86:L86)*24),MIN(M86,SUM(F86:K86)*24))</f>
        <v>47.5</v>
      </c>
      <c r="P86" s="9">
        <f>IF(COUNTIF(PARAMETRES_REGIMES!$A$3:$A$100,$A86)&gt;0,FLOOR(MAX(SUM(F86:L86)*24-M86,0),0.5),FLOOR(MAX(SUM(F86:K86)*24-M86,0),0.5))</f>
        <v>0</v>
      </c>
      <c r="Q86" s="9">
        <f>IF(COUNTIF(PARAMETRES_REGIMES!$A$3:$A$100,$A86)&gt;0,0,IF(ISNUMBER(L86),FLOOR(MAX(L86*24,0),0.5),0))</f>
        <v>0</v>
      </c>
      <c r="R86" s="8">
        <f t="shared" si="13"/>
        <v>0</v>
      </c>
      <c r="S86" s="8">
        <f t="shared" si="14"/>
        <v>0</v>
      </c>
      <c r="T86" s="8">
        <f t="shared" si="15"/>
        <v>0</v>
      </c>
      <c r="U86" s="8">
        <f t="shared" si="16"/>
        <v>47.5</v>
      </c>
      <c r="V86" s="10" t="str">
        <f t="shared" si="17"/>
        <v>OK</v>
      </c>
    </row>
    <row r="87" spans="1:22">
      <c r="A87" s="5" t="s">
        <v>293</v>
      </c>
      <c r="B87" s="5" t="s">
        <v>294</v>
      </c>
      <c r="C87" s="5" t="s">
        <v>295</v>
      </c>
      <c r="D87" s="5" t="s">
        <v>69</v>
      </c>
      <c r="E87" s="5" t="s">
        <v>123</v>
      </c>
      <c r="F87" s="18">
        <v>0.39583333333333331</v>
      </c>
      <c r="G87" s="18">
        <v>0.39583333333333331</v>
      </c>
      <c r="H87" s="18">
        <v>0.39583333333333331</v>
      </c>
      <c r="I87" s="18">
        <v>0.39583333333333331</v>
      </c>
      <c r="J87" s="18">
        <v>0.39583333333333331</v>
      </c>
      <c r="K87" s="7" t="s">
        <v>308</v>
      </c>
      <c r="L87" s="7" t="s">
        <v>308</v>
      </c>
      <c r="M87" s="8">
        <f>48</f>
        <v>48</v>
      </c>
      <c r="N87" s="8">
        <f t="shared" si="12"/>
        <v>47.5</v>
      </c>
      <c r="O87" s="8">
        <f>IF(COUNTIF(PARAMETRES_REGIMES!$A$3:$A$100,$A87)&gt;0,MIN(M87,SUM(F87:L87)*24),MIN(M87,SUM(F87:K87)*24))</f>
        <v>47.5</v>
      </c>
      <c r="P87" s="9">
        <f>IF(COUNTIF(PARAMETRES_REGIMES!$A$3:$A$100,$A87)&gt;0,FLOOR(MAX(SUM(F87:L87)*24-M87,0),0.5),FLOOR(MAX(SUM(F87:K87)*24-M87,0),0.5))</f>
        <v>0</v>
      </c>
      <c r="Q87" s="9">
        <f>IF(COUNTIF(PARAMETRES_REGIMES!$A$3:$A$100,$A87)&gt;0,0,IF(ISNUMBER(L87),FLOOR(MAX(L87*24,0),0.5),0))</f>
        <v>0</v>
      </c>
      <c r="R87" s="8">
        <f t="shared" si="13"/>
        <v>0</v>
      </c>
      <c r="S87" s="8">
        <f t="shared" si="14"/>
        <v>0</v>
      </c>
      <c r="T87" s="8">
        <f t="shared" si="15"/>
        <v>0</v>
      </c>
      <c r="U87" s="8">
        <f t="shared" si="16"/>
        <v>47.5</v>
      </c>
      <c r="V87" s="10" t="str">
        <f t="shared" si="17"/>
        <v>OK</v>
      </c>
    </row>
    <row r="88" spans="1:22">
      <c r="A88" s="5" t="s">
        <v>243</v>
      </c>
      <c r="B88" s="5" t="s">
        <v>244</v>
      </c>
      <c r="C88" s="5" t="s">
        <v>245</v>
      </c>
      <c r="D88" s="5" t="s">
        <v>31</v>
      </c>
      <c r="E88" s="5" t="s">
        <v>123</v>
      </c>
      <c r="F88" s="18">
        <v>0.39583333333333331</v>
      </c>
      <c r="G88" s="18" t="s">
        <v>309</v>
      </c>
      <c r="H88" s="18" t="s">
        <v>309</v>
      </c>
      <c r="I88" s="18" t="s">
        <v>309</v>
      </c>
      <c r="J88" s="18" t="s">
        <v>309</v>
      </c>
      <c r="K88" s="7" t="s">
        <v>308</v>
      </c>
      <c r="L88" s="7" t="s">
        <v>308</v>
      </c>
      <c r="M88" s="8">
        <f>48</f>
        <v>48</v>
      </c>
      <c r="N88" s="8">
        <f t="shared" si="12"/>
        <v>9.5</v>
      </c>
      <c r="O88" s="8">
        <f>IF(COUNTIF(PARAMETRES_REGIMES!$A$3:$A$100,$A88)&gt;0,MIN(M88,SUM(F88:L88)*24),MIN(M88,SUM(F88:K88)*24))</f>
        <v>9.5</v>
      </c>
      <c r="P88" s="9">
        <f>IF(COUNTIF(PARAMETRES_REGIMES!$A$3:$A$100,$A88)&gt;0,FLOOR(MAX(SUM(F88:L88)*24-M88,0),0.5),FLOOR(MAX(SUM(F88:K88)*24-M88,0),0.5))</f>
        <v>0</v>
      </c>
      <c r="Q88" s="9">
        <f>IF(COUNTIF(PARAMETRES_REGIMES!$A$3:$A$100,$A88)&gt;0,0,IF(ISNUMBER(L88),FLOOR(MAX(L88*24,0),0.5),0))</f>
        <v>0</v>
      </c>
      <c r="R88" s="8">
        <f t="shared" si="13"/>
        <v>0</v>
      </c>
      <c r="S88" s="8">
        <f t="shared" si="14"/>
        <v>0</v>
      </c>
      <c r="T88" s="8">
        <f t="shared" si="15"/>
        <v>0</v>
      </c>
      <c r="U88" s="8">
        <f t="shared" si="16"/>
        <v>9.5</v>
      </c>
      <c r="V88" s="10" t="str">
        <f t="shared" si="17"/>
        <v>STC</v>
      </c>
    </row>
    <row r="89" spans="1:22">
      <c r="A89" s="5" t="s">
        <v>124</v>
      </c>
      <c r="B89" s="5" t="s">
        <v>68</v>
      </c>
      <c r="C89" s="5" t="s">
        <v>125</v>
      </c>
      <c r="D89" s="5" t="s">
        <v>31</v>
      </c>
      <c r="E89" s="5" t="s">
        <v>123</v>
      </c>
      <c r="F89" s="18">
        <v>0.39583333333333331</v>
      </c>
      <c r="G89" s="18">
        <v>0.375</v>
      </c>
      <c r="H89" s="18">
        <v>0.39583333333333331</v>
      </c>
      <c r="I89" s="18">
        <v>0.39583333333333331</v>
      </c>
      <c r="J89" s="18">
        <v>0.39583333333333331</v>
      </c>
      <c r="K89" s="7" t="s">
        <v>308</v>
      </c>
      <c r="L89" s="7" t="s">
        <v>308</v>
      </c>
      <c r="M89" s="8">
        <f>48</f>
        <v>48</v>
      </c>
      <c r="N89" s="8">
        <f t="shared" si="12"/>
        <v>46.999999999999993</v>
      </c>
      <c r="O89" s="8">
        <f>IF(COUNTIF(PARAMETRES_REGIMES!$A$3:$A$100,$A89)&gt;0,MIN(M89,SUM(F89:L89)*24),MIN(M89,SUM(F89:K89)*24))</f>
        <v>46.999999999999993</v>
      </c>
      <c r="P89" s="9">
        <f>IF(COUNTIF(PARAMETRES_REGIMES!$A$3:$A$100,$A89)&gt;0,FLOOR(MAX(SUM(F89:L89)*24-M89,0),0.5),FLOOR(MAX(SUM(F89:K89)*24-M89,0),0.5))</f>
        <v>0</v>
      </c>
      <c r="Q89" s="9">
        <f>IF(COUNTIF(PARAMETRES_REGIMES!$A$3:$A$100,$A89)&gt;0,0,IF(ISNUMBER(L89),FLOOR(MAX(L89*24,0),0.5),0))</f>
        <v>0</v>
      </c>
      <c r="R89" s="8">
        <f t="shared" si="13"/>
        <v>0</v>
      </c>
      <c r="S89" s="8">
        <f t="shared" si="14"/>
        <v>0</v>
      </c>
      <c r="T89" s="8">
        <f t="shared" si="15"/>
        <v>0</v>
      </c>
      <c r="U89" s="8">
        <f t="shared" si="16"/>
        <v>46.999999999999993</v>
      </c>
      <c r="V89" s="10" t="str">
        <f t="shared" si="17"/>
        <v>OK</v>
      </c>
    </row>
    <row r="90" spans="1:22">
      <c r="A90" s="5" t="s">
        <v>255</v>
      </c>
      <c r="B90" s="5" t="s">
        <v>256</v>
      </c>
      <c r="C90" s="5" t="s">
        <v>257</v>
      </c>
      <c r="D90" s="5" t="s">
        <v>31</v>
      </c>
      <c r="E90" s="5" t="s">
        <v>123</v>
      </c>
      <c r="F90" s="18">
        <v>0.39583333333333331</v>
      </c>
      <c r="G90" s="18">
        <v>0.39583333333333331</v>
      </c>
      <c r="H90" s="18">
        <v>0.39583333333333331</v>
      </c>
      <c r="I90" s="18">
        <v>0.39583333333333331</v>
      </c>
      <c r="J90" s="18">
        <v>0.39583333333333331</v>
      </c>
      <c r="K90" s="7" t="s">
        <v>308</v>
      </c>
      <c r="L90" s="7" t="s">
        <v>308</v>
      </c>
      <c r="M90" s="8">
        <f>48</f>
        <v>48</v>
      </c>
      <c r="N90" s="8">
        <f t="shared" si="12"/>
        <v>47.5</v>
      </c>
      <c r="O90" s="8">
        <f>IF(COUNTIF(PARAMETRES_REGIMES!$A$3:$A$100,$A90)&gt;0,MIN(M90,SUM(F90:L90)*24),MIN(M90,SUM(F90:K90)*24))</f>
        <v>47.5</v>
      </c>
      <c r="P90" s="9">
        <f>IF(COUNTIF(PARAMETRES_REGIMES!$A$3:$A$100,$A90)&gt;0,FLOOR(MAX(SUM(F90:L90)*24-M90,0),0.5),FLOOR(MAX(SUM(F90:K90)*24-M90,0),0.5))</f>
        <v>0</v>
      </c>
      <c r="Q90" s="9">
        <f>IF(COUNTIF(PARAMETRES_REGIMES!$A$3:$A$100,$A90)&gt;0,0,IF(ISNUMBER(L90),FLOOR(MAX(L90*24,0),0.5),0))</f>
        <v>0</v>
      </c>
      <c r="R90" s="8">
        <f t="shared" si="13"/>
        <v>0</v>
      </c>
      <c r="S90" s="8">
        <f t="shared" si="14"/>
        <v>0</v>
      </c>
      <c r="T90" s="8">
        <f t="shared" si="15"/>
        <v>0</v>
      </c>
      <c r="U90" s="8">
        <f t="shared" si="16"/>
        <v>47.5</v>
      </c>
      <c r="V90" s="10" t="str">
        <f t="shared" si="17"/>
        <v>OK</v>
      </c>
    </row>
    <row r="91" spans="1:22">
      <c r="A91" s="5" t="s">
        <v>186</v>
      </c>
      <c r="B91" s="5" t="s">
        <v>187</v>
      </c>
      <c r="C91" s="5" t="s">
        <v>188</v>
      </c>
      <c r="D91" s="5" t="s">
        <v>31</v>
      </c>
      <c r="E91" s="5" t="s">
        <v>123</v>
      </c>
      <c r="F91" s="18" t="s">
        <v>12</v>
      </c>
      <c r="G91" s="18">
        <v>0.3125</v>
      </c>
      <c r="H91" s="18">
        <v>0.39583333333333331</v>
      </c>
      <c r="I91" s="18">
        <v>0.33333333333333331</v>
      </c>
      <c r="J91" s="18">
        <v>0.39583333333333331</v>
      </c>
      <c r="K91" s="7" t="s">
        <v>308</v>
      </c>
      <c r="L91" s="7" t="s">
        <v>308</v>
      </c>
      <c r="M91" s="8">
        <f>48</f>
        <v>48</v>
      </c>
      <c r="N91" s="8">
        <f t="shared" si="12"/>
        <v>34.499999999999993</v>
      </c>
      <c r="O91" s="8">
        <f>IF(COUNTIF(PARAMETRES_REGIMES!$A$3:$A$100,$A91)&gt;0,MIN(M91,SUM(F91:L91)*24),MIN(M91,SUM(F91:K91)*24))</f>
        <v>34.499999999999993</v>
      </c>
      <c r="P91" s="9">
        <f>IF(COUNTIF(PARAMETRES_REGIMES!$A$3:$A$100,$A91)&gt;0,FLOOR(MAX(SUM(F91:L91)*24-M91,0),0.5),FLOOR(MAX(SUM(F91:K91)*24-M91,0),0.5))</f>
        <v>0</v>
      </c>
      <c r="Q91" s="9">
        <f>IF(COUNTIF(PARAMETRES_REGIMES!$A$3:$A$100,$A91)&gt;0,0,IF(ISNUMBER(L91),FLOOR(MAX(L91*24,0),0.5),0))</f>
        <v>0</v>
      </c>
      <c r="R91" s="8">
        <f t="shared" si="13"/>
        <v>1</v>
      </c>
      <c r="S91" s="8">
        <f t="shared" si="14"/>
        <v>0</v>
      </c>
      <c r="T91" s="8">
        <f t="shared" si="15"/>
        <v>0</v>
      </c>
      <c r="U91" s="8">
        <f t="shared" si="16"/>
        <v>34.499999999999993</v>
      </c>
      <c r="V91" s="10" t="str">
        <f t="shared" si="17"/>
        <v>OK</v>
      </c>
    </row>
    <row r="92" spans="1:22">
      <c r="A92" s="5" t="s">
        <v>231</v>
      </c>
      <c r="B92" s="5" t="s">
        <v>232</v>
      </c>
      <c r="C92" s="5" t="s">
        <v>233</v>
      </c>
      <c r="D92" s="5" t="s">
        <v>31</v>
      </c>
      <c r="E92" s="5" t="s">
        <v>123</v>
      </c>
      <c r="F92" s="18" t="s">
        <v>12</v>
      </c>
      <c r="G92" s="18" t="s">
        <v>12</v>
      </c>
      <c r="H92" s="18" t="s">
        <v>12</v>
      </c>
      <c r="I92" s="18">
        <v>0.3125</v>
      </c>
      <c r="J92" s="18">
        <v>0.39583333333333331</v>
      </c>
      <c r="K92" s="7" t="s">
        <v>308</v>
      </c>
      <c r="L92" s="7" t="s">
        <v>308</v>
      </c>
      <c r="M92" s="8">
        <f>48</f>
        <v>48</v>
      </c>
      <c r="N92" s="8">
        <f t="shared" si="12"/>
        <v>17</v>
      </c>
      <c r="O92" s="8">
        <f>IF(COUNTIF(PARAMETRES_REGIMES!$A$3:$A$100,$A92)&gt;0,MIN(M92,SUM(F92:L92)*24),MIN(M92,SUM(F92:K92)*24))</f>
        <v>17</v>
      </c>
      <c r="P92" s="9">
        <f>IF(COUNTIF(PARAMETRES_REGIMES!$A$3:$A$100,$A92)&gt;0,FLOOR(MAX(SUM(F92:L92)*24-M92,0),0.5),FLOOR(MAX(SUM(F92:K92)*24-M92,0),0.5))</f>
        <v>0</v>
      </c>
      <c r="Q92" s="9">
        <f>IF(COUNTIF(PARAMETRES_REGIMES!$A$3:$A$100,$A92)&gt;0,0,IF(ISNUMBER(L92),FLOOR(MAX(L92*24,0),0.5),0))</f>
        <v>0</v>
      </c>
      <c r="R92" s="8">
        <f t="shared" si="13"/>
        <v>3</v>
      </c>
      <c r="S92" s="8">
        <f t="shared" si="14"/>
        <v>0</v>
      </c>
      <c r="T92" s="8">
        <f t="shared" si="15"/>
        <v>0</v>
      </c>
      <c r="U92" s="8">
        <f t="shared" si="16"/>
        <v>17</v>
      </c>
      <c r="V92" s="10" t="str">
        <f t="shared" si="17"/>
        <v>OK</v>
      </c>
    </row>
    <row r="93" spans="1:22">
      <c r="A93" s="5" t="s">
        <v>155</v>
      </c>
      <c r="B93" s="5" t="s">
        <v>156</v>
      </c>
      <c r="C93" s="5" t="s">
        <v>154</v>
      </c>
      <c r="D93" s="5" t="s">
        <v>31</v>
      </c>
      <c r="E93" s="5" t="s">
        <v>123</v>
      </c>
      <c r="F93" s="18">
        <v>0.39583333333333331</v>
      </c>
      <c r="G93" s="18">
        <v>0.39583333333333331</v>
      </c>
      <c r="H93" s="18">
        <v>0.39583333333333331</v>
      </c>
      <c r="I93" s="18">
        <v>0.39583333333333331</v>
      </c>
      <c r="J93" s="18">
        <v>0.39583333333333331</v>
      </c>
      <c r="K93" s="7" t="s">
        <v>308</v>
      </c>
      <c r="L93" s="7" t="s">
        <v>308</v>
      </c>
      <c r="M93" s="8">
        <f>48</f>
        <v>48</v>
      </c>
      <c r="N93" s="8">
        <f t="shared" si="12"/>
        <v>47.5</v>
      </c>
      <c r="O93" s="8">
        <f>IF(COUNTIF(PARAMETRES_REGIMES!$A$3:$A$100,$A93)&gt;0,MIN(M93,SUM(F93:L93)*24),MIN(M93,SUM(F93:K93)*24))</f>
        <v>47.5</v>
      </c>
      <c r="P93" s="9">
        <f>IF(COUNTIF(PARAMETRES_REGIMES!$A$3:$A$100,$A93)&gt;0,FLOOR(MAX(SUM(F93:L93)*24-M93,0),0.5),FLOOR(MAX(SUM(F93:K93)*24-M93,0),0.5))</f>
        <v>0</v>
      </c>
      <c r="Q93" s="9">
        <f>IF(COUNTIF(PARAMETRES_REGIMES!$A$3:$A$100,$A93)&gt;0,0,IF(ISNUMBER(L93),FLOOR(MAX(L93*24,0),0.5),0))</f>
        <v>0</v>
      </c>
      <c r="R93" s="8">
        <f t="shared" si="13"/>
        <v>0</v>
      </c>
      <c r="S93" s="8">
        <f t="shared" si="14"/>
        <v>0</v>
      </c>
      <c r="T93" s="8">
        <f t="shared" si="15"/>
        <v>0</v>
      </c>
      <c r="U93" s="8">
        <f t="shared" si="16"/>
        <v>47.5</v>
      </c>
      <c r="V93" s="10" t="str">
        <f t="shared" si="17"/>
        <v>OK</v>
      </c>
    </row>
    <row r="94" spans="1:22">
      <c r="A94" s="5" t="s">
        <v>197</v>
      </c>
      <c r="B94" s="5" t="s">
        <v>195</v>
      </c>
      <c r="C94" s="5" t="s">
        <v>198</v>
      </c>
      <c r="D94" s="5" t="s">
        <v>31</v>
      </c>
      <c r="E94" s="5" t="s">
        <v>123</v>
      </c>
      <c r="F94" s="18" t="s">
        <v>12</v>
      </c>
      <c r="G94" s="18">
        <v>0.3125</v>
      </c>
      <c r="H94" s="18">
        <v>0.39583333333333331</v>
      </c>
      <c r="I94" s="18">
        <v>0.39583333333333331</v>
      </c>
      <c r="J94" s="18">
        <v>0.39583333333333331</v>
      </c>
      <c r="K94" s="7" t="s">
        <v>308</v>
      </c>
      <c r="L94" s="7" t="s">
        <v>308</v>
      </c>
      <c r="M94" s="8">
        <f>48</f>
        <v>48</v>
      </c>
      <c r="N94" s="8">
        <f t="shared" si="12"/>
        <v>35.999999999999993</v>
      </c>
      <c r="O94" s="8">
        <f>IF(COUNTIF(PARAMETRES_REGIMES!$A$3:$A$100,$A94)&gt;0,MIN(M94,SUM(F94:L94)*24),MIN(M94,SUM(F94:K94)*24))</f>
        <v>35.999999999999993</v>
      </c>
      <c r="P94" s="9">
        <f>IF(COUNTIF(PARAMETRES_REGIMES!$A$3:$A$100,$A94)&gt;0,FLOOR(MAX(SUM(F94:L94)*24-M94,0),0.5),FLOOR(MAX(SUM(F94:K94)*24-M94,0),0.5))</f>
        <v>0</v>
      </c>
      <c r="Q94" s="9">
        <f>IF(COUNTIF(PARAMETRES_REGIMES!$A$3:$A$100,$A94)&gt;0,0,IF(ISNUMBER(L94),FLOOR(MAX(L94*24,0),0.5),0))</f>
        <v>0</v>
      </c>
      <c r="R94" s="8">
        <f t="shared" si="13"/>
        <v>1</v>
      </c>
      <c r="S94" s="8">
        <f t="shared" si="14"/>
        <v>0</v>
      </c>
      <c r="T94" s="8">
        <f t="shared" si="15"/>
        <v>0</v>
      </c>
      <c r="U94" s="8">
        <f t="shared" si="16"/>
        <v>35.999999999999993</v>
      </c>
      <c r="V94" s="10" t="str">
        <f t="shared" si="17"/>
        <v>OK</v>
      </c>
    </row>
    <row r="95" spans="1:22">
      <c r="A95" s="5" t="s">
        <v>209</v>
      </c>
      <c r="B95" s="5" t="s">
        <v>210</v>
      </c>
      <c r="C95" s="5" t="s">
        <v>211</v>
      </c>
      <c r="D95" s="5" t="s">
        <v>31</v>
      </c>
      <c r="E95" s="5" t="s">
        <v>123</v>
      </c>
      <c r="F95" s="18">
        <v>0.39583333333333331</v>
      </c>
      <c r="G95" s="18">
        <v>0.39583333333333331</v>
      </c>
      <c r="H95" s="18">
        <v>0.39583333333333331</v>
      </c>
      <c r="I95" s="18">
        <v>0.39583333333333331</v>
      </c>
      <c r="J95" s="18">
        <v>0.39583333333333331</v>
      </c>
      <c r="K95" s="7" t="s">
        <v>308</v>
      </c>
      <c r="L95" s="7" t="s">
        <v>308</v>
      </c>
      <c r="M95" s="8">
        <f>48</f>
        <v>48</v>
      </c>
      <c r="N95" s="8">
        <f t="shared" si="12"/>
        <v>47.5</v>
      </c>
      <c r="O95" s="8">
        <f>IF(COUNTIF(PARAMETRES_REGIMES!$A$3:$A$100,$A95)&gt;0,MIN(M95,SUM(F95:L95)*24),MIN(M95,SUM(F95:K95)*24))</f>
        <v>47.5</v>
      </c>
      <c r="P95" s="9">
        <f>IF(COUNTIF(PARAMETRES_REGIMES!$A$3:$A$100,$A95)&gt;0,FLOOR(MAX(SUM(F95:L95)*24-M95,0),0.5),FLOOR(MAX(SUM(F95:K95)*24-M95,0),0.5))</f>
        <v>0</v>
      </c>
      <c r="Q95" s="9">
        <f>IF(COUNTIF(PARAMETRES_REGIMES!$A$3:$A$100,$A95)&gt;0,0,IF(ISNUMBER(L95),FLOOR(MAX(L95*24,0),0.5),0))</f>
        <v>0</v>
      </c>
      <c r="R95" s="8">
        <f t="shared" si="13"/>
        <v>0</v>
      </c>
      <c r="S95" s="8">
        <f t="shared" si="14"/>
        <v>0</v>
      </c>
      <c r="T95" s="8">
        <f t="shared" si="15"/>
        <v>0</v>
      </c>
      <c r="U95" s="8">
        <f t="shared" si="16"/>
        <v>47.5</v>
      </c>
      <c r="V95" s="10" t="str">
        <f t="shared" si="17"/>
        <v>OK</v>
      </c>
    </row>
    <row r="96" spans="1:22">
      <c r="A96" s="5" t="s">
        <v>274</v>
      </c>
      <c r="B96" s="5" t="s">
        <v>272</v>
      </c>
      <c r="C96" s="5" t="s">
        <v>275</v>
      </c>
      <c r="D96" s="5" t="s">
        <v>31</v>
      </c>
      <c r="E96" s="5" t="s">
        <v>123</v>
      </c>
      <c r="F96" s="18" t="s">
        <v>12</v>
      </c>
      <c r="G96" s="18">
        <v>0.3125</v>
      </c>
      <c r="H96" s="18">
        <v>0.39583333333333331</v>
      </c>
      <c r="I96" s="18">
        <v>0.39583333333333331</v>
      </c>
      <c r="J96" s="18">
        <v>0.39583333333333331</v>
      </c>
      <c r="K96" s="7" t="s">
        <v>308</v>
      </c>
      <c r="L96" s="7" t="s">
        <v>308</v>
      </c>
      <c r="M96" s="8">
        <f>48</f>
        <v>48</v>
      </c>
      <c r="N96" s="8">
        <f t="shared" si="12"/>
        <v>35.999999999999993</v>
      </c>
      <c r="O96" s="8">
        <f>IF(COUNTIF(PARAMETRES_REGIMES!$A$3:$A$100,$A96)&gt;0,MIN(M96,SUM(F96:L96)*24),MIN(M96,SUM(F96:K96)*24))</f>
        <v>35.999999999999993</v>
      </c>
      <c r="P96" s="9">
        <f>IF(COUNTIF(PARAMETRES_REGIMES!$A$3:$A$100,$A96)&gt;0,FLOOR(MAX(SUM(F96:L96)*24-M96,0),0.5),FLOOR(MAX(SUM(F96:K96)*24-M96,0),0.5))</f>
        <v>0</v>
      </c>
      <c r="Q96" s="9">
        <f>IF(COUNTIF(PARAMETRES_REGIMES!$A$3:$A$100,$A96)&gt;0,0,IF(ISNUMBER(L96),FLOOR(MAX(L96*24,0),0.5),0))</f>
        <v>0</v>
      </c>
      <c r="R96" s="8">
        <f t="shared" si="13"/>
        <v>1</v>
      </c>
      <c r="S96" s="8">
        <f t="shared" si="14"/>
        <v>0</v>
      </c>
      <c r="T96" s="8">
        <f t="shared" si="15"/>
        <v>0</v>
      </c>
      <c r="U96" s="8">
        <f t="shared" si="16"/>
        <v>35.999999999999993</v>
      </c>
      <c r="V96" s="10" t="str">
        <f t="shared" si="17"/>
        <v>OK</v>
      </c>
    </row>
    <row r="97" spans="1:22">
      <c r="A97" t="s">
        <v>199</v>
      </c>
      <c r="B97" s="5" t="s">
        <v>195</v>
      </c>
      <c r="C97" s="5" t="s">
        <v>200</v>
      </c>
      <c r="D97" s="5" t="s">
        <v>31</v>
      </c>
      <c r="E97" s="5" t="s">
        <v>123</v>
      </c>
      <c r="F97" s="18" t="s">
        <v>12</v>
      </c>
      <c r="G97" s="18">
        <v>0.3125</v>
      </c>
      <c r="H97" s="18">
        <v>0.39583333333333331</v>
      </c>
      <c r="I97" s="18">
        <v>0.39583333333333331</v>
      </c>
      <c r="J97" s="18">
        <v>0.39583333333333331</v>
      </c>
      <c r="K97" s="7" t="s">
        <v>308</v>
      </c>
      <c r="L97" s="7" t="s">
        <v>308</v>
      </c>
      <c r="M97" s="8">
        <f>48</f>
        <v>48</v>
      </c>
      <c r="N97" s="8">
        <f t="shared" si="12"/>
        <v>35.999999999999993</v>
      </c>
      <c r="O97" s="8">
        <f>IF(COUNTIF(PARAMETRES_REGIMES!$A$3:$A$100,$A97)&gt;0,MIN(M97,SUM(F97:L97)*24),MIN(M97,SUM(F97:K97)*24))</f>
        <v>35.999999999999993</v>
      </c>
      <c r="P97" s="9">
        <f>IF(COUNTIF(PARAMETRES_REGIMES!$A$3:$A$100,$A97)&gt;0,FLOOR(MAX(SUM(F97:L97)*24-M97,0),0.5),FLOOR(MAX(SUM(F97:K97)*24-M97,0),0.5))</f>
        <v>0</v>
      </c>
      <c r="Q97" s="9">
        <f>IF(COUNTIF(PARAMETRES_REGIMES!$A$3:$A$100,$A97)&gt;0,0,IF(ISNUMBER(L97),FLOOR(MAX(L97*24,0),0.5),0))</f>
        <v>0</v>
      </c>
      <c r="R97" s="8">
        <f t="shared" si="13"/>
        <v>1</v>
      </c>
      <c r="S97" s="8">
        <f t="shared" si="14"/>
        <v>0</v>
      </c>
      <c r="T97" s="8">
        <f t="shared" si="15"/>
        <v>0</v>
      </c>
      <c r="U97" s="8">
        <f t="shared" si="16"/>
        <v>35.999999999999993</v>
      </c>
      <c r="V97" s="10" t="str">
        <f t="shared" si="17"/>
        <v>OK</v>
      </c>
    </row>
    <row r="98" spans="1:22">
      <c r="A98" s="5" t="s">
        <v>213</v>
      </c>
      <c r="B98" s="5" t="s">
        <v>214</v>
      </c>
      <c r="C98" s="5" t="s">
        <v>61</v>
      </c>
      <c r="D98" s="5" t="s">
        <v>31</v>
      </c>
      <c r="E98" s="5" t="s">
        <v>123</v>
      </c>
      <c r="F98" s="18">
        <v>0.39583333333333331</v>
      </c>
      <c r="G98" s="18">
        <v>0.39583333333333331</v>
      </c>
      <c r="H98" s="18">
        <v>0.39583333333333331</v>
      </c>
      <c r="I98" s="18">
        <v>0.39583333333333331</v>
      </c>
      <c r="J98" s="18">
        <v>0.39583333333333331</v>
      </c>
      <c r="K98" s="7" t="s">
        <v>308</v>
      </c>
      <c r="L98" s="7" t="s">
        <v>308</v>
      </c>
      <c r="M98" s="8">
        <f>48</f>
        <v>48</v>
      </c>
      <c r="N98" s="8">
        <f t="shared" si="12"/>
        <v>47.5</v>
      </c>
      <c r="O98" s="8">
        <f>IF(COUNTIF(PARAMETRES_REGIMES!$A$3:$A$100,$A98)&gt;0,MIN(M98,SUM(F98:L98)*24),MIN(M98,SUM(F98:K98)*24))</f>
        <v>47.5</v>
      </c>
      <c r="P98" s="9">
        <f>IF(COUNTIF(PARAMETRES_REGIMES!$A$3:$A$100,$A98)&gt;0,FLOOR(MAX(SUM(F98:L98)*24-M98,0),0.5),FLOOR(MAX(SUM(F98:K98)*24-M98,0),0.5))</f>
        <v>0</v>
      </c>
      <c r="Q98" s="9">
        <f>IF(COUNTIF(PARAMETRES_REGIMES!$A$3:$A$100,$A98)&gt;0,0,IF(ISNUMBER(L98),FLOOR(MAX(L98*24,0),0.5),0))</f>
        <v>0</v>
      </c>
      <c r="R98" s="8">
        <f t="shared" si="13"/>
        <v>0</v>
      </c>
      <c r="S98" s="8">
        <f t="shared" si="14"/>
        <v>0</v>
      </c>
      <c r="T98" s="8">
        <f t="shared" si="15"/>
        <v>0</v>
      </c>
      <c r="U98" s="8">
        <f t="shared" si="16"/>
        <v>47.5</v>
      </c>
      <c r="V98" s="10" t="str">
        <f t="shared" si="17"/>
        <v>OK</v>
      </c>
    </row>
    <row r="99" spans="1:22">
      <c r="A99" s="5" t="s">
        <v>237</v>
      </c>
      <c r="B99" s="5" t="s">
        <v>238</v>
      </c>
      <c r="C99" s="5" t="s">
        <v>239</v>
      </c>
      <c r="D99" s="5" t="s">
        <v>31</v>
      </c>
      <c r="E99" s="5" t="s">
        <v>123</v>
      </c>
      <c r="F99" s="18">
        <v>0.39583333333333331</v>
      </c>
      <c r="G99" s="18">
        <v>0.39583333333333331</v>
      </c>
      <c r="H99" s="18">
        <v>0.39583333333333331</v>
      </c>
      <c r="I99" s="18">
        <v>0.39583333333333331</v>
      </c>
      <c r="J99" s="18">
        <v>0.39583333333333331</v>
      </c>
      <c r="K99" s="7" t="s">
        <v>308</v>
      </c>
      <c r="L99" s="7" t="s">
        <v>308</v>
      </c>
      <c r="M99" s="8">
        <f>48</f>
        <v>48</v>
      </c>
      <c r="N99" s="8">
        <f t="shared" ref="N99:N113" si="18">SUM(F99:L99)*24</f>
        <v>47.5</v>
      </c>
      <c r="O99" s="8">
        <f>IF(COUNTIF(PARAMETRES_REGIMES!$A$3:$A$100,$A99)&gt;0,MIN(M99,SUM(F99:L99)*24),MIN(M99,SUM(F99:K99)*24))</f>
        <v>47.5</v>
      </c>
      <c r="P99" s="9">
        <f>IF(COUNTIF(PARAMETRES_REGIMES!$A$3:$A$100,$A99)&gt;0,FLOOR(MAX(SUM(F99:L99)*24-M99,0),0.5),FLOOR(MAX(SUM(F99:K99)*24-M99,0),0.5))</f>
        <v>0</v>
      </c>
      <c r="Q99" s="9">
        <f>IF(COUNTIF(PARAMETRES_REGIMES!$A$3:$A$100,$A99)&gt;0,0,IF(ISNUMBER(L99),FLOOR(MAX(L99*24,0),0.5),0))</f>
        <v>0</v>
      </c>
      <c r="R99" s="8">
        <f t="shared" ref="R99:R113" si="19">COUNTIF(F99:L99,"ABS")</f>
        <v>0</v>
      </c>
      <c r="S99" s="8">
        <f t="shared" ref="S99:S113" si="20">COUNTIF(F99:L99,"Congé")+COUNTIF(F99:L99,"CSS")*0+COUNTIF(F99:L99,"CM")*0</f>
        <v>0</v>
      </c>
      <c r="T99" s="8">
        <f t="shared" ref="T99:T113" si="21">COUNTIF(F99:L99,"Férié")</f>
        <v>0</v>
      </c>
      <c r="U99" s="8">
        <f t="shared" ref="U99:U113" si="22">O99+P99+Q99+(T99*8.5)</f>
        <v>47.5</v>
      </c>
      <c r="V99" s="10" t="str">
        <f t="shared" ref="V99:V113" si="23">IF(COUNTIF(F99:L99,"STC")&gt;0,"STC",IF(OR(IFERROR(ISNUMBER(SEARCH("!",F99)),FALSE),IFERROR(ISNUMBER(SEARCH("!",G99)),FALSE),IFERROR(ISNUMBER(SEARCH("!",H99)),FALSE),IFERROR(ISNUMBER(SEARCH("!",I99)),FALSE),IFERROR(ISNUMBER(SEARCH("!",J99)),FALSE),IFERROR(ISNUMBER(SEARCH("!",K99)),FALSE),IFERROR(ISNUMBER(SEARCH("!",L99)),FALSE)),"À vérifier","OK"))</f>
        <v>OK</v>
      </c>
    </row>
    <row r="100" spans="1:22">
      <c r="A100" s="5" t="s">
        <v>57</v>
      </c>
      <c r="B100" s="5" t="s">
        <v>58</v>
      </c>
      <c r="C100" s="5" t="s">
        <v>59</v>
      </c>
      <c r="D100" s="5" t="s">
        <v>49</v>
      </c>
      <c r="E100" s="5" t="s">
        <v>21</v>
      </c>
      <c r="F100" s="18">
        <v>0.39583333333333331</v>
      </c>
      <c r="G100" s="18">
        <v>0.39583333333333331</v>
      </c>
      <c r="H100" s="18">
        <v>0.39583333333333331</v>
      </c>
      <c r="I100" s="18">
        <v>0.39583333333333331</v>
      </c>
      <c r="J100" s="18" t="s">
        <v>313</v>
      </c>
      <c r="K100" s="7" t="s">
        <v>308</v>
      </c>
      <c r="L100" s="7" t="s">
        <v>308</v>
      </c>
      <c r="M100" s="8">
        <f>48</f>
        <v>48</v>
      </c>
      <c r="N100" s="8">
        <f t="shared" si="18"/>
        <v>38</v>
      </c>
      <c r="O100" s="8">
        <f>IF(COUNTIF(PARAMETRES_REGIMES!$A$3:$A$100,$A100)&gt;0,MIN(M100,SUM(F100:L100)*24),MIN(M100,SUM(F100:K100)*24))</f>
        <v>38</v>
      </c>
      <c r="P100" s="9">
        <f>IF(COUNTIF(PARAMETRES_REGIMES!$A$3:$A$100,$A100)&gt;0,FLOOR(MAX(SUM(F100:L100)*24-M100,0),0.5),FLOOR(MAX(SUM(F100:K100)*24-M100,0),0.5))</f>
        <v>0</v>
      </c>
      <c r="Q100" s="9">
        <f>IF(COUNTIF(PARAMETRES_REGIMES!$A$3:$A$100,$A100)&gt;0,0,IF(ISNUMBER(L100),FLOOR(MAX(L100*24,0),0.5),0))</f>
        <v>0</v>
      </c>
      <c r="R100" s="8">
        <f t="shared" si="19"/>
        <v>0</v>
      </c>
      <c r="S100" s="8">
        <f t="shared" si="20"/>
        <v>0</v>
      </c>
      <c r="T100" s="8">
        <f t="shared" si="21"/>
        <v>0</v>
      </c>
      <c r="U100" s="8">
        <f t="shared" si="22"/>
        <v>38</v>
      </c>
      <c r="V100" s="10" t="str">
        <f t="shared" si="23"/>
        <v>OK</v>
      </c>
    </row>
    <row r="101" spans="1:22">
      <c r="A101" s="5" t="s">
        <v>60</v>
      </c>
      <c r="B101" s="5" t="s">
        <v>58</v>
      </c>
      <c r="C101" s="5" t="s">
        <v>61</v>
      </c>
      <c r="D101" s="5" t="s">
        <v>49</v>
      </c>
      <c r="E101" s="5" t="s">
        <v>21</v>
      </c>
      <c r="F101" s="18">
        <v>0.39583333333333331</v>
      </c>
      <c r="G101" s="18">
        <v>0.39583333333333331</v>
      </c>
      <c r="H101" s="18">
        <v>0.39583333333333331</v>
      </c>
      <c r="I101" s="18">
        <v>0.39583333333333331</v>
      </c>
      <c r="J101" s="18" t="s">
        <v>313</v>
      </c>
      <c r="K101" s="7" t="s">
        <v>308</v>
      </c>
      <c r="L101" s="7" t="s">
        <v>308</v>
      </c>
      <c r="M101" s="8">
        <f>48</f>
        <v>48</v>
      </c>
      <c r="N101" s="8">
        <f t="shared" si="18"/>
        <v>38</v>
      </c>
      <c r="O101" s="8">
        <f>IF(COUNTIF(PARAMETRES_REGIMES!$A$3:$A$100,$A101)&gt;0,MIN(M101,SUM(F101:L101)*24),MIN(M101,SUM(F101:K101)*24))</f>
        <v>38</v>
      </c>
      <c r="P101" s="9">
        <f>IF(COUNTIF(PARAMETRES_REGIMES!$A$3:$A$100,$A101)&gt;0,FLOOR(MAX(SUM(F101:L101)*24-M101,0),0.5),FLOOR(MAX(SUM(F101:K101)*24-M101,0),0.5))</f>
        <v>0</v>
      </c>
      <c r="Q101" s="9">
        <f>IF(COUNTIF(PARAMETRES_REGIMES!$A$3:$A$100,$A101)&gt;0,0,IF(ISNUMBER(L101),FLOOR(MAX(L101*24,0),0.5),0))</f>
        <v>0</v>
      </c>
      <c r="R101" s="8">
        <f t="shared" si="19"/>
        <v>0</v>
      </c>
      <c r="S101" s="8">
        <f t="shared" si="20"/>
        <v>0</v>
      </c>
      <c r="T101" s="8">
        <f t="shared" si="21"/>
        <v>0</v>
      </c>
      <c r="U101" s="8">
        <f t="shared" si="22"/>
        <v>38</v>
      </c>
      <c r="V101" s="10" t="str">
        <f t="shared" si="23"/>
        <v>OK</v>
      </c>
    </row>
    <row r="102" spans="1:22">
      <c r="A102" s="5" t="s">
        <v>228</v>
      </c>
      <c r="B102" s="5" t="s">
        <v>226</v>
      </c>
      <c r="C102" s="5" t="s">
        <v>229</v>
      </c>
      <c r="D102" s="5" t="s">
        <v>31</v>
      </c>
      <c r="E102" s="5" t="s">
        <v>123</v>
      </c>
      <c r="F102" s="18">
        <v>0.375</v>
      </c>
      <c r="G102" s="18">
        <v>0.39583333333333331</v>
      </c>
      <c r="H102" s="18">
        <v>0.39583333333333331</v>
      </c>
      <c r="I102" s="18">
        <v>0.39583333333333331</v>
      </c>
      <c r="J102" s="18" t="s">
        <v>12</v>
      </c>
      <c r="K102" s="7" t="s">
        <v>308</v>
      </c>
      <c r="L102" s="7" t="s">
        <v>308</v>
      </c>
      <c r="M102" s="8">
        <f>48</f>
        <v>48</v>
      </c>
      <c r="N102" s="8">
        <f t="shared" si="18"/>
        <v>37.499999999999993</v>
      </c>
      <c r="O102" s="8">
        <f>IF(COUNTIF(PARAMETRES_REGIMES!$A$3:$A$100,$A102)&gt;0,MIN(M102,SUM(F102:L102)*24),MIN(M102,SUM(F102:K102)*24))</f>
        <v>37.499999999999993</v>
      </c>
      <c r="P102" s="9">
        <f>IF(COUNTIF(PARAMETRES_REGIMES!$A$3:$A$100,$A102)&gt;0,FLOOR(MAX(SUM(F102:L102)*24-M102,0),0.5),FLOOR(MAX(SUM(F102:K102)*24-M102,0),0.5))</f>
        <v>0</v>
      </c>
      <c r="Q102" s="9">
        <f>IF(COUNTIF(PARAMETRES_REGIMES!$A$3:$A$100,$A102)&gt;0,0,IF(ISNUMBER(L102),FLOOR(MAX(L102*24,0),0.5),0))</f>
        <v>0</v>
      </c>
      <c r="R102" s="8">
        <f t="shared" si="19"/>
        <v>1</v>
      </c>
      <c r="S102" s="8">
        <f t="shared" si="20"/>
        <v>0</v>
      </c>
      <c r="T102" s="8">
        <f t="shared" si="21"/>
        <v>0</v>
      </c>
      <c r="U102" s="8">
        <f t="shared" si="22"/>
        <v>37.499999999999993</v>
      </c>
      <c r="V102" s="10" t="str">
        <f t="shared" si="23"/>
        <v>OK</v>
      </c>
    </row>
    <row r="103" spans="1:22">
      <c r="A103" s="5" t="s">
        <v>189</v>
      </c>
      <c r="B103" s="5" t="s">
        <v>190</v>
      </c>
      <c r="C103" s="5" t="s">
        <v>191</v>
      </c>
      <c r="D103" s="5" t="s">
        <v>31</v>
      </c>
      <c r="E103" s="5" t="s">
        <v>123</v>
      </c>
      <c r="F103" s="18" t="s">
        <v>12</v>
      </c>
      <c r="G103" s="18">
        <v>0.3125</v>
      </c>
      <c r="H103" s="18">
        <v>0.39583333333333331</v>
      </c>
      <c r="I103" s="18">
        <v>0.39583333333333331</v>
      </c>
      <c r="J103" s="18" t="s">
        <v>12</v>
      </c>
      <c r="K103" s="7" t="s">
        <v>308</v>
      </c>
      <c r="L103" s="7" t="s">
        <v>308</v>
      </c>
      <c r="M103" s="8">
        <f>48</f>
        <v>48</v>
      </c>
      <c r="N103" s="8">
        <f t="shared" si="18"/>
        <v>26.499999999999996</v>
      </c>
      <c r="O103" s="8">
        <f>IF(COUNTIF(PARAMETRES_REGIMES!$A$3:$A$100,$A103)&gt;0,MIN(M103,SUM(F103:L103)*24),MIN(M103,SUM(F103:K103)*24))</f>
        <v>26.499999999999996</v>
      </c>
      <c r="P103" s="9">
        <f>IF(COUNTIF(PARAMETRES_REGIMES!$A$3:$A$100,$A103)&gt;0,FLOOR(MAX(SUM(F103:L103)*24-M103,0),0.5),FLOOR(MAX(SUM(F103:K103)*24-M103,0),0.5))</f>
        <v>0</v>
      </c>
      <c r="Q103" s="9">
        <f>IF(COUNTIF(PARAMETRES_REGIMES!$A$3:$A$100,$A103)&gt;0,0,IF(ISNUMBER(L103),FLOOR(MAX(L103*24,0),0.5),0))</f>
        <v>0</v>
      </c>
      <c r="R103" s="8">
        <f t="shared" si="19"/>
        <v>2</v>
      </c>
      <c r="S103" s="8">
        <f t="shared" si="20"/>
        <v>0</v>
      </c>
      <c r="T103" s="8">
        <f t="shared" si="21"/>
        <v>0</v>
      </c>
      <c r="U103" s="8">
        <f t="shared" si="22"/>
        <v>26.499999999999996</v>
      </c>
      <c r="V103" s="10" t="str">
        <f t="shared" si="23"/>
        <v>OK</v>
      </c>
    </row>
    <row r="104" spans="1:22">
      <c r="A104" s="5" t="s">
        <v>240</v>
      </c>
      <c r="B104" s="5" t="s">
        <v>241</v>
      </c>
      <c r="C104" s="5" t="s">
        <v>242</v>
      </c>
      <c r="D104" s="5" t="s">
        <v>31</v>
      </c>
      <c r="E104" s="5" t="s">
        <v>123</v>
      </c>
      <c r="F104" s="18">
        <v>0.39583333333333331</v>
      </c>
      <c r="G104" s="18">
        <v>0.39583333333333331</v>
      </c>
      <c r="H104" s="18">
        <v>0.39583333333333331</v>
      </c>
      <c r="I104" s="18">
        <v>0.39583333333333331</v>
      </c>
      <c r="J104" s="18">
        <v>0.39583333333333331</v>
      </c>
      <c r="K104" s="7" t="s">
        <v>308</v>
      </c>
      <c r="L104" s="7" t="s">
        <v>308</v>
      </c>
      <c r="M104" s="8">
        <f>48</f>
        <v>48</v>
      </c>
      <c r="N104" s="8">
        <f t="shared" si="18"/>
        <v>47.5</v>
      </c>
      <c r="O104" s="8">
        <f>IF(COUNTIF(PARAMETRES_REGIMES!$A$3:$A$100,$A104)&gt;0,MIN(M104,SUM(F104:L104)*24),MIN(M104,SUM(F104:K104)*24))</f>
        <v>47.5</v>
      </c>
      <c r="P104" s="9">
        <f>IF(COUNTIF(PARAMETRES_REGIMES!$A$3:$A$100,$A104)&gt;0,FLOOR(MAX(SUM(F104:L104)*24-M104,0),0.5),FLOOR(MAX(SUM(F104:K104)*24-M104,0),0.5))</f>
        <v>0</v>
      </c>
      <c r="Q104" s="9">
        <f>IF(COUNTIF(PARAMETRES_REGIMES!$A$3:$A$100,$A104)&gt;0,0,IF(ISNUMBER(L104),FLOOR(MAX(L104*24,0),0.5),0))</f>
        <v>0</v>
      </c>
      <c r="R104" s="8">
        <f t="shared" si="19"/>
        <v>0</v>
      </c>
      <c r="S104" s="8">
        <f t="shared" si="20"/>
        <v>0</v>
      </c>
      <c r="T104" s="8">
        <f t="shared" si="21"/>
        <v>0</v>
      </c>
      <c r="U104" s="8">
        <f t="shared" si="22"/>
        <v>47.5</v>
      </c>
      <c r="V104" s="10" t="str">
        <f t="shared" si="23"/>
        <v>OK</v>
      </c>
    </row>
    <row r="105" spans="1:22">
      <c r="A105" s="5" t="s">
        <v>126</v>
      </c>
      <c r="B105" s="5" t="s">
        <v>127</v>
      </c>
      <c r="C105" s="5" t="s">
        <v>128</v>
      </c>
      <c r="D105" s="5" t="s">
        <v>31</v>
      </c>
      <c r="E105" s="5" t="s">
        <v>123</v>
      </c>
      <c r="F105" s="18">
        <v>0.39583333333333331</v>
      </c>
      <c r="G105" s="18">
        <v>0.39583333333333331</v>
      </c>
      <c r="H105" s="18">
        <v>0.39583333333333331</v>
      </c>
      <c r="I105" s="18">
        <v>0.39583333333333331</v>
      </c>
      <c r="J105" s="18">
        <v>0.39583333333333331</v>
      </c>
      <c r="K105" s="7" t="s">
        <v>308</v>
      </c>
      <c r="L105" s="7" t="s">
        <v>308</v>
      </c>
      <c r="M105" s="8">
        <f>48</f>
        <v>48</v>
      </c>
      <c r="N105" s="8">
        <f t="shared" si="18"/>
        <v>47.5</v>
      </c>
      <c r="O105" s="8">
        <f>IF(COUNTIF(PARAMETRES_REGIMES!$A$3:$A$100,$A105)&gt;0,MIN(M105,SUM(F105:L105)*24),MIN(M105,SUM(F105:K105)*24))</f>
        <v>47.5</v>
      </c>
      <c r="P105" s="9">
        <f>IF(COUNTIF(PARAMETRES_REGIMES!$A$3:$A$100,$A105)&gt;0,FLOOR(MAX(SUM(F105:L105)*24-M105,0),0.5),FLOOR(MAX(SUM(F105:K105)*24-M105,0),0.5))</f>
        <v>0</v>
      </c>
      <c r="Q105" s="9">
        <f>IF(COUNTIF(PARAMETRES_REGIMES!$A$3:$A$100,$A105)&gt;0,0,IF(ISNUMBER(L105),FLOOR(MAX(L105*24,0),0.5),0))</f>
        <v>0</v>
      </c>
      <c r="R105" s="8">
        <f t="shared" si="19"/>
        <v>0</v>
      </c>
      <c r="S105" s="8">
        <f t="shared" si="20"/>
        <v>0</v>
      </c>
      <c r="T105" s="8">
        <f t="shared" si="21"/>
        <v>0</v>
      </c>
      <c r="U105" s="8">
        <f t="shared" si="22"/>
        <v>47.5</v>
      </c>
      <c r="V105" s="10" t="str">
        <f t="shared" si="23"/>
        <v>OK</v>
      </c>
    </row>
    <row r="106" spans="1:22">
      <c r="A106" s="5" t="s">
        <v>252</v>
      </c>
      <c r="B106" s="5" t="s">
        <v>253</v>
      </c>
      <c r="C106" s="5" t="s">
        <v>254</v>
      </c>
      <c r="D106" s="5" t="s">
        <v>31</v>
      </c>
      <c r="E106" s="5" t="s">
        <v>123</v>
      </c>
      <c r="F106" s="18">
        <v>0.39583333333333331</v>
      </c>
      <c r="G106" s="18" t="s">
        <v>12</v>
      </c>
      <c r="H106" s="18">
        <v>0.3125</v>
      </c>
      <c r="I106" s="18">
        <v>0.39583333333333331</v>
      </c>
      <c r="J106" s="18">
        <v>0.39583333333333331</v>
      </c>
      <c r="K106" s="7" t="s">
        <v>308</v>
      </c>
      <c r="L106" s="7" t="s">
        <v>308</v>
      </c>
      <c r="M106" s="8">
        <f>48</f>
        <v>48</v>
      </c>
      <c r="N106" s="8">
        <f t="shared" si="18"/>
        <v>35.999999999999993</v>
      </c>
      <c r="O106" s="8">
        <f>IF(COUNTIF(PARAMETRES_REGIMES!$A$3:$A$100,$A106)&gt;0,MIN(M106,SUM(F106:L106)*24),MIN(M106,SUM(F106:K106)*24))</f>
        <v>35.999999999999993</v>
      </c>
      <c r="P106" s="9">
        <f>IF(COUNTIF(PARAMETRES_REGIMES!$A$3:$A$100,$A106)&gt;0,FLOOR(MAX(SUM(F106:L106)*24-M106,0),0.5),FLOOR(MAX(SUM(F106:K106)*24-M106,0),0.5))</f>
        <v>0</v>
      </c>
      <c r="Q106" s="9">
        <f>IF(COUNTIF(PARAMETRES_REGIMES!$A$3:$A$100,$A106)&gt;0,0,IF(ISNUMBER(L106),FLOOR(MAX(L106*24,0),0.5),0))</f>
        <v>0</v>
      </c>
      <c r="R106" s="8">
        <f t="shared" si="19"/>
        <v>1</v>
      </c>
      <c r="S106" s="8">
        <f t="shared" si="20"/>
        <v>0</v>
      </c>
      <c r="T106" s="8">
        <f t="shared" si="21"/>
        <v>0</v>
      </c>
      <c r="U106" s="8">
        <f t="shared" si="22"/>
        <v>35.999999999999993</v>
      </c>
      <c r="V106" s="10" t="str">
        <f t="shared" si="23"/>
        <v>OK</v>
      </c>
    </row>
    <row r="107" spans="1:22">
      <c r="A107" s="5" t="s">
        <v>206</v>
      </c>
      <c r="B107" s="5" t="s">
        <v>207</v>
      </c>
      <c r="C107" s="5" t="s">
        <v>208</v>
      </c>
      <c r="D107" s="5" t="s">
        <v>31</v>
      </c>
      <c r="E107" s="5" t="s">
        <v>123</v>
      </c>
      <c r="F107" s="18">
        <v>0.39583333333333331</v>
      </c>
      <c r="G107" s="18" t="s">
        <v>12</v>
      </c>
      <c r="H107" s="18">
        <v>0.3125</v>
      </c>
      <c r="I107" s="18">
        <v>0.39583333333333331</v>
      </c>
      <c r="J107" s="18">
        <v>0.39583333333333331</v>
      </c>
      <c r="K107" s="7" t="s">
        <v>308</v>
      </c>
      <c r="L107" s="7" t="s">
        <v>308</v>
      </c>
      <c r="M107" s="8">
        <f>48</f>
        <v>48</v>
      </c>
      <c r="N107" s="8">
        <f t="shared" si="18"/>
        <v>35.999999999999993</v>
      </c>
      <c r="O107" s="8">
        <f>IF(COUNTIF(PARAMETRES_REGIMES!$A$3:$A$100,$A107)&gt;0,MIN(M107,SUM(F107:L107)*24),MIN(M107,SUM(F107:K107)*24))</f>
        <v>35.999999999999993</v>
      </c>
      <c r="P107" s="9">
        <f>IF(COUNTIF(PARAMETRES_REGIMES!$A$3:$A$100,$A107)&gt;0,FLOOR(MAX(SUM(F107:L107)*24-M107,0),0.5),FLOOR(MAX(SUM(F107:K107)*24-M107,0),0.5))</f>
        <v>0</v>
      </c>
      <c r="Q107" s="9">
        <f>IF(COUNTIF(PARAMETRES_REGIMES!$A$3:$A$100,$A107)&gt;0,0,IF(ISNUMBER(L107),FLOOR(MAX(L107*24,0),0.5),0))</f>
        <v>0</v>
      </c>
      <c r="R107" s="8">
        <f t="shared" si="19"/>
        <v>1</v>
      </c>
      <c r="S107" s="8">
        <f t="shared" si="20"/>
        <v>0</v>
      </c>
      <c r="T107" s="8">
        <f t="shared" si="21"/>
        <v>0</v>
      </c>
      <c r="U107" s="8">
        <f t="shared" si="22"/>
        <v>35.999999999999993</v>
      </c>
      <c r="V107" s="10" t="str">
        <f t="shared" si="23"/>
        <v>OK</v>
      </c>
    </row>
    <row r="108" spans="1:22">
      <c r="A108" s="5" t="s">
        <v>172</v>
      </c>
      <c r="B108" s="5" t="s">
        <v>173</v>
      </c>
      <c r="C108" s="5" t="s">
        <v>174</v>
      </c>
      <c r="D108" s="5" t="s">
        <v>31</v>
      </c>
      <c r="E108" s="5" t="s">
        <v>123</v>
      </c>
      <c r="F108" s="18">
        <v>0.39583333333333331</v>
      </c>
      <c r="G108" s="18">
        <v>0.39583333333333331</v>
      </c>
      <c r="H108" s="18">
        <v>0.39583333333333331</v>
      </c>
      <c r="I108" s="18">
        <v>0.39583333333333331</v>
      </c>
      <c r="J108" s="18">
        <v>0.39583333333333331</v>
      </c>
      <c r="K108" s="7" t="s">
        <v>308</v>
      </c>
      <c r="L108" s="7" t="s">
        <v>308</v>
      </c>
      <c r="M108" s="8">
        <f>48</f>
        <v>48</v>
      </c>
      <c r="N108" s="8">
        <f t="shared" si="18"/>
        <v>47.5</v>
      </c>
      <c r="O108" s="8">
        <f>IF(COUNTIF(PARAMETRES_REGIMES!$A$3:$A$100,$A108)&gt;0,MIN(M108,SUM(F108:L108)*24),MIN(M108,SUM(F108:K108)*24))</f>
        <v>47.5</v>
      </c>
      <c r="P108" s="9">
        <f>IF(COUNTIF(PARAMETRES_REGIMES!$A$3:$A$100,$A108)&gt;0,FLOOR(MAX(SUM(F108:L108)*24-M108,0),0.5),FLOOR(MAX(SUM(F108:K108)*24-M108,0),0.5))</f>
        <v>0</v>
      </c>
      <c r="Q108" s="9">
        <f>IF(COUNTIF(PARAMETRES_REGIMES!$A$3:$A$100,$A108)&gt;0,0,IF(ISNUMBER(L108),FLOOR(MAX(L108*24,0),0.5),0))</f>
        <v>0</v>
      </c>
      <c r="R108" s="8">
        <f t="shared" si="19"/>
        <v>0</v>
      </c>
      <c r="S108" s="8">
        <f t="shared" si="20"/>
        <v>0</v>
      </c>
      <c r="T108" s="8">
        <f t="shared" si="21"/>
        <v>0</v>
      </c>
      <c r="U108" s="8">
        <f t="shared" si="22"/>
        <v>47.5</v>
      </c>
      <c r="V108" s="10" t="str">
        <f t="shared" si="23"/>
        <v>OK</v>
      </c>
    </row>
    <row r="109" spans="1:22">
      <c r="A109" s="5" t="s">
        <v>219</v>
      </c>
      <c r="B109" s="5" t="s">
        <v>220</v>
      </c>
      <c r="C109" s="5" t="s">
        <v>221</v>
      </c>
      <c r="D109" s="5" t="s">
        <v>31</v>
      </c>
      <c r="E109" s="5" t="s">
        <v>123</v>
      </c>
      <c r="F109" s="18">
        <v>0.39583333333333331</v>
      </c>
      <c r="G109" s="18">
        <v>0.39583333333333331</v>
      </c>
      <c r="H109" s="18">
        <v>0.39583333333333331</v>
      </c>
      <c r="I109" s="18">
        <v>0.39583333333333331</v>
      </c>
      <c r="J109" s="18">
        <v>0.39583333333333331</v>
      </c>
      <c r="K109" s="7" t="s">
        <v>308</v>
      </c>
      <c r="L109" s="7" t="s">
        <v>308</v>
      </c>
      <c r="M109" s="8">
        <f>48</f>
        <v>48</v>
      </c>
      <c r="N109" s="8">
        <f t="shared" si="18"/>
        <v>47.5</v>
      </c>
      <c r="O109" s="8">
        <f>IF(COUNTIF(PARAMETRES_REGIMES!$A$3:$A$100,$A109)&gt;0,MIN(M109,SUM(F109:L109)*24),MIN(M109,SUM(F109:K109)*24))</f>
        <v>47.5</v>
      </c>
      <c r="P109" s="9">
        <f>IF(COUNTIF(PARAMETRES_REGIMES!$A$3:$A$100,$A109)&gt;0,FLOOR(MAX(SUM(F109:L109)*24-M109,0),0.5),FLOOR(MAX(SUM(F109:K109)*24-M109,0),0.5))</f>
        <v>0</v>
      </c>
      <c r="Q109" s="9">
        <f>IF(COUNTIF(PARAMETRES_REGIMES!$A$3:$A$100,$A109)&gt;0,0,IF(ISNUMBER(L109),FLOOR(MAX(L109*24,0),0.5),0))</f>
        <v>0</v>
      </c>
      <c r="R109" s="8">
        <f t="shared" si="19"/>
        <v>0</v>
      </c>
      <c r="S109" s="8">
        <f t="shared" si="20"/>
        <v>0</v>
      </c>
      <c r="T109" s="8">
        <f t="shared" si="21"/>
        <v>0</v>
      </c>
      <c r="U109" s="8">
        <f t="shared" si="22"/>
        <v>47.5</v>
      </c>
      <c r="V109" s="10" t="str">
        <f t="shared" si="23"/>
        <v>OK</v>
      </c>
    </row>
    <row r="110" spans="1:22">
      <c r="A110" s="5" t="s">
        <v>283</v>
      </c>
      <c r="B110" s="5" t="s">
        <v>284</v>
      </c>
      <c r="C110" s="5" t="s">
        <v>285</v>
      </c>
      <c r="D110" s="5" t="s">
        <v>31</v>
      </c>
      <c r="E110" s="5" t="s">
        <v>123</v>
      </c>
      <c r="F110" s="18">
        <v>0.39583333333333331</v>
      </c>
      <c r="G110" s="18">
        <v>0.39583333333333331</v>
      </c>
      <c r="H110" s="18">
        <v>0.39583333333333331</v>
      </c>
      <c r="I110" s="18">
        <v>0.39583333333333331</v>
      </c>
      <c r="J110" s="18">
        <v>0.39583333333333331</v>
      </c>
      <c r="K110" s="7" t="s">
        <v>308</v>
      </c>
      <c r="L110" s="7" t="s">
        <v>308</v>
      </c>
      <c r="M110" s="8">
        <f>48</f>
        <v>48</v>
      </c>
      <c r="N110" s="8">
        <f t="shared" si="18"/>
        <v>47.5</v>
      </c>
      <c r="O110" s="8">
        <f>IF(COUNTIF(PARAMETRES_REGIMES!$A$3:$A$100,$A110)&gt;0,MIN(M110,SUM(F110:L110)*24),MIN(M110,SUM(F110:K110)*24))</f>
        <v>47.5</v>
      </c>
      <c r="P110" s="9">
        <f>IF(COUNTIF(PARAMETRES_REGIMES!$A$3:$A$100,$A110)&gt;0,FLOOR(MAX(SUM(F110:L110)*24-M110,0),0.5),FLOOR(MAX(SUM(F110:K110)*24-M110,0),0.5))</f>
        <v>0</v>
      </c>
      <c r="Q110" s="9">
        <f>IF(COUNTIF(PARAMETRES_REGIMES!$A$3:$A$100,$A110)&gt;0,0,IF(ISNUMBER(L110),FLOOR(MAX(L110*24,0),0.5),0))</f>
        <v>0</v>
      </c>
      <c r="R110" s="8">
        <f t="shared" si="19"/>
        <v>0</v>
      </c>
      <c r="S110" s="8">
        <f t="shared" si="20"/>
        <v>0</v>
      </c>
      <c r="T110" s="8">
        <f t="shared" si="21"/>
        <v>0</v>
      </c>
      <c r="U110" s="8">
        <f t="shared" si="22"/>
        <v>47.5</v>
      </c>
      <c r="V110" s="10" t="str">
        <f t="shared" si="23"/>
        <v>OK</v>
      </c>
    </row>
    <row r="111" spans="1:22">
      <c r="A111" s="5" t="s">
        <v>201</v>
      </c>
      <c r="B111" s="5" t="s">
        <v>195</v>
      </c>
      <c r="C111" s="5" t="s">
        <v>202</v>
      </c>
      <c r="D111" s="5" t="s">
        <v>31</v>
      </c>
      <c r="E111" s="5" t="s">
        <v>123</v>
      </c>
      <c r="F111" s="18" t="s">
        <v>12</v>
      </c>
      <c r="G111" s="18">
        <v>0.3125</v>
      </c>
      <c r="H111" s="18">
        <v>0.39583333333333331</v>
      </c>
      <c r="I111" s="18">
        <v>0.39583333333333331</v>
      </c>
      <c r="J111" s="18">
        <v>0.39583333333333331</v>
      </c>
      <c r="K111" s="7" t="s">
        <v>308</v>
      </c>
      <c r="L111" s="7" t="s">
        <v>308</v>
      </c>
      <c r="M111" s="8">
        <f>48</f>
        <v>48</v>
      </c>
      <c r="N111" s="8">
        <f t="shared" si="18"/>
        <v>35.999999999999993</v>
      </c>
      <c r="O111" s="8">
        <f>IF(COUNTIF(PARAMETRES_REGIMES!$A$3:$A$100,$A111)&gt;0,MIN(M111,SUM(F111:L111)*24),MIN(M111,SUM(F111:K111)*24))</f>
        <v>35.999999999999993</v>
      </c>
      <c r="P111" s="9">
        <f>IF(COUNTIF(PARAMETRES_REGIMES!$A$3:$A$100,$A111)&gt;0,FLOOR(MAX(SUM(F111:L111)*24-M111,0),0.5),FLOOR(MAX(SUM(F111:K111)*24-M111,0),0.5))</f>
        <v>0</v>
      </c>
      <c r="Q111" s="9">
        <f>IF(COUNTIF(PARAMETRES_REGIMES!$A$3:$A$100,$A111)&gt;0,0,IF(ISNUMBER(L111),FLOOR(MAX(L111*24,0),0.5),0))</f>
        <v>0</v>
      </c>
      <c r="R111" s="8">
        <f t="shared" si="19"/>
        <v>1</v>
      </c>
      <c r="S111" s="8">
        <f t="shared" si="20"/>
        <v>0</v>
      </c>
      <c r="T111" s="8">
        <f t="shared" si="21"/>
        <v>0</v>
      </c>
      <c r="U111" s="8">
        <f t="shared" si="22"/>
        <v>35.999999999999993</v>
      </c>
      <c r="V111" s="10" t="str">
        <f t="shared" si="23"/>
        <v>OK</v>
      </c>
    </row>
    <row r="112" spans="1:22">
      <c r="A112" s="5" t="s">
        <v>203</v>
      </c>
      <c r="B112" s="5" t="s">
        <v>204</v>
      </c>
      <c r="C112" s="5" t="s">
        <v>205</v>
      </c>
      <c r="D112" s="5" t="s">
        <v>31</v>
      </c>
      <c r="E112" s="5" t="s">
        <v>123</v>
      </c>
      <c r="F112" s="18">
        <v>0.39583333333333331</v>
      </c>
      <c r="G112" s="18">
        <v>0.39583333333333331</v>
      </c>
      <c r="H112" s="18" t="s">
        <v>12</v>
      </c>
      <c r="I112" s="18" t="s">
        <v>12</v>
      </c>
      <c r="J112" s="28">
        <v>0.39583333333333331</v>
      </c>
      <c r="K112" s="7" t="s">
        <v>308</v>
      </c>
      <c r="L112" s="7" t="s">
        <v>308</v>
      </c>
      <c r="M112" s="8">
        <f>48</f>
        <v>48</v>
      </c>
      <c r="N112" s="8">
        <f t="shared" si="18"/>
        <v>28.5</v>
      </c>
      <c r="O112" s="8">
        <f>IF(COUNTIF(PARAMETRES_REGIMES!$A$3:$A$100,$A112)&gt;0,MIN(M112,SUM(F112:L112)*24),MIN(M112,SUM(F112:K112)*24))</f>
        <v>28.5</v>
      </c>
      <c r="P112" s="9">
        <f>IF(COUNTIF(PARAMETRES_REGIMES!$A$3:$A$100,$A112)&gt;0,FLOOR(MAX(SUM(F112:L112)*24-M112,0),0.5),FLOOR(MAX(SUM(F112:K112)*24-M112,0),0.5))</f>
        <v>0</v>
      </c>
      <c r="Q112" s="9">
        <f>IF(COUNTIF(PARAMETRES_REGIMES!$A$3:$A$100,$A112)&gt;0,0,IF(ISNUMBER(L112),FLOOR(MAX(L112*24,0),0.5),0))</f>
        <v>0</v>
      </c>
      <c r="R112" s="8">
        <f t="shared" si="19"/>
        <v>2</v>
      </c>
      <c r="S112" s="8">
        <f t="shared" si="20"/>
        <v>0</v>
      </c>
      <c r="T112" s="8">
        <f t="shared" si="21"/>
        <v>0</v>
      </c>
      <c r="U112" s="8">
        <f t="shared" si="22"/>
        <v>28.5</v>
      </c>
      <c r="V112" s="10" t="str">
        <f t="shared" si="23"/>
        <v>OK</v>
      </c>
    </row>
    <row r="113" spans="1:22">
      <c r="A113" s="5" t="s">
        <v>175</v>
      </c>
      <c r="B113" s="5" t="s">
        <v>176</v>
      </c>
      <c r="C113" s="5" t="s">
        <v>177</v>
      </c>
      <c r="D113" s="5" t="s">
        <v>31</v>
      </c>
      <c r="E113" s="5" t="s">
        <v>123</v>
      </c>
      <c r="F113" s="18">
        <v>0.39583333333333331</v>
      </c>
      <c r="G113" s="18">
        <v>0.39583333333333331</v>
      </c>
      <c r="H113" s="18">
        <v>0.39583333333333331</v>
      </c>
      <c r="I113" s="18">
        <v>0.39583333333333331</v>
      </c>
      <c r="J113" s="18">
        <v>0.39583333333333331</v>
      </c>
      <c r="K113" s="7" t="s">
        <v>308</v>
      </c>
      <c r="L113" s="7" t="s">
        <v>308</v>
      </c>
      <c r="M113" s="8">
        <f>48</f>
        <v>48</v>
      </c>
      <c r="N113" s="8">
        <f t="shared" si="18"/>
        <v>47.5</v>
      </c>
      <c r="O113" s="8">
        <f>IF(COUNTIF(PARAMETRES_REGIMES!$A$3:$A$100,$A113)&gt;0,MIN(M113,SUM(F113:L113)*24),MIN(M113,SUM(F113:K113)*24))</f>
        <v>47.5</v>
      </c>
      <c r="P113" s="9">
        <f>IF(COUNTIF(PARAMETRES_REGIMES!$A$3:$A$100,$A113)&gt;0,FLOOR(MAX(SUM(F113:L113)*24-M113,0),0.5),FLOOR(MAX(SUM(F113:K113)*24-M113,0),0.5))</f>
        <v>0</v>
      </c>
      <c r="Q113" s="9">
        <f>IF(COUNTIF(PARAMETRES_REGIMES!$A$3:$A$100,$A113)&gt;0,0,IF(ISNUMBER(L113),FLOOR(MAX(L113*24,0),0.5),0))</f>
        <v>0</v>
      </c>
      <c r="R113" s="8">
        <f t="shared" si="19"/>
        <v>0</v>
      </c>
      <c r="S113" s="8">
        <f t="shared" si="20"/>
        <v>0</v>
      </c>
      <c r="T113" s="8">
        <f t="shared" si="21"/>
        <v>0</v>
      </c>
      <c r="U113" s="8">
        <f t="shared" si="22"/>
        <v>47.5</v>
      </c>
      <c r="V113" s="10" t="str">
        <f t="shared" si="23"/>
        <v>OK</v>
      </c>
    </row>
  </sheetData>
  <autoFilter ref="A2:W113" xr:uid="{00000000-0001-0000-0100-000000000000}"/>
  <mergeCells count="1">
    <mergeCell ref="A1:V1"/>
  </mergeCells>
  <conditionalFormatting sqref="F57:I58 H60:I60 G78:J78 F3:H113 I40:J40 G37:J37 F5:J5 G21:J21">
    <cfRule type="expression" dxfId="289" priority="182">
      <formula>F3="ABS"</formula>
    </cfRule>
    <cfRule type="expression" dxfId="288" priority="183">
      <formula>IFERROR(ISNUMBER(SEARCH("!",F3)),FALSE)</formula>
    </cfRule>
    <cfRule type="expression" dxfId="287" priority="184">
      <formula>F3="Repos"</formula>
    </cfRule>
  </conditionalFormatting>
  <conditionalFormatting sqref="J88 G78:J78 I40:J40 G37:J37 F3:I113 J21">
    <cfRule type="expression" dxfId="286" priority="172">
      <formula>F3="Repos"</formula>
    </cfRule>
    <cfRule type="expression" dxfId="285" priority="173">
      <formula>F3="ABS"</formula>
    </cfRule>
    <cfRule type="expression" dxfId="284" priority="174">
      <formula>F3="Congé"</formula>
    </cfRule>
    <cfRule type="expression" dxfId="283" priority="175">
      <formula>F3="Férié"</formula>
    </cfRule>
    <cfRule type="expression" dxfId="282" priority="176">
      <formula>F3="STC"</formula>
    </cfRule>
  </conditionalFormatting>
  <conditionalFormatting sqref="F3:L113">
    <cfRule type="expression" dxfId="281" priority="177">
      <formula>F3="ABS"</formula>
    </cfRule>
    <cfRule type="expression" dxfId="280" priority="178">
      <formula>F3="STC"</formula>
    </cfRule>
    <cfRule type="expression" dxfId="279" priority="179">
      <formula>F3="Congé"</formula>
    </cfRule>
    <cfRule type="expression" dxfId="278" priority="180">
      <formula>F3="Férié"</formula>
    </cfRule>
    <cfRule type="expression" dxfId="277" priority="181">
      <formula>F3="Repos"</formula>
    </cfRule>
    <cfRule type="expression" dxfId="276" priority="185">
      <formula>F3="Congé"</formula>
    </cfRule>
    <cfRule type="expression" dxfId="275" priority="186">
      <formula>F3="Congé sans solde"</formula>
    </cfRule>
    <cfRule type="expression" dxfId="274" priority="187">
      <formula>F3="Congé maladie"</formula>
    </cfRule>
    <cfRule type="expression" dxfId="273" priority="188">
      <formula>OR(F3="CSS",F3="CM")</formula>
    </cfRule>
  </conditionalFormatting>
  <conditionalFormatting sqref="I3:I113 J88 J21">
    <cfRule type="expression" dxfId="272" priority="142">
      <formula>I3="ABS"</formula>
    </cfRule>
    <cfRule type="expression" dxfId="271" priority="143">
      <formula>IFERROR(ISNUMBER(SEARCH("!",I3)),FALSE)</formula>
    </cfRule>
    <cfRule type="expression" dxfId="270" priority="144">
      <formula>I3="Repos"</formula>
    </cfRule>
  </conditionalFormatting>
  <conditionalFormatting sqref="I5:I6">
    <cfRule type="expression" dxfId="269" priority="145">
      <formula>I5="ABS"</formula>
    </cfRule>
    <cfRule type="expression" dxfId="268" priority="146">
      <formula>IFERROR(ISNUMBER(SEARCH("!",I5)),FALSE)</formula>
    </cfRule>
    <cfRule type="expression" dxfId="267" priority="147">
      <formula>I5="Repos"</formula>
    </cfRule>
  </conditionalFormatting>
  <conditionalFormatting sqref="I36:J36">
    <cfRule type="expression" dxfId="266" priority="148">
      <formula>I36="ABS"</formula>
    </cfRule>
    <cfRule type="expression" dxfId="265" priority="149">
      <formula>IFERROR(ISNUMBER(SEARCH("!",I36)),FALSE)</formula>
    </cfRule>
    <cfRule type="expression" dxfId="264" priority="150">
      <formula>I36="Repos"</formula>
    </cfRule>
  </conditionalFormatting>
  <conditionalFormatting sqref="I64">
    <cfRule type="expression" dxfId="263" priority="133">
      <formula>I64="ABS"</formula>
    </cfRule>
    <cfRule type="expression" dxfId="262" priority="134">
      <formula>IFERROR(ISNUMBER(SEARCH("!",I64)),FALSE)</formula>
    </cfRule>
    <cfRule type="expression" dxfId="261" priority="135">
      <formula>I64="Repos"</formula>
    </cfRule>
  </conditionalFormatting>
  <conditionalFormatting sqref="I77">
    <cfRule type="expression" dxfId="260" priority="130">
      <formula>I77="ABS"</formula>
    </cfRule>
    <cfRule type="expression" dxfId="259" priority="131">
      <formula>IFERROR(ISNUMBER(SEARCH("!",I77)),FALSE)</formula>
    </cfRule>
    <cfRule type="expression" dxfId="258" priority="132">
      <formula>I77="Repos"</formula>
    </cfRule>
  </conditionalFormatting>
  <conditionalFormatting sqref="I101">
    <cfRule type="expression" dxfId="257" priority="136">
      <formula>I101="ABS"</formula>
    </cfRule>
    <cfRule type="expression" dxfId="256" priority="137">
      <formula>IFERROR(ISNUMBER(SEARCH("!",I101)),FALSE)</formula>
    </cfRule>
    <cfRule type="expression" dxfId="255" priority="138">
      <formula>I101="Repos"</formula>
    </cfRule>
  </conditionalFormatting>
  <conditionalFormatting sqref="I104">
    <cfRule type="expression" dxfId="254" priority="139">
      <formula>I104="ABS"</formula>
    </cfRule>
    <cfRule type="expression" dxfId="253" priority="140">
      <formula>IFERROR(ISNUMBER(SEARCH("!",I104)),FALSE)</formula>
    </cfRule>
    <cfRule type="expression" dxfId="252" priority="141">
      <formula>I104="Repos"</formula>
    </cfRule>
  </conditionalFormatting>
  <conditionalFormatting sqref="J3:J4 J6:J8 J10:J12 J14:J16 J18:J20 J22:J24 J26:J28 J30:J32 J34:J36 J38:J40 J42:J44 J46:J48 J50:J52 J54:J56 J58:J60 J62:J64 J66:J68 J78:J80 J82:J84 J86:J88 J90:J92 J94:J96 J98:J100 J102:J104 J106:J108 J110:J112 J70:J76">
    <cfRule type="expression" dxfId="251" priority="162">
      <formula>J3="Repos"</formula>
    </cfRule>
    <cfRule type="expression" dxfId="250" priority="163">
      <formula>J3="ABS"</formula>
    </cfRule>
    <cfRule type="expression" dxfId="249" priority="164">
      <formula>J3="Congé"</formula>
    </cfRule>
    <cfRule type="expression" dxfId="248" priority="165">
      <formula>J3="Férié"</formula>
    </cfRule>
    <cfRule type="expression" dxfId="247" priority="166">
      <formula>J3="STC"</formula>
    </cfRule>
  </conditionalFormatting>
  <conditionalFormatting sqref="J3:J113">
    <cfRule type="expression" dxfId="246" priority="189">
      <formula>IFERROR(ISNUMBER(SEARCH("!",J3)),FALSE)</formula>
    </cfRule>
    <cfRule type="expression" dxfId="245" priority="190">
      <formula>J3="ABS"</formula>
    </cfRule>
  </conditionalFormatting>
  <conditionalFormatting sqref="K4:L113">
    <cfRule type="expression" dxfId="244" priority="157">
      <formula>K4="Repos"</formula>
    </cfRule>
    <cfRule type="expression" dxfId="243" priority="158">
      <formula>K4="ABS"</formula>
    </cfRule>
    <cfRule type="expression" dxfId="242" priority="159">
      <formula>K4="Congé"</formula>
    </cfRule>
    <cfRule type="expression" dxfId="241" priority="160">
      <formula>K4="Férié"</formula>
    </cfRule>
    <cfRule type="expression" dxfId="240" priority="161">
      <formula>K4="STC"</formula>
    </cfRule>
  </conditionalFormatting>
  <conditionalFormatting sqref="O3:P113">
    <cfRule type="cellIs" dxfId="239" priority="151" operator="greaterThanOrEqual">
      <formula>1</formula>
    </cfRule>
  </conditionalFormatting>
  <conditionalFormatting sqref="P3:R113 M3:N113">
    <cfRule type="cellIs" dxfId="238" priority="155" operator="greaterThan">
      <formula>0</formula>
    </cfRule>
  </conditionalFormatting>
  <conditionalFormatting sqref="Q3:Q113">
    <cfRule type="cellIs" dxfId="237" priority="152" operator="greaterThanOrEqual">
      <formula>1</formula>
    </cfRule>
  </conditionalFormatting>
  <conditionalFormatting sqref="S3:S113">
    <cfRule type="expression" dxfId="236" priority="153">
      <formula>S3="STC"</formula>
    </cfRule>
    <cfRule type="expression" dxfId="235" priority="154">
      <formula>OR(S3="Vérifier",S3="À vérifier")</formula>
    </cfRule>
  </conditionalFormatting>
  <conditionalFormatting sqref="S3:T113">
    <cfRule type="cellIs" dxfId="234" priority="156" operator="greaterThan">
      <formula>0</formula>
    </cfRule>
  </conditionalFormatting>
  <conditionalFormatting sqref="F6:G6">
    <cfRule type="expression" dxfId="233" priority="123">
      <formula>F6="Repos"</formula>
    </cfRule>
    <cfRule type="expression" dxfId="232" priority="124">
      <formula>F6="ABS"</formula>
    </cfRule>
    <cfRule type="expression" dxfId="231" priority="125">
      <formula>F6="Congé"</formula>
    </cfRule>
    <cfRule type="expression" dxfId="230" priority="126">
      <formula>F6="Férié"</formula>
    </cfRule>
    <cfRule type="expression" dxfId="229" priority="127">
      <formula>F6="STC"</formula>
    </cfRule>
  </conditionalFormatting>
  <conditionalFormatting sqref="F6:G6">
    <cfRule type="expression" dxfId="228" priority="128">
      <formula>IFERROR(ISNUMBER(SEARCH("!",F6)),FALSE)</formula>
    </cfRule>
    <cfRule type="expression" dxfId="227" priority="129">
      <formula>F6="ABS"</formula>
    </cfRule>
  </conditionalFormatting>
  <conditionalFormatting sqref="K3:K113">
    <cfRule type="expression" dxfId="226" priority="118">
      <formula>K3="Repos"</formula>
    </cfRule>
    <cfRule type="expression" dxfId="225" priority="119">
      <formula>K3="ABS"</formula>
    </cfRule>
    <cfRule type="expression" dxfId="224" priority="120">
      <formula>K3="Congé"</formula>
    </cfRule>
    <cfRule type="expression" dxfId="223" priority="121">
      <formula>K3="Férié"</formula>
    </cfRule>
    <cfRule type="expression" dxfId="222" priority="122">
      <formula>K3="STC"</formula>
    </cfRule>
  </conditionalFormatting>
  <conditionalFormatting sqref="L3:L113">
    <cfRule type="expression" dxfId="221" priority="113">
      <formula>L3="Repos"</formula>
    </cfRule>
    <cfRule type="expression" dxfId="220" priority="114">
      <formula>L3="ABS"</formula>
    </cfRule>
    <cfRule type="expression" dxfId="219" priority="115">
      <formula>L3="Congé"</formula>
    </cfRule>
    <cfRule type="expression" dxfId="218" priority="116">
      <formula>L3="Férié"</formula>
    </cfRule>
    <cfRule type="expression" dxfId="217" priority="117">
      <formula>L3="STC"</formula>
    </cfRule>
  </conditionalFormatting>
  <conditionalFormatting sqref="J95">
    <cfRule type="expression" dxfId="216" priority="108">
      <formula>J95="Repos"</formula>
    </cfRule>
    <cfRule type="expression" dxfId="215" priority="109">
      <formula>J95="ABS"</formula>
    </cfRule>
    <cfRule type="expression" dxfId="214" priority="110">
      <formula>J95="Congé"</formula>
    </cfRule>
    <cfRule type="expression" dxfId="213" priority="111">
      <formula>J95="Férié"</formula>
    </cfRule>
    <cfRule type="expression" dxfId="212" priority="112">
      <formula>J95="STC"</formula>
    </cfRule>
  </conditionalFormatting>
  <conditionalFormatting sqref="J95">
    <cfRule type="expression" dxfId="211" priority="105">
      <formula>J95="ABS"</formula>
    </cfRule>
    <cfRule type="expression" dxfId="210" priority="106">
      <formula>IFERROR(ISNUMBER(SEARCH("!",J95)),FALSE)</formula>
    </cfRule>
    <cfRule type="expression" dxfId="209" priority="107">
      <formula>J95="Repos"</formula>
    </cfRule>
  </conditionalFormatting>
  <conditionalFormatting sqref="J80">
    <cfRule type="expression" dxfId="208" priority="102">
      <formula>J80="ABS"</formula>
    </cfRule>
    <cfRule type="expression" dxfId="207" priority="103">
      <formula>IFERROR(ISNUMBER(SEARCH("!",J80)),FALSE)</formula>
    </cfRule>
    <cfRule type="expression" dxfId="206" priority="104">
      <formula>J80="Repos"</formula>
    </cfRule>
  </conditionalFormatting>
  <conditionalFormatting sqref="J80">
    <cfRule type="expression" dxfId="205" priority="97">
      <formula>J80="Repos"</formula>
    </cfRule>
    <cfRule type="expression" dxfId="204" priority="98">
      <formula>J80="ABS"</formula>
    </cfRule>
    <cfRule type="expression" dxfId="203" priority="99">
      <formula>J80="Congé"</formula>
    </cfRule>
    <cfRule type="expression" dxfId="202" priority="100">
      <formula>J80="Férié"</formula>
    </cfRule>
    <cfRule type="expression" dxfId="201" priority="101">
      <formula>J80="STC"</formula>
    </cfRule>
  </conditionalFormatting>
  <conditionalFormatting sqref="I55:J55">
    <cfRule type="expression" dxfId="200" priority="94">
      <formula>I55="ABS"</formula>
    </cfRule>
    <cfRule type="expression" dxfId="199" priority="95">
      <formula>IFERROR(ISNUMBER(SEARCH("!",I55)),FALSE)</formula>
    </cfRule>
    <cfRule type="expression" dxfId="198" priority="96">
      <formula>I55="Repos"</formula>
    </cfRule>
  </conditionalFormatting>
  <conditionalFormatting sqref="I55:J55">
    <cfRule type="expression" dxfId="197" priority="89">
      <formula>I55="Repos"</formula>
    </cfRule>
    <cfRule type="expression" dxfId="196" priority="90">
      <formula>I55="ABS"</formula>
    </cfRule>
    <cfRule type="expression" dxfId="195" priority="91">
      <formula>I55="Congé"</formula>
    </cfRule>
    <cfRule type="expression" dxfId="194" priority="92">
      <formula>I55="Férié"</formula>
    </cfRule>
    <cfRule type="expression" dxfId="193" priority="93">
      <formula>I55="STC"</formula>
    </cfRule>
  </conditionalFormatting>
  <conditionalFormatting sqref="I55">
    <cfRule type="expression" dxfId="192" priority="82">
      <formula>I55="Repos"</formula>
    </cfRule>
    <cfRule type="expression" dxfId="191" priority="83">
      <formula>I55="ABS"</formula>
    </cfRule>
    <cfRule type="expression" dxfId="190" priority="84">
      <formula>I55="Congé"</formula>
    </cfRule>
    <cfRule type="expression" dxfId="189" priority="85">
      <formula>I55="Férié"</formula>
    </cfRule>
    <cfRule type="expression" dxfId="188" priority="86">
      <formula>I55="STC"</formula>
    </cfRule>
  </conditionalFormatting>
  <conditionalFormatting sqref="I55">
    <cfRule type="expression" dxfId="187" priority="87">
      <formula>IFERROR(ISNUMBER(SEARCH("!",I55)),FALSE)</formula>
    </cfRule>
    <cfRule type="expression" dxfId="186" priority="88">
      <formula>I55="ABS"</formula>
    </cfRule>
  </conditionalFormatting>
  <conditionalFormatting sqref="J36">
    <cfRule type="expression" dxfId="185" priority="77">
      <formula>J36="Repos"</formula>
    </cfRule>
    <cfRule type="expression" dxfId="184" priority="78">
      <formula>J36="ABS"</formula>
    </cfRule>
    <cfRule type="expression" dxfId="183" priority="79">
      <formula>J36="Congé"</formula>
    </cfRule>
    <cfRule type="expression" dxfId="182" priority="80">
      <formula>J36="Férié"</formula>
    </cfRule>
    <cfRule type="expression" dxfId="181" priority="81">
      <formula>J36="STC"</formula>
    </cfRule>
  </conditionalFormatting>
  <conditionalFormatting sqref="J36">
    <cfRule type="expression" dxfId="180" priority="74">
      <formula>J36="ABS"</formula>
    </cfRule>
    <cfRule type="expression" dxfId="179" priority="75">
      <formula>IFERROR(ISNUMBER(SEARCH("!",J36)),FALSE)</formula>
    </cfRule>
    <cfRule type="expression" dxfId="178" priority="76">
      <formula>J36="Repos"</formula>
    </cfRule>
  </conditionalFormatting>
  <conditionalFormatting sqref="J35">
    <cfRule type="expression" dxfId="177" priority="69">
      <formula>J35="Repos"</formula>
    </cfRule>
    <cfRule type="expression" dxfId="176" priority="70">
      <formula>J35="ABS"</formula>
    </cfRule>
    <cfRule type="expression" dxfId="175" priority="71">
      <formula>J35="Congé"</formula>
    </cfRule>
    <cfRule type="expression" dxfId="174" priority="72">
      <formula>J35="Férié"</formula>
    </cfRule>
    <cfRule type="expression" dxfId="173" priority="73">
      <formula>J35="STC"</formula>
    </cfRule>
  </conditionalFormatting>
  <conditionalFormatting sqref="J35">
    <cfRule type="expression" dxfId="172" priority="66">
      <formula>J35="ABS"</formula>
    </cfRule>
    <cfRule type="expression" dxfId="171" priority="67">
      <formula>IFERROR(ISNUMBER(SEARCH("!",J35)),FALSE)</formula>
    </cfRule>
    <cfRule type="expression" dxfId="170" priority="68">
      <formula>J35="Repos"</formula>
    </cfRule>
  </conditionalFormatting>
  <conditionalFormatting sqref="J28">
    <cfRule type="expression" dxfId="169" priority="61">
      <formula>J28="Repos"</formula>
    </cfRule>
    <cfRule type="expression" dxfId="168" priority="62">
      <formula>J28="ABS"</formula>
    </cfRule>
    <cfRule type="expression" dxfId="167" priority="63">
      <formula>J28="Congé"</formula>
    </cfRule>
    <cfRule type="expression" dxfId="166" priority="64">
      <formula>J28="Férié"</formula>
    </cfRule>
    <cfRule type="expression" dxfId="165" priority="65">
      <formula>J28="STC"</formula>
    </cfRule>
  </conditionalFormatting>
  <conditionalFormatting sqref="J28">
    <cfRule type="expression" dxfId="164" priority="58">
      <formula>J28="ABS"</formula>
    </cfRule>
    <cfRule type="expression" dxfId="163" priority="59">
      <formula>IFERROR(ISNUMBER(SEARCH("!",J28)),FALSE)</formula>
    </cfRule>
    <cfRule type="expression" dxfId="162" priority="60">
      <formula>J28="Repos"</formula>
    </cfRule>
  </conditionalFormatting>
  <conditionalFormatting sqref="J5">
    <cfRule type="expression" dxfId="161" priority="53">
      <formula>J5="Repos"</formula>
    </cfRule>
    <cfRule type="expression" dxfId="160" priority="54">
      <formula>J5="ABS"</formula>
    </cfRule>
    <cfRule type="expression" dxfId="159" priority="55">
      <formula>J5="Congé"</formula>
    </cfRule>
    <cfRule type="expression" dxfId="158" priority="56">
      <formula>J5="Férié"</formula>
    </cfRule>
    <cfRule type="expression" dxfId="157" priority="57">
      <formula>J5="STC"</formula>
    </cfRule>
  </conditionalFormatting>
  <conditionalFormatting sqref="J5">
    <cfRule type="expression" dxfId="156" priority="47">
      <formula>J5="ABS"</formula>
    </cfRule>
    <cfRule type="expression" dxfId="155" priority="48">
      <formula>IFERROR(ISNUMBER(SEARCH("!",J5)),FALSE)</formula>
    </cfRule>
    <cfRule type="expression" dxfId="154" priority="49">
      <formula>J5="Repos"</formula>
    </cfRule>
  </conditionalFormatting>
  <conditionalFormatting sqref="J5">
    <cfRule type="expression" dxfId="153" priority="50">
      <formula>J5="ABS"</formula>
    </cfRule>
    <cfRule type="expression" dxfId="152" priority="51">
      <formula>IFERROR(ISNUMBER(SEARCH("!",J5)),FALSE)</formula>
    </cfRule>
    <cfRule type="expression" dxfId="151" priority="52">
      <formula>J5="Repos"</formula>
    </cfRule>
  </conditionalFormatting>
  <conditionalFormatting sqref="I76">
    <cfRule type="expression" dxfId="150" priority="44">
      <formula>I76="ABS"</formula>
    </cfRule>
    <cfRule type="expression" dxfId="149" priority="45">
      <formula>IFERROR(ISNUMBER(SEARCH("!",I76)),FALSE)</formula>
    </cfRule>
    <cfRule type="expression" dxfId="148" priority="46">
      <formula>I76="Repos"</formula>
    </cfRule>
  </conditionalFormatting>
  <conditionalFormatting sqref="I73">
    <cfRule type="expression" dxfId="147" priority="41">
      <formula>I73="ABS"</formula>
    </cfRule>
    <cfRule type="expression" dxfId="146" priority="42">
      <formula>IFERROR(ISNUMBER(SEARCH("!",I73)),FALSE)</formula>
    </cfRule>
    <cfRule type="expression" dxfId="145" priority="43">
      <formula>I73="Repos"</formula>
    </cfRule>
  </conditionalFormatting>
  <conditionalFormatting sqref="J73">
    <cfRule type="expression" dxfId="144" priority="38">
      <formula>J73="ABS"</formula>
    </cfRule>
    <cfRule type="expression" dxfId="143" priority="39">
      <formula>IFERROR(ISNUMBER(SEARCH("!",J73)),FALSE)</formula>
    </cfRule>
    <cfRule type="expression" dxfId="142" priority="40">
      <formula>J73="Repos"</formula>
    </cfRule>
  </conditionalFormatting>
  <conditionalFormatting sqref="J73">
    <cfRule type="expression" dxfId="141" priority="33">
      <formula>J73="Repos"</formula>
    </cfRule>
    <cfRule type="expression" dxfId="140" priority="34">
      <formula>J73="ABS"</formula>
    </cfRule>
    <cfRule type="expression" dxfId="139" priority="35">
      <formula>J73="Congé"</formula>
    </cfRule>
    <cfRule type="expression" dxfId="138" priority="36">
      <formula>J73="Férié"</formula>
    </cfRule>
    <cfRule type="expression" dxfId="137" priority="37">
      <formula>J73="STC"</formula>
    </cfRule>
  </conditionalFormatting>
  <conditionalFormatting sqref="I6">
    <cfRule type="expression" dxfId="136" priority="30">
      <formula>I6="ABS"</formula>
    </cfRule>
    <cfRule type="expression" dxfId="135" priority="31">
      <formula>IFERROR(ISNUMBER(SEARCH("!",I6)),FALSE)</formula>
    </cfRule>
    <cfRule type="expression" dxfId="134" priority="32">
      <formula>I6="Repos"</formula>
    </cfRule>
  </conditionalFormatting>
  <conditionalFormatting sqref="I6">
    <cfRule type="expression" dxfId="133" priority="23">
      <formula>I6="Repos"</formula>
    </cfRule>
    <cfRule type="expression" dxfId="132" priority="24">
      <formula>I6="ABS"</formula>
    </cfRule>
    <cfRule type="expression" dxfId="131" priority="25">
      <formula>I6="Congé"</formula>
    </cfRule>
    <cfRule type="expression" dxfId="130" priority="26">
      <formula>I6="Férié"</formula>
    </cfRule>
    <cfRule type="expression" dxfId="129" priority="27">
      <formula>I6="STC"</formula>
    </cfRule>
  </conditionalFormatting>
  <conditionalFormatting sqref="I6">
    <cfRule type="expression" dxfId="128" priority="28">
      <formula>IFERROR(ISNUMBER(SEARCH("!",I6)),FALSE)</formula>
    </cfRule>
    <cfRule type="expression" dxfId="127" priority="29">
      <formula>I6="ABS"</formula>
    </cfRule>
  </conditionalFormatting>
  <conditionalFormatting sqref="J57">
    <cfRule type="expression" dxfId="21" priority="20">
      <formula>J57="ABS"</formula>
    </cfRule>
    <cfRule type="expression" dxfId="20" priority="21">
      <formula>IFERROR(ISNUMBER(SEARCH("!",J57)),FALSE)</formula>
    </cfRule>
    <cfRule type="expression" dxfId="19" priority="22">
      <formula>J57="Repos"</formula>
    </cfRule>
  </conditionalFormatting>
  <conditionalFormatting sqref="J57">
    <cfRule type="expression" dxfId="18" priority="15">
      <formula>J57="Repos"</formula>
    </cfRule>
    <cfRule type="expression" dxfId="17" priority="16">
      <formula>J57="ABS"</formula>
    </cfRule>
    <cfRule type="expression" dxfId="16" priority="17">
      <formula>J57="Congé"</formula>
    </cfRule>
    <cfRule type="expression" dxfId="15" priority="18">
      <formula>J57="Férié"</formula>
    </cfRule>
    <cfRule type="expression" dxfId="14" priority="19">
      <formula>J57="STC"</formula>
    </cfRule>
  </conditionalFormatting>
  <conditionalFormatting sqref="J57">
    <cfRule type="expression" dxfId="13" priority="12">
      <formula>J57="ABS"</formula>
    </cfRule>
    <cfRule type="expression" dxfId="12" priority="13">
      <formula>IFERROR(ISNUMBER(SEARCH("!",J57)),FALSE)</formula>
    </cfRule>
    <cfRule type="expression" dxfId="11" priority="14">
      <formula>J57="Repos"</formula>
    </cfRule>
  </conditionalFormatting>
  <conditionalFormatting sqref="J58">
    <cfRule type="expression" dxfId="10" priority="9">
      <formula>J58="ABS"</formula>
    </cfRule>
    <cfRule type="expression" dxfId="9" priority="10">
      <formula>IFERROR(ISNUMBER(SEARCH("!",J58)),FALSE)</formula>
    </cfRule>
    <cfRule type="expression" dxfId="8" priority="11">
      <formula>J58="Repos"</formula>
    </cfRule>
  </conditionalFormatting>
  <conditionalFormatting sqref="J58">
    <cfRule type="expression" dxfId="7" priority="4">
      <formula>J58="Repos"</formula>
    </cfRule>
    <cfRule type="expression" dxfId="6" priority="5">
      <formula>J58="ABS"</formula>
    </cfRule>
    <cfRule type="expression" dxfId="5" priority="6">
      <formula>J58="Congé"</formula>
    </cfRule>
    <cfRule type="expression" dxfId="4" priority="7">
      <formula>J58="Férié"</formula>
    </cfRule>
    <cfRule type="expression" dxfId="3" priority="8">
      <formula>J58="STC"</formula>
    </cfRule>
  </conditionalFormatting>
  <conditionalFormatting sqref="J58">
    <cfRule type="expression" dxfId="2" priority="1">
      <formula>J58="ABS"</formula>
    </cfRule>
    <cfRule type="expression" dxfId="1" priority="2">
      <formula>IFERROR(ISNUMBER(SEARCH("!",J58)),FALSE)</formula>
    </cfRule>
    <cfRule type="expression" dxfId="0" priority="3">
      <formula>J58="Repos"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13"/>
  <sheetViews>
    <sheetView workbookViewId="0"/>
  </sheetViews>
  <sheetFormatPr baseColWidth="10" defaultColWidth="9" defaultRowHeight="14.25"/>
  <cols>
    <col min="1" max="1" width="9" style="16" customWidth="1"/>
    <col min="2" max="2" width="18" customWidth="1"/>
    <col min="3" max="3" width="17" customWidth="1"/>
    <col min="4" max="4" width="17.75" customWidth="1"/>
    <col min="5" max="5" width="10.5" style="16" customWidth="1"/>
    <col min="6" max="12" width="5.75" customWidth="1"/>
    <col min="13" max="22" width="8" customWidth="1"/>
  </cols>
  <sheetData>
    <row r="1" spans="1:24" ht="18">
      <c r="A1" s="32" t="s">
        <v>314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"/>
      <c r="X1" s="3"/>
    </row>
    <row r="2" spans="1:24" ht="33.950000000000003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315</v>
      </c>
      <c r="G2" s="4" t="s">
        <v>316</v>
      </c>
      <c r="H2" s="4" t="s">
        <v>317</v>
      </c>
      <c r="I2" s="4" t="s">
        <v>318</v>
      </c>
      <c r="J2" s="4" t="s">
        <v>319</v>
      </c>
      <c r="K2" s="4" t="s">
        <v>320</v>
      </c>
      <c r="L2" s="4" t="s">
        <v>321</v>
      </c>
      <c r="M2" s="4" t="s">
        <v>7</v>
      </c>
      <c r="N2" s="4" t="s">
        <v>8</v>
      </c>
      <c r="O2" s="4" t="s">
        <v>9</v>
      </c>
      <c r="P2" s="4" t="s">
        <v>10</v>
      </c>
      <c r="Q2" s="4" t="s">
        <v>11</v>
      </c>
      <c r="R2" s="4" t="s">
        <v>12</v>
      </c>
      <c r="S2" s="20" t="s">
        <v>13</v>
      </c>
      <c r="T2" s="4" t="s">
        <v>14</v>
      </c>
      <c r="U2" s="4" t="s">
        <v>15</v>
      </c>
      <c r="V2" s="4" t="s">
        <v>16</v>
      </c>
    </row>
    <row r="3" spans="1:24">
      <c r="A3" s="17" t="s">
        <v>17</v>
      </c>
      <c r="B3" s="5" t="s">
        <v>18</v>
      </c>
      <c r="C3" s="5" t="s">
        <v>19</v>
      </c>
      <c r="D3" s="5" t="s">
        <v>20</v>
      </c>
      <c r="E3" s="17" t="s">
        <v>21</v>
      </c>
      <c r="F3" s="6"/>
      <c r="G3" s="7"/>
      <c r="H3" s="7"/>
      <c r="I3" s="7"/>
      <c r="J3" s="7"/>
      <c r="K3" s="7"/>
      <c r="L3" s="7"/>
      <c r="M3" s="8">
        <f>48</f>
        <v>48</v>
      </c>
      <c r="N3" s="8">
        <f t="shared" ref="N3:N34" si="0">SUM(F3:L3)*24</f>
        <v>0</v>
      </c>
      <c r="O3" s="8">
        <f>IF(COUNTIF(PARAMETRES_REGIMES!$A$3:$A$100,$A3)&gt;0,MIN(M3,SUM(F3:L3)*24),MIN(M3,SUM(F3:K3)*24))</f>
        <v>0</v>
      </c>
      <c r="P3" s="9">
        <f>IF(COUNTIF(PARAMETRES_REGIMES!$A$3:$A$100,$A3)&gt;0,FLOOR(MAX(SUM(F3:L3)*24-M3,0),0.5),FLOOR(MAX(SUM(F3:K3)*24-M3,0),0.5))</f>
        <v>0</v>
      </c>
      <c r="Q3" s="9">
        <f>IF(COUNTIF(PARAMETRES_REGIMES!$A$3:$A$100,$A3)&gt;0,0,IF(ISNUMBER(L3),FLOOR(MAX(L3*24,0),0.5),0))</f>
        <v>0</v>
      </c>
      <c r="R3" s="8">
        <f t="shared" ref="R3:R34" si="1">COUNTIF(F3:L3,"ABS")</f>
        <v>0</v>
      </c>
      <c r="S3" s="8">
        <f t="shared" ref="S3:S34" si="2">COUNTIF(F3:L3,"Congé")</f>
        <v>0</v>
      </c>
      <c r="T3" s="8">
        <f t="shared" ref="T3:T34" si="3">COUNTIF(F3:L3,"Férié")</f>
        <v>0</v>
      </c>
      <c r="U3" s="8">
        <f t="shared" ref="U3:U34" si="4">O3+P3+Q3+(T3*8.5)</f>
        <v>0</v>
      </c>
      <c r="V3" s="10" t="str">
        <f t="shared" ref="V3:V34" si="5">IF(COUNTIF(F3:L3,"STC")&gt;0,"STC",IF(COUNTIF(F3:L3,"*!*")&gt;0,"À vérifier","OK"))</f>
        <v>OK</v>
      </c>
    </row>
    <row r="4" spans="1:24">
      <c r="A4" s="17" t="s">
        <v>23</v>
      </c>
      <c r="B4" s="5" t="s">
        <v>24</v>
      </c>
      <c r="C4" s="5" t="s">
        <v>25</v>
      </c>
      <c r="D4" s="5" t="s">
        <v>20</v>
      </c>
      <c r="E4" s="17" t="s">
        <v>21</v>
      </c>
      <c r="F4" s="6"/>
      <c r="G4" s="7"/>
      <c r="H4" s="7"/>
      <c r="I4" s="7"/>
      <c r="J4" s="7"/>
      <c r="K4" s="7"/>
      <c r="L4" s="7"/>
      <c r="M4" s="8">
        <f>48</f>
        <v>48</v>
      </c>
      <c r="N4" s="8">
        <f t="shared" si="0"/>
        <v>0</v>
      </c>
      <c r="O4" s="8">
        <f>IF(COUNTIF(PARAMETRES_REGIMES!$A$3:$A$100,$A4)&gt;0,MIN(M4,SUM(F4:L4)*24),MIN(M4,SUM(F4:K4)*24))</f>
        <v>0</v>
      </c>
      <c r="P4" s="9">
        <f>IF(COUNTIF(PARAMETRES_REGIMES!$A$3:$A$100,$A4)&gt;0,FLOOR(MAX(SUM(F4:L4)*24-M4,0),0.5),FLOOR(MAX(SUM(F4:K4)*24-M4,0),0.5))</f>
        <v>0</v>
      </c>
      <c r="Q4" s="9">
        <f>IF(COUNTIF(PARAMETRES_REGIMES!$A$3:$A$100,$A4)&gt;0,0,IF(ISNUMBER(L4),FLOOR(MAX(L4*24,0),0.5),0))</f>
        <v>0</v>
      </c>
      <c r="R4" s="8">
        <f t="shared" si="1"/>
        <v>0</v>
      </c>
      <c r="S4" s="8">
        <f t="shared" si="2"/>
        <v>0</v>
      </c>
      <c r="T4" s="8">
        <f t="shared" si="3"/>
        <v>0</v>
      </c>
      <c r="U4" s="8">
        <f t="shared" si="4"/>
        <v>0</v>
      </c>
      <c r="V4" s="10" t="str">
        <f t="shared" si="5"/>
        <v>OK</v>
      </c>
    </row>
    <row r="5" spans="1:24">
      <c r="A5" s="17" t="s">
        <v>26</v>
      </c>
      <c r="B5" s="5" t="s">
        <v>27</v>
      </c>
      <c r="C5" s="5" t="s">
        <v>28</v>
      </c>
      <c r="D5" s="5" t="s">
        <v>20</v>
      </c>
      <c r="E5" s="17" t="s">
        <v>21</v>
      </c>
      <c r="F5" s="6"/>
      <c r="G5" s="7"/>
      <c r="H5" s="7"/>
      <c r="I5" s="7"/>
      <c r="J5" s="7"/>
      <c r="K5" s="7"/>
      <c r="L5" s="7"/>
      <c r="M5" s="8">
        <f>48</f>
        <v>48</v>
      </c>
      <c r="N5" s="8">
        <f t="shared" si="0"/>
        <v>0</v>
      </c>
      <c r="O5" s="8">
        <f>IF(COUNTIF(PARAMETRES_REGIMES!$A$3:$A$100,$A5)&gt;0,MIN(M5,SUM(F5:L5)*24),MIN(M5,SUM(F5:K5)*24))</f>
        <v>0</v>
      </c>
      <c r="P5" s="9">
        <f>IF(COUNTIF(PARAMETRES_REGIMES!$A$3:$A$100,$A5)&gt;0,FLOOR(MAX(SUM(F5:L5)*24-M5,0),0.5),FLOOR(MAX(SUM(F5:K5)*24-M5,0),0.5))</f>
        <v>0</v>
      </c>
      <c r="Q5" s="9">
        <f>IF(COUNTIF(PARAMETRES_REGIMES!$A$3:$A$100,$A5)&gt;0,0,IF(ISNUMBER(L5),FLOOR(MAX(L5*24,0),0.5),0))</f>
        <v>0</v>
      </c>
      <c r="R5" s="8">
        <f t="shared" si="1"/>
        <v>0</v>
      </c>
      <c r="S5" s="8">
        <f t="shared" si="2"/>
        <v>0</v>
      </c>
      <c r="T5" s="8">
        <f t="shared" si="3"/>
        <v>0</v>
      </c>
      <c r="U5" s="8">
        <f t="shared" si="4"/>
        <v>0</v>
      </c>
      <c r="V5" s="10" t="str">
        <f t="shared" si="5"/>
        <v>OK</v>
      </c>
    </row>
    <row r="6" spans="1:24">
      <c r="A6" s="17">
        <v>124</v>
      </c>
      <c r="B6" s="5" t="s">
        <v>29</v>
      </c>
      <c r="C6" s="5" t="s">
        <v>30</v>
      </c>
      <c r="D6" s="5" t="s">
        <v>31</v>
      </c>
      <c r="E6" s="17" t="s">
        <v>21</v>
      </c>
      <c r="F6" s="6"/>
      <c r="G6" s="7"/>
      <c r="H6" s="7"/>
      <c r="I6" s="7"/>
      <c r="J6" s="7"/>
      <c r="K6" s="7"/>
      <c r="L6" s="7"/>
      <c r="M6" s="8">
        <f>48</f>
        <v>48</v>
      </c>
      <c r="N6" s="8">
        <f t="shared" si="0"/>
        <v>0</v>
      </c>
      <c r="O6" s="8">
        <f>IF(COUNTIF(PARAMETRES_REGIMES!$A$3:$A$100,$A6)&gt;0,MIN(M6,SUM(F6:L6)*24),MIN(M6,SUM(F6:K6)*24))</f>
        <v>0</v>
      </c>
      <c r="P6" s="9">
        <f>IF(COUNTIF(PARAMETRES_REGIMES!$A$3:$A$100,$A6)&gt;0,FLOOR(MAX(SUM(F6:L6)*24-M6,0),0.5),FLOOR(MAX(SUM(F6:K6)*24-M6,0),0.5))</f>
        <v>0</v>
      </c>
      <c r="Q6" s="9">
        <f>IF(COUNTIF(PARAMETRES_REGIMES!$A$3:$A$100,$A6)&gt;0,0,IF(ISNUMBER(L6),FLOOR(MAX(L6*24,0),0.5),0))</f>
        <v>0</v>
      </c>
      <c r="R6" s="8">
        <f t="shared" si="1"/>
        <v>0</v>
      </c>
      <c r="S6" s="8">
        <f t="shared" si="2"/>
        <v>0</v>
      </c>
      <c r="T6" s="8">
        <f t="shared" si="3"/>
        <v>0</v>
      </c>
      <c r="U6" s="8">
        <f t="shared" si="4"/>
        <v>0</v>
      </c>
      <c r="V6" s="10" t="str">
        <f t="shared" si="5"/>
        <v>OK</v>
      </c>
    </row>
    <row r="7" spans="1:24">
      <c r="A7" s="17" t="s">
        <v>32</v>
      </c>
      <c r="B7" s="5" t="s">
        <v>33</v>
      </c>
      <c r="C7" s="5" t="s">
        <v>34</v>
      </c>
      <c r="D7" s="5" t="s">
        <v>31</v>
      </c>
      <c r="E7" s="17" t="s">
        <v>21</v>
      </c>
      <c r="F7" s="6"/>
      <c r="G7" s="7"/>
      <c r="H7" s="7"/>
      <c r="I7" s="7"/>
      <c r="J7" s="7"/>
      <c r="K7" s="7"/>
      <c r="L7" s="7"/>
      <c r="M7" s="8">
        <f>48</f>
        <v>48</v>
      </c>
      <c r="N7" s="8">
        <f t="shared" si="0"/>
        <v>0</v>
      </c>
      <c r="O7" s="8">
        <f>IF(COUNTIF(PARAMETRES_REGIMES!$A$3:$A$100,$A7)&gt;0,MIN(M7,SUM(F7:L7)*24),MIN(M7,SUM(F7:K7)*24))</f>
        <v>0</v>
      </c>
      <c r="P7" s="9">
        <f>IF(COUNTIF(PARAMETRES_REGIMES!$A$3:$A$100,$A7)&gt;0,FLOOR(MAX(SUM(F7:L7)*24-M7,0),0.5),FLOOR(MAX(SUM(F7:K7)*24-M7,0),0.5))</f>
        <v>0</v>
      </c>
      <c r="Q7" s="9">
        <f>IF(COUNTIF(PARAMETRES_REGIMES!$A$3:$A$100,$A7)&gt;0,0,IF(ISNUMBER(L7),FLOOR(MAX(L7*24,0),0.5),0))</f>
        <v>0</v>
      </c>
      <c r="R7" s="8">
        <f t="shared" si="1"/>
        <v>0</v>
      </c>
      <c r="S7" s="8">
        <f t="shared" si="2"/>
        <v>0</v>
      </c>
      <c r="T7" s="8">
        <f t="shared" si="3"/>
        <v>0</v>
      </c>
      <c r="U7" s="8">
        <f t="shared" si="4"/>
        <v>0</v>
      </c>
      <c r="V7" s="10" t="str">
        <f t="shared" si="5"/>
        <v>OK</v>
      </c>
    </row>
    <row r="8" spans="1:24">
      <c r="A8" s="17" t="s">
        <v>35</v>
      </c>
      <c r="B8" s="5" t="s">
        <v>36</v>
      </c>
      <c r="C8" s="5" t="s">
        <v>37</v>
      </c>
      <c r="D8" s="5" t="s">
        <v>31</v>
      </c>
      <c r="E8" s="17" t="s">
        <v>21</v>
      </c>
      <c r="F8" s="6"/>
      <c r="G8" s="7"/>
      <c r="H8" s="7"/>
      <c r="I8" s="7"/>
      <c r="J8" s="7"/>
      <c r="K8" s="7"/>
      <c r="L8" s="7"/>
      <c r="M8" s="8">
        <f>48</f>
        <v>48</v>
      </c>
      <c r="N8" s="8">
        <f t="shared" si="0"/>
        <v>0</v>
      </c>
      <c r="O8" s="8">
        <f>IF(COUNTIF(PARAMETRES_REGIMES!$A$3:$A$100,$A8)&gt;0,MIN(M8,SUM(F8:L8)*24),MIN(M8,SUM(F8:K8)*24))</f>
        <v>0</v>
      </c>
      <c r="P8" s="9">
        <f>IF(COUNTIF(PARAMETRES_REGIMES!$A$3:$A$100,$A8)&gt;0,FLOOR(MAX(SUM(F8:L8)*24-M8,0),0.5),FLOOR(MAX(SUM(F8:K8)*24-M8,0),0.5))</f>
        <v>0</v>
      </c>
      <c r="Q8" s="9">
        <f>IF(COUNTIF(PARAMETRES_REGIMES!$A$3:$A$100,$A8)&gt;0,0,IF(ISNUMBER(L8),FLOOR(MAX(L8*24,0),0.5),0))</f>
        <v>0</v>
      </c>
      <c r="R8" s="8">
        <f t="shared" si="1"/>
        <v>0</v>
      </c>
      <c r="S8" s="8">
        <f t="shared" si="2"/>
        <v>0</v>
      </c>
      <c r="T8" s="8">
        <f t="shared" si="3"/>
        <v>0</v>
      </c>
      <c r="U8" s="8">
        <f t="shared" si="4"/>
        <v>0</v>
      </c>
      <c r="V8" s="10" t="str">
        <f t="shared" si="5"/>
        <v>OK</v>
      </c>
    </row>
    <row r="9" spans="1:24">
      <c r="A9" s="17" t="s">
        <v>38</v>
      </c>
      <c r="B9" s="5" t="s">
        <v>39</v>
      </c>
      <c r="C9" s="5" t="s">
        <v>40</v>
      </c>
      <c r="D9" s="5" t="s">
        <v>31</v>
      </c>
      <c r="E9" s="17" t="s">
        <v>21</v>
      </c>
      <c r="F9" s="6"/>
      <c r="G9" s="7"/>
      <c r="H9" s="7"/>
      <c r="I9" s="7"/>
      <c r="J9" s="7"/>
      <c r="K9" s="7"/>
      <c r="L9" s="7"/>
      <c r="M9" s="8">
        <f>48</f>
        <v>48</v>
      </c>
      <c r="N9" s="8">
        <f t="shared" si="0"/>
        <v>0</v>
      </c>
      <c r="O9" s="8">
        <f>IF(COUNTIF(PARAMETRES_REGIMES!$A$3:$A$100,$A9)&gt;0,MIN(M9,SUM(F9:L9)*24),MIN(M9,SUM(F9:K9)*24))</f>
        <v>0</v>
      </c>
      <c r="P9" s="9">
        <f>IF(COUNTIF(PARAMETRES_REGIMES!$A$3:$A$100,$A9)&gt;0,FLOOR(MAX(SUM(F9:L9)*24-M9,0),0.5),FLOOR(MAX(SUM(F9:K9)*24-M9,0),0.5))</f>
        <v>0</v>
      </c>
      <c r="Q9" s="9">
        <f>IF(COUNTIF(PARAMETRES_REGIMES!$A$3:$A$100,$A9)&gt;0,0,IF(ISNUMBER(L9),FLOOR(MAX(L9*24,0),0.5),0))</f>
        <v>0</v>
      </c>
      <c r="R9" s="8">
        <f t="shared" si="1"/>
        <v>0</v>
      </c>
      <c r="S9" s="8">
        <f t="shared" si="2"/>
        <v>0</v>
      </c>
      <c r="T9" s="8">
        <f t="shared" si="3"/>
        <v>0</v>
      </c>
      <c r="U9" s="8">
        <f t="shared" si="4"/>
        <v>0</v>
      </c>
      <c r="V9" s="10" t="str">
        <f t="shared" si="5"/>
        <v>OK</v>
      </c>
    </row>
    <row r="10" spans="1:24">
      <c r="A10" s="17" t="s">
        <v>41</v>
      </c>
      <c r="B10" s="5" t="s">
        <v>42</v>
      </c>
      <c r="C10" s="5" t="s">
        <v>43</v>
      </c>
      <c r="D10" s="5" t="s">
        <v>31</v>
      </c>
      <c r="E10" s="17" t="s">
        <v>21</v>
      </c>
      <c r="F10" s="6"/>
      <c r="G10" s="7"/>
      <c r="H10" s="7"/>
      <c r="I10" s="7"/>
      <c r="J10" s="7"/>
      <c r="K10" s="7"/>
      <c r="L10" s="7"/>
      <c r="M10" s="8">
        <f>48</f>
        <v>48</v>
      </c>
      <c r="N10" s="8">
        <f t="shared" si="0"/>
        <v>0</v>
      </c>
      <c r="O10" s="8">
        <f>IF(COUNTIF(PARAMETRES_REGIMES!$A$3:$A$100,$A10)&gt;0,MIN(M10,SUM(F10:L10)*24),MIN(M10,SUM(F10:K10)*24))</f>
        <v>0</v>
      </c>
      <c r="P10" s="9">
        <f>IF(COUNTIF(PARAMETRES_REGIMES!$A$3:$A$100,$A10)&gt;0,FLOOR(MAX(SUM(F10:L10)*24-M10,0),0.5),FLOOR(MAX(SUM(F10:K10)*24-M10,0),0.5))</f>
        <v>0</v>
      </c>
      <c r="Q10" s="9">
        <f>IF(COUNTIF(PARAMETRES_REGIMES!$A$3:$A$100,$A10)&gt;0,0,IF(ISNUMBER(L10),FLOOR(MAX(L10*24,0),0.5),0))</f>
        <v>0</v>
      </c>
      <c r="R10" s="8">
        <f t="shared" si="1"/>
        <v>0</v>
      </c>
      <c r="S10" s="8">
        <f t="shared" si="2"/>
        <v>0</v>
      </c>
      <c r="T10" s="8">
        <f t="shared" si="3"/>
        <v>0</v>
      </c>
      <c r="U10" s="8">
        <f t="shared" si="4"/>
        <v>0</v>
      </c>
      <c r="V10" s="10" t="str">
        <f t="shared" si="5"/>
        <v>OK</v>
      </c>
    </row>
    <row r="11" spans="1:24">
      <c r="A11" s="17" t="s">
        <v>44</v>
      </c>
      <c r="B11" s="5" t="s">
        <v>45</v>
      </c>
      <c r="C11" s="5" t="s">
        <v>46</v>
      </c>
      <c r="D11" s="5" t="s">
        <v>31</v>
      </c>
      <c r="E11" s="17" t="s">
        <v>21</v>
      </c>
      <c r="F11" s="6"/>
      <c r="G11" s="7"/>
      <c r="H11" s="7"/>
      <c r="I11" s="7"/>
      <c r="J11" s="7"/>
      <c r="K11" s="7"/>
      <c r="L11" s="7"/>
      <c r="M11" s="8">
        <f>48</f>
        <v>48</v>
      </c>
      <c r="N11" s="8">
        <f t="shared" si="0"/>
        <v>0</v>
      </c>
      <c r="O11" s="8">
        <f>IF(COUNTIF(PARAMETRES_REGIMES!$A$3:$A$100,$A11)&gt;0,MIN(M11,SUM(F11:L11)*24),MIN(M11,SUM(F11:K11)*24))</f>
        <v>0</v>
      </c>
      <c r="P11" s="9">
        <f>IF(COUNTIF(PARAMETRES_REGIMES!$A$3:$A$100,$A11)&gt;0,FLOOR(MAX(SUM(F11:L11)*24-M11,0),0.5),FLOOR(MAX(SUM(F11:K11)*24-M11,0),0.5))</f>
        <v>0</v>
      </c>
      <c r="Q11" s="9">
        <f>IF(COUNTIF(PARAMETRES_REGIMES!$A$3:$A$100,$A11)&gt;0,0,IF(ISNUMBER(L11),FLOOR(MAX(L11*24,0),0.5),0))</f>
        <v>0</v>
      </c>
      <c r="R11" s="8">
        <f t="shared" si="1"/>
        <v>0</v>
      </c>
      <c r="S11" s="8">
        <f t="shared" si="2"/>
        <v>0</v>
      </c>
      <c r="T11" s="8">
        <f t="shared" si="3"/>
        <v>0</v>
      </c>
      <c r="U11" s="8">
        <f t="shared" si="4"/>
        <v>0</v>
      </c>
      <c r="V11" s="10" t="str">
        <f t="shared" si="5"/>
        <v>OK</v>
      </c>
    </row>
    <row r="12" spans="1:24">
      <c r="A12" s="17" t="s">
        <v>47</v>
      </c>
      <c r="B12" s="5" t="s">
        <v>28</v>
      </c>
      <c r="C12" s="5" t="s">
        <v>48</v>
      </c>
      <c r="D12" s="5" t="s">
        <v>49</v>
      </c>
      <c r="E12" s="17" t="s">
        <v>21</v>
      </c>
      <c r="F12" s="6"/>
      <c r="G12" s="7"/>
      <c r="H12" s="7"/>
      <c r="I12" s="7"/>
      <c r="J12" s="7"/>
      <c r="K12" s="7"/>
      <c r="L12" s="7"/>
      <c r="M12" s="8">
        <f>48</f>
        <v>48</v>
      </c>
      <c r="N12" s="8">
        <f t="shared" si="0"/>
        <v>0</v>
      </c>
      <c r="O12" s="8">
        <f>IF(COUNTIF(PARAMETRES_REGIMES!$A$3:$A$100,$A12)&gt;0,MIN(M12,SUM(F12:L12)*24),MIN(M12,SUM(F12:K12)*24))</f>
        <v>0</v>
      </c>
      <c r="P12" s="9">
        <f>IF(COUNTIF(PARAMETRES_REGIMES!$A$3:$A$100,$A12)&gt;0,FLOOR(MAX(SUM(F12:L12)*24-M12,0),0.5),FLOOR(MAX(SUM(F12:K12)*24-M12,0),0.5))</f>
        <v>0</v>
      </c>
      <c r="Q12" s="9">
        <f>IF(COUNTIF(PARAMETRES_REGIMES!$A$3:$A$100,$A12)&gt;0,0,IF(ISNUMBER(L12),FLOOR(MAX(L12*24,0),0.5),0))</f>
        <v>0</v>
      </c>
      <c r="R12" s="8">
        <f t="shared" si="1"/>
        <v>0</v>
      </c>
      <c r="S12" s="8">
        <f t="shared" si="2"/>
        <v>0</v>
      </c>
      <c r="T12" s="8">
        <f t="shared" si="3"/>
        <v>0</v>
      </c>
      <c r="U12" s="8">
        <f t="shared" si="4"/>
        <v>0</v>
      </c>
      <c r="V12" s="10" t="str">
        <f t="shared" si="5"/>
        <v>OK</v>
      </c>
    </row>
    <row r="13" spans="1:24">
      <c r="A13" s="17">
        <v>132</v>
      </c>
      <c r="B13" s="5" t="s">
        <v>50</v>
      </c>
      <c r="C13" s="5" t="s">
        <v>51</v>
      </c>
      <c r="D13" s="5" t="s">
        <v>49</v>
      </c>
      <c r="E13" s="17" t="s">
        <v>21</v>
      </c>
      <c r="F13" s="6"/>
      <c r="G13" s="7"/>
      <c r="H13" s="7"/>
      <c r="I13" s="7"/>
      <c r="J13" s="7"/>
      <c r="K13" s="7"/>
      <c r="L13" s="7"/>
      <c r="M13" s="8">
        <f>48</f>
        <v>48</v>
      </c>
      <c r="N13" s="8">
        <f t="shared" si="0"/>
        <v>0</v>
      </c>
      <c r="O13" s="8">
        <f>IF(COUNTIF(PARAMETRES_REGIMES!$A$3:$A$100,$A13)&gt;0,MIN(M13,SUM(F13:L13)*24),MIN(M13,SUM(F13:K13)*24))</f>
        <v>0</v>
      </c>
      <c r="P13" s="9">
        <f>IF(COUNTIF(PARAMETRES_REGIMES!$A$3:$A$100,$A13)&gt;0,FLOOR(MAX(SUM(F13:L13)*24-M13,0),0.5),FLOOR(MAX(SUM(F13:K13)*24-M13,0),0.5))</f>
        <v>0</v>
      </c>
      <c r="Q13" s="9">
        <f>IF(COUNTIF(PARAMETRES_REGIMES!$A$3:$A$100,$A13)&gt;0,0,IF(ISNUMBER(L13),FLOOR(MAX(L13*24,0),0.5),0))</f>
        <v>0</v>
      </c>
      <c r="R13" s="8">
        <f t="shared" si="1"/>
        <v>0</v>
      </c>
      <c r="S13" s="8">
        <f t="shared" si="2"/>
        <v>0</v>
      </c>
      <c r="T13" s="8">
        <f t="shared" si="3"/>
        <v>0</v>
      </c>
      <c r="U13" s="8">
        <f t="shared" si="4"/>
        <v>0</v>
      </c>
      <c r="V13" s="10" t="str">
        <f t="shared" si="5"/>
        <v>OK</v>
      </c>
    </row>
    <row r="14" spans="1:24">
      <c r="A14" s="17">
        <v>174</v>
      </c>
      <c r="B14" s="5" t="s">
        <v>52</v>
      </c>
      <c r="C14" s="5" t="s">
        <v>53</v>
      </c>
      <c r="D14" s="5" t="s">
        <v>49</v>
      </c>
      <c r="E14" s="17" t="s">
        <v>21</v>
      </c>
      <c r="F14" s="6"/>
      <c r="G14" s="7"/>
      <c r="H14" s="7"/>
      <c r="I14" s="7"/>
      <c r="J14" s="7"/>
      <c r="K14" s="7"/>
      <c r="L14" s="7"/>
      <c r="M14" s="8">
        <f>48</f>
        <v>48</v>
      </c>
      <c r="N14" s="8">
        <f t="shared" si="0"/>
        <v>0</v>
      </c>
      <c r="O14" s="8">
        <f>IF(COUNTIF(PARAMETRES_REGIMES!$A$3:$A$100,$A14)&gt;0,MIN(M14,SUM(F14:L14)*24),MIN(M14,SUM(F14:K14)*24))</f>
        <v>0</v>
      </c>
      <c r="P14" s="9">
        <f>IF(COUNTIF(PARAMETRES_REGIMES!$A$3:$A$100,$A14)&gt;0,FLOOR(MAX(SUM(F14:L14)*24-M14,0),0.5),FLOOR(MAX(SUM(F14:K14)*24-M14,0),0.5))</f>
        <v>0</v>
      </c>
      <c r="Q14" s="9">
        <f>IF(COUNTIF(PARAMETRES_REGIMES!$A$3:$A$100,$A14)&gt;0,0,IF(ISNUMBER(L14),FLOOR(MAX(L14*24,0),0.5),0))</f>
        <v>0</v>
      </c>
      <c r="R14" s="8">
        <f t="shared" si="1"/>
        <v>0</v>
      </c>
      <c r="S14" s="8">
        <f t="shared" si="2"/>
        <v>0</v>
      </c>
      <c r="T14" s="8">
        <f t="shared" si="3"/>
        <v>0</v>
      </c>
      <c r="U14" s="8">
        <f t="shared" si="4"/>
        <v>0</v>
      </c>
      <c r="V14" s="10" t="str">
        <f t="shared" si="5"/>
        <v>OK</v>
      </c>
    </row>
    <row r="15" spans="1:24">
      <c r="A15" s="17" t="s">
        <v>54</v>
      </c>
      <c r="B15" s="5" t="s">
        <v>55</v>
      </c>
      <c r="C15" s="5" t="s">
        <v>56</v>
      </c>
      <c r="D15" s="5" t="s">
        <v>49</v>
      </c>
      <c r="E15" s="17" t="s">
        <v>21</v>
      </c>
      <c r="F15" s="6"/>
      <c r="G15" s="7"/>
      <c r="H15" s="7"/>
      <c r="I15" s="7"/>
      <c r="J15" s="7"/>
      <c r="K15" s="7"/>
      <c r="L15" s="7"/>
      <c r="M15" s="8">
        <f>48</f>
        <v>48</v>
      </c>
      <c r="N15" s="8">
        <f t="shared" si="0"/>
        <v>0</v>
      </c>
      <c r="O15" s="8">
        <f>IF(COUNTIF(PARAMETRES_REGIMES!$A$3:$A$100,$A15)&gt;0,MIN(M15,SUM(F15:L15)*24),MIN(M15,SUM(F15:K15)*24))</f>
        <v>0</v>
      </c>
      <c r="P15" s="9">
        <f>IF(COUNTIF(PARAMETRES_REGIMES!$A$3:$A$100,$A15)&gt;0,FLOOR(MAX(SUM(F15:L15)*24-M15,0),0.5),FLOOR(MAX(SUM(F15:K15)*24-M15,0),0.5))</f>
        <v>0</v>
      </c>
      <c r="Q15" s="9">
        <f>IF(COUNTIF(PARAMETRES_REGIMES!$A$3:$A$100,$A15)&gt;0,0,IF(ISNUMBER(L15),FLOOR(MAX(L15*24,0),0.5),0))</f>
        <v>0</v>
      </c>
      <c r="R15" s="8">
        <f t="shared" si="1"/>
        <v>0</v>
      </c>
      <c r="S15" s="8">
        <f t="shared" si="2"/>
        <v>0</v>
      </c>
      <c r="T15" s="8">
        <f t="shared" si="3"/>
        <v>0</v>
      </c>
      <c r="U15" s="8">
        <f t="shared" si="4"/>
        <v>0</v>
      </c>
      <c r="V15" s="10" t="str">
        <f t="shared" si="5"/>
        <v>OK</v>
      </c>
    </row>
    <row r="16" spans="1:24">
      <c r="A16" s="17" t="s">
        <v>57</v>
      </c>
      <c r="B16" s="5" t="s">
        <v>58</v>
      </c>
      <c r="C16" s="5" t="s">
        <v>59</v>
      </c>
      <c r="D16" s="5" t="s">
        <v>49</v>
      </c>
      <c r="E16" s="17" t="s">
        <v>21</v>
      </c>
      <c r="F16" s="6"/>
      <c r="G16" s="7"/>
      <c r="H16" s="7"/>
      <c r="I16" s="7"/>
      <c r="J16" s="7"/>
      <c r="K16" s="7"/>
      <c r="L16" s="7"/>
      <c r="M16" s="8">
        <f>48</f>
        <v>48</v>
      </c>
      <c r="N16" s="8">
        <f t="shared" si="0"/>
        <v>0</v>
      </c>
      <c r="O16" s="8">
        <f>IF(COUNTIF(PARAMETRES_REGIMES!$A$3:$A$100,$A16)&gt;0,MIN(M16,SUM(F16:L16)*24),MIN(M16,SUM(F16:K16)*24))</f>
        <v>0</v>
      </c>
      <c r="P16" s="9">
        <f>IF(COUNTIF(PARAMETRES_REGIMES!$A$3:$A$100,$A16)&gt;0,FLOOR(MAX(SUM(F16:L16)*24-M16,0),0.5),FLOOR(MAX(SUM(F16:K16)*24-M16,0),0.5))</f>
        <v>0</v>
      </c>
      <c r="Q16" s="9">
        <f>IF(COUNTIF(PARAMETRES_REGIMES!$A$3:$A$100,$A16)&gt;0,0,IF(ISNUMBER(L16),FLOOR(MAX(L16*24,0),0.5),0))</f>
        <v>0</v>
      </c>
      <c r="R16" s="8">
        <f t="shared" si="1"/>
        <v>0</v>
      </c>
      <c r="S16" s="8">
        <f t="shared" si="2"/>
        <v>0</v>
      </c>
      <c r="T16" s="8">
        <f t="shared" si="3"/>
        <v>0</v>
      </c>
      <c r="U16" s="8">
        <f t="shared" si="4"/>
        <v>0</v>
      </c>
      <c r="V16" s="10" t="str">
        <f t="shared" si="5"/>
        <v>OK</v>
      </c>
    </row>
    <row r="17" spans="1:22">
      <c r="A17" s="17" t="s">
        <v>60</v>
      </c>
      <c r="B17" s="5" t="s">
        <v>58</v>
      </c>
      <c r="C17" s="5" t="s">
        <v>61</v>
      </c>
      <c r="D17" s="5" t="s">
        <v>49</v>
      </c>
      <c r="E17" s="17" t="s">
        <v>21</v>
      </c>
      <c r="F17" s="6"/>
      <c r="G17" s="7"/>
      <c r="H17" s="7"/>
      <c r="I17" s="7"/>
      <c r="J17" s="7"/>
      <c r="K17" s="7"/>
      <c r="L17" s="7"/>
      <c r="M17" s="8">
        <f>48</f>
        <v>48</v>
      </c>
      <c r="N17" s="8">
        <f t="shared" si="0"/>
        <v>0</v>
      </c>
      <c r="O17" s="8">
        <f>IF(COUNTIF(PARAMETRES_REGIMES!$A$3:$A$100,$A17)&gt;0,MIN(M17,SUM(F17:L17)*24),MIN(M17,SUM(F17:K17)*24))</f>
        <v>0</v>
      </c>
      <c r="P17" s="9">
        <f>IF(COUNTIF(PARAMETRES_REGIMES!$A$3:$A$100,$A17)&gt;0,FLOOR(MAX(SUM(F17:L17)*24-M17,0),0.5),FLOOR(MAX(SUM(F17:K17)*24-M17,0),0.5))</f>
        <v>0</v>
      </c>
      <c r="Q17" s="9">
        <f>IF(COUNTIF(PARAMETRES_REGIMES!$A$3:$A$100,$A17)&gt;0,0,IF(ISNUMBER(L17),FLOOR(MAX(L17*24,0),0.5),0))</f>
        <v>0</v>
      </c>
      <c r="R17" s="8">
        <f t="shared" si="1"/>
        <v>0</v>
      </c>
      <c r="S17" s="8">
        <f t="shared" si="2"/>
        <v>0</v>
      </c>
      <c r="T17" s="8">
        <f t="shared" si="3"/>
        <v>0</v>
      </c>
      <c r="U17" s="8">
        <f t="shared" si="4"/>
        <v>0</v>
      </c>
      <c r="V17" s="10" t="str">
        <f t="shared" si="5"/>
        <v>OK</v>
      </c>
    </row>
    <row r="18" spans="1:22">
      <c r="A18" s="17">
        <v>158</v>
      </c>
      <c r="B18" s="5" t="s">
        <v>62</v>
      </c>
      <c r="C18" s="5" t="s">
        <v>63</v>
      </c>
      <c r="D18" s="5" t="s">
        <v>49</v>
      </c>
      <c r="E18" s="17" t="s">
        <v>21</v>
      </c>
      <c r="F18" s="6"/>
      <c r="G18" s="7"/>
      <c r="H18" s="7"/>
      <c r="I18" s="7"/>
      <c r="J18" s="7"/>
      <c r="K18" s="7"/>
      <c r="L18" s="7"/>
      <c r="M18" s="8">
        <f>48</f>
        <v>48</v>
      </c>
      <c r="N18" s="8">
        <f t="shared" si="0"/>
        <v>0</v>
      </c>
      <c r="O18" s="8">
        <f>IF(COUNTIF(PARAMETRES_REGIMES!$A$3:$A$100,$A18)&gt;0,MIN(M18,SUM(F18:L18)*24),MIN(M18,SUM(F18:K18)*24))</f>
        <v>0</v>
      </c>
      <c r="P18" s="9">
        <f>IF(COUNTIF(PARAMETRES_REGIMES!$A$3:$A$100,$A18)&gt;0,FLOOR(MAX(SUM(F18:L18)*24-M18,0),0.5),FLOOR(MAX(SUM(F18:K18)*24-M18,0),0.5))</f>
        <v>0</v>
      </c>
      <c r="Q18" s="9">
        <f>IF(COUNTIF(PARAMETRES_REGIMES!$A$3:$A$100,$A18)&gt;0,0,IF(ISNUMBER(L18),FLOOR(MAX(L18*24,0),0.5),0))</f>
        <v>0</v>
      </c>
      <c r="R18" s="8">
        <f t="shared" si="1"/>
        <v>0</v>
      </c>
      <c r="S18" s="8">
        <f t="shared" si="2"/>
        <v>0</v>
      </c>
      <c r="T18" s="8">
        <f t="shared" si="3"/>
        <v>0</v>
      </c>
      <c r="U18" s="8">
        <f t="shared" si="4"/>
        <v>0</v>
      </c>
      <c r="V18" s="10" t="str">
        <f t="shared" si="5"/>
        <v>OK</v>
      </c>
    </row>
    <row r="19" spans="1:22">
      <c r="A19" s="17" t="s">
        <v>64</v>
      </c>
      <c r="B19" s="5" t="s">
        <v>65</v>
      </c>
      <c r="C19" s="5" t="s">
        <v>66</v>
      </c>
      <c r="D19" s="5" t="s">
        <v>49</v>
      </c>
      <c r="E19" s="17" t="s">
        <v>21</v>
      </c>
      <c r="F19" s="6"/>
      <c r="G19" s="7"/>
      <c r="H19" s="7"/>
      <c r="I19" s="7"/>
      <c r="J19" s="7"/>
      <c r="K19" s="7"/>
      <c r="L19" s="7"/>
      <c r="M19" s="8">
        <f>48</f>
        <v>48</v>
      </c>
      <c r="N19" s="8">
        <f t="shared" si="0"/>
        <v>0</v>
      </c>
      <c r="O19" s="8">
        <f>IF(COUNTIF(PARAMETRES_REGIMES!$A$3:$A$100,$A19)&gt;0,MIN(M19,SUM(F19:L19)*24),MIN(M19,SUM(F19:K19)*24))</f>
        <v>0</v>
      </c>
      <c r="P19" s="9">
        <f>IF(COUNTIF(PARAMETRES_REGIMES!$A$3:$A$100,$A19)&gt;0,FLOOR(MAX(SUM(F19:L19)*24-M19,0),0.5),FLOOR(MAX(SUM(F19:K19)*24-M19,0),0.5))</f>
        <v>0</v>
      </c>
      <c r="Q19" s="9">
        <f>IF(COUNTIF(PARAMETRES_REGIMES!$A$3:$A$100,$A19)&gt;0,0,IF(ISNUMBER(L19),FLOOR(MAX(L19*24,0),0.5),0))</f>
        <v>0</v>
      </c>
      <c r="R19" s="8">
        <f t="shared" si="1"/>
        <v>0</v>
      </c>
      <c r="S19" s="8">
        <f t="shared" si="2"/>
        <v>0</v>
      </c>
      <c r="T19" s="8">
        <f t="shared" si="3"/>
        <v>0</v>
      </c>
      <c r="U19" s="8">
        <f t="shared" si="4"/>
        <v>0</v>
      </c>
      <c r="V19" s="10" t="str">
        <f t="shared" si="5"/>
        <v>OK</v>
      </c>
    </row>
    <row r="20" spans="1:22">
      <c r="A20" s="17" t="s">
        <v>67</v>
      </c>
      <c r="B20" s="5" t="s">
        <v>68</v>
      </c>
      <c r="C20" s="5" t="s">
        <v>25</v>
      </c>
      <c r="D20" s="5" t="s">
        <v>69</v>
      </c>
      <c r="E20" s="17" t="s">
        <v>21</v>
      </c>
      <c r="F20" s="6"/>
      <c r="G20" s="7"/>
      <c r="H20" s="7"/>
      <c r="I20" s="7"/>
      <c r="J20" s="7"/>
      <c r="K20" s="7"/>
      <c r="L20" s="7"/>
      <c r="M20" s="8">
        <f>48</f>
        <v>48</v>
      </c>
      <c r="N20" s="8">
        <f t="shared" si="0"/>
        <v>0</v>
      </c>
      <c r="O20" s="8">
        <f>IF(COUNTIF(PARAMETRES_REGIMES!$A$3:$A$100,$A20)&gt;0,MIN(M20,SUM(F20:L20)*24),MIN(M20,SUM(F20:K20)*24))</f>
        <v>0</v>
      </c>
      <c r="P20" s="9">
        <f>IF(COUNTIF(PARAMETRES_REGIMES!$A$3:$A$100,$A20)&gt;0,FLOOR(MAX(SUM(F20:L20)*24-M20,0),0.5),FLOOR(MAX(SUM(F20:K20)*24-M20,0),0.5))</f>
        <v>0</v>
      </c>
      <c r="Q20" s="9">
        <f>IF(COUNTIF(PARAMETRES_REGIMES!$A$3:$A$100,$A20)&gt;0,0,IF(ISNUMBER(L20),FLOOR(MAX(L20*24,0),0.5),0))</f>
        <v>0</v>
      </c>
      <c r="R20" s="8">
        <f t="shared" si="1"/>
        <v>0</v>
      </c>
      <c r="S20" s="8">
        <f t="shared" si="2"/>
        <v>0</v>
      </c>
      <c r="T20" s="8">
        <f t="shared" si="3"/>
        <v>0</v>
      </c>
      <c r="U20" s="8">
        <f t="shared" si="4"/>
        <v>0</v>
      </c>
      <c r="V20" s="10" t="str">
        <f t="shared" si="5"/>
        <v>OK</v>
      </c>
    </row>
    <row r="21" spans="1:22">
      <c r="A21" s="17" t="s">
        <v>70</v>
      </c>
      <c r="B21" s="5" t="s">
        <v>71</v>
      </c>
      <c r="C21" s="5" t="s">
        <v>72</v>
      </c>
      <c r="D21" s="5" t="s">
        <v>69</v>
      </c>
      <c r="E21" s="17" t="s">
        <v>21</v>
      </c>
      <c r="F21" s="6"/>
      <c r="G21" s="7"/>
      <c r="H21" s="7"/>
      <c r="I21" s="7"/>
      <c r="J21" s="7"/>
      <c r="K21" s="7"/>
      <c r="L21" s="7"/>
      <c r="M21" s="8">
        <f>48</f>
        <v>48</v>
      </c>
      <c r="N21" s="8">
        <f t="shared" si="0"/>
        <v>0</v>
      </c>
      <c r="O21" s="8">
        <f>IF(COUNTIF(PARAMETRES_REGIMES!$A$3:$A$100,$A21)&gt;0,MIN(M21,SUM(F21:L21)*24),MIN(M21,SUM(F21:K21)*24))</f>
        <v>0</v>
      </c>
      <c r="P21" s="9">
        <f>IF(COUNTIF(PARAMETRES_REGIMES!$A$3:$A$100,$A21)&gt;0,FLOOR(MAX(SUM(F21:L21)*24-M21,0),0.5),FLOOR(MAX(SUM(F21:K21)*24-M21,0),0.5))</f>
        <v>0</v>
      </c>
      <c r="Q21" s="9">
        <f>IF(COUNTIF(PARAMETRES_REGIMES!$A$3:$A$100,$A21)&gt;0,0,IF(ISNUMBER(L21),FLOOR(MAX(L21*24,0),0.5),0))</f>
        <v>0</v>
      </c>
      <c r="R21" s="8">
        <f t="shared" si="1"/>
        <v>0</v>
      </c>
      <c r="S21" s="8">
        <f t="shared" si="2"/>
        <v>0</v>
      </c>
      <c r="T21" s="8">
        <f t="shared" si="3"/>
        <v>0</v>
      </c>
      <c r="U21" s="8">
        <f t="shared" si="4"/>
        <v>0</v>
      </c>
      <c r="V21" s="10" t="str">
        <f t="shared" si="5"/>
        <v>OK</v>
      </c>
    </row>
    <row r="22" spans="1:22">
      <c r="A22" s="17" t="s">
        <v>73</v>
      </c>
      <c r="B22" s="5" t="s">
        <v>74</v>
      </c>
      <c r="C22" s="5" t="s">
        <v>75</v>
      </c>
      <c r="D22" s="5" t="s">
        <v>69</v>
      </c>
      <c r="E22" s="17" t="s">
        <v>21</v>
      </c>
      <c r="F22" s="6"/>
      <c r="G22" s="7"/>
      <c r="H22" s="7"/>
      <c r="I22" s="7"/>
      <c r="J22" s="7"/>
      <c r="K22" s="7"/>
      <c r="L22" s="7"/>
      <c r="M22" s="8">
        <f>48</f>
        <v>48</v>
      </c>
      <c r="N22" s="8">
        <f t="shared" si="0"/>
        <v>0</v>
      </c>
      <c r="O22" s="8">
        <f>IF(COUNTIF(PARAMETRES_REGIMES!$A$3:$A$100,$A22)&gt;0,MIN(M22,SUM(F22:L22)*24),MIN(M22,SUM(F22:K22)*24))</f>
        <v>0</v>
      </c>
      <c r="P22" s="9">
        <f>IF(COUNTIF(PARAMETRES_REGIMES!$A$3:$A$100,$A22)&gt;0,FLOOR(MAX(SUM(F22:L22)*24-M22,0),0.5),FLOOR(MAX(SUM(F22:K22)*24-M22,0),0.5))</f>
        <v>0</v>
      </c>
      <c r="Q22" s="9">
        <f>IF(COUNTIF(PARAMETRES_REGIMES!$A$3:$A$100,$A22)&gt;0,0,IF(ISNUMBER(L22),FLOOR(MAX(L22*24,0),0.5),0))</f>
        <v>0</v>
      </c>
      <c r="R22" s="8">
        <f t="shared" si="1"/>
        <v>0</v>
      </c>
      <c r="S22" s="8">
        <f t="shared" si="2"/>
        <v>0</v>
      </c>
      <c r="T22" s="8">
        <f t="shared" si="3"/>
        <v>0</v>
      </c>
      <c r="U22" s="8">
        <f t="shared" si="4"/>
        <v>0</v>
      </c>
      <c r="V22" s="10" t="str">
        <f t="shared" si="5"/>
        <v>OK</v>
      </c>
    </row>
    <row r="23" spans="1:22">
      <c r="A23" s="17">
        <v>97</v>
      </c>
      <c r="B23" s="5" t="s">
        <v>76</v>
      </c>
      <c r="C23" s="5" t="s">
        <v>77</v>
      </c>
      <c r="D23" s="5" t="s">
        <v>69</v>
      </c>
      <c r="E23" s="17" t="s">
        <v>21</v>
      </c>
      <c r="F23" s="6"/>
      <c r="G23" s="7"/>
      <c r="H23" s="7"/>
      <c r="I23" s="7"/>
      <c r="J23" s="7"/>
      <c r="K23" s="7"/>
      <c r="L23" s="7"/>
      <c r="M23" s="8">
        <f>48</f>
        <v>48</v>
      </c>
      <c r="N23" s="8">
        <f t="shared" si="0"/>
        <v>0</v>
      </c>
      <c r="O23" s="8">
        <f>IF(COUNTIF(PARAMETRES_REGIMES!$A$3:$A$100,$A23)&gt;0,MIN(M23,SUM(F23:L23)*24),MIN(M23,SUM(F23:K23)*24))</f>
        <v>0</v>
      </c>
      <c r="P23" s="9">
        <f>IF(COUNTIF(PARAMETRES_REGIMES!$A$3:$A$100,$A23)&gt;0,FLOOR(MAX(SUM(F23:L23)*24-M23,0),0.5),FLOOR(MAX(SUM(F23:K23)*24-M23,0),0.5))</f>
        <v>0</v>
      </c>
      <c r="Q23" s="9">
        <f>IF(COUNTIF(PARAMETRES_REGIMES!$A$3:$A$100,$A23)&gt;0,0,IF(ISNUMBER(L23),FLOOR(MAX(L23*24,0),0.5),0))</f>
        <v>0</v>
      </c>
      <c r="R23" s="8">
        <f t="shared" si="1"/>
        <v>0</v>
      </c>
      <c r="S23" s="8">
        <f t="shared" si="2"/>
        <v>0</v>
      </c>
      <c r="T23" s="8">
        <f t="shared" si="3"/>
        <v>0</v>
      </c>
      <c r="U23" s="8">
        <f t="shared" si="4"/>
        <v>0</v>
      </c>
      <c r="V23" s="10" t="str">
        <f t="shared" si="5"/>
        <v>OK</v>
      </c>
    </row>
    <row r="24" spans="1:22">
      <c r="A24" s="17" t="s">
        <v>78</v>
      </c>
      <c r="B24" s="5" t="s">
        <v>79</v>
      </c>
      <c r="C24" s="5" t="s">
        <v>80</v>
      </c>
      <c r="D24" s="5" t="s">
        <v>69</v>
      </c>
      <c r="E24" s="17" t="s">
        <v>21</v>
      </c>
      <c r="F24" s="6"/>
      <c r="G24" s="7"/>
      <c r="H24" s="7"/>
      <c r="I24" s="7"/>
      <c r="J24" s="7"/>
      <c r="K24" s="7"/>
      <c r="L24" s="7"/>
      <c r="M24" s="8">
        <f>48</f>
        <v>48</v>
      </c>
      <c r="N24" s="8">
        <f t="shared" si="0"/>
        <v>0</v>
      </c>
      <c r="O24" s="8">
        <f>IF(COUNTIF(PARAMETRES_REGIMES!$A$3:$A$100,$A24)&gt;0,MIN(M24,SUM(F24:L24)*24),MIN(M24,SUM(F24:K24)*24))</f>
        <v>0</v>
      </c>
      <c r="P24" s="9">
        <f>IF(COUNTIF(PARAMETRES_REGIMES!$A$3:$A$100,$A24)&gt;0,FLOOR(MAX(SUM(F24:L24)*24-M24,0),0.5),FLOOR(MAX(SUM(F24:K24)*24-M24,0),0.5))</f>
        <v>0</v>
      </c>
      <c r="Q24" s="9">
        <f>IF(COUNTIF(PARAMETRES_REGIMES!$A$3:$A$100,$A24)&gt;0,0,IF(ISNUMBER(L24),FLOOR(MAX(L24*24,0),0.5),0))</f>
        <v>0</v>
      </c>
      <c r="R24" s="8">
        <f t="shared" si="1"/>
        <v>0</v>
      </c>
      <c r="S24" s="8">
        <f t="shared" si="2"/>
        <v>0</v>
      </c>
      <c r="T24" s="8">
        <f t="shared" si="3"/>
        <v>0</v>
      </c>
      <c r="U24" s="8">
        <f t="shared" si="4"/>
        <v>0</v>
      </c>
      <c r="V24" s="10" t="str">
        <f t="shared" si="5"/>
        <v>OK</v>
      </c>
    </row>
    <row r="25" spans="1:22">
      <c r="A25" s="17" t="s">
        <v>81</v>
      </c>
      <c r="B25" s="5" t="s">
        <v>82</v>
      </c>
      <c r="C25" s="5" t="s">
        <v>83</v>
      </c>
      <c r="D25" s="5" t="s">
        <v>69</v>
      </c>
      <c r="E25" s="17" t="s">
        <v>21</v>
      </c>
      <c r="F25" s="6"/>
      <c r="G25" s="7"/>
      <c r="H25" s="7"/>
      <c r="I25" s="7"/>
      <c r="J25" s="7"/>
      <c r="K25" s="7"/>
      <c r="L25" s="7"/>
      <c r="M25" s="8">
        <f>48</f>
        <v>48</v>
      </c>
      <c r="N25" s="8">
        <f t="shared" si="0"/>
        <v>0</v>
      </c>
      <c r="O25" s="8">
        <f>IF(COUNTIF(PARAMETRES_REGIMES!$A$3:$A$100,$A25)&gt;0,MIN(M25,SUM(F25:L25)*24),MIN(M25,SUM(F25:K25)*24))</f>
        <v>0</v>
      </c>
      <c r="P25" s="9">
        <f>IF(COUNTIF(PARAMETRES_REGIMES!$A$3:$A$100,$A25)&gt;0,FLOOR(MAX(SUM(F25:L25)*24-M25,0),0.5),FLOOR(MAX(SUM(F25:K25)*24-M25,0),0.5))</f>
        <v>0</v>
      </c>
      <c r="Q25" s="9">
        <f>IF(COUNTIF(PARAMETRES_REGIMES!$A$3:$A$100,$A25)&gt;0,0,IF(ISNUMBER(L25),FLOOR(MAX(L25*24,0),0.5),0))</f>
        <v>0</v>
      </c>
      <c r="R25" s="8">
        <f t="shared" si="1"/>
        <v>0</v>
      </c>
      <c r="S25" s="8">
        <f t="shared" si="2"/>
        <v>0</v>
      </c>
      <c r="T25" s="8">
        <f t="shared" si="3"/>
        <v>0</v>
      </c>
      <c r="U25" s="8">
        <f t="shared" si="4"/>
        <v>0</v>
      </c>
      <c r="V25" s="10" t="str">
        <f t="shared" si="5"/>
        <v>OK</v>
      </c>
    </row>
    <row r="26" spans="1:22">
      <c r="A26" s="17" t="s">
        <v>84</v>
      </c>
      <c r="B26" s="5" t="s">
        <v>85</v>
      </c>
      <c r="C26" s="5" t="s">
        <v>86</v>
      </c>
      <c r="D26" s="5" t="s">
        <v>87</v>
      </c>
      <c r="E26" s="17" t="s">
        <v>21</v>
      </c>
      <c r="F26" s="6"/>
      <c r="G26" s="7"/>
      <c r="H26" s="7"/>
      <c r="I26" s="7"/>
      <c r="J26" s="7"/>
      <c r="K26" s="7"/>
      <c r="L26" s="7"/>
      <c r="M26" s="8">
        <f>48</f>
        <v>48</v>
      </c>
      <c r="N26" s="8">
        <f t="shared" si="0"/>
        <v>0</v>
      </c>
      <c r="O26" s="8">
        <f>IF(COUNTIF(PARAMETRES_REGIMES!$A$3:$A$100,$A26)&gt;0,MIN(M26,SUM(F26:L26)*24),MIN(M26,SUM(F26:K26)*24))</f>
        <v>0</v>
      </c>
      <c r="P26" s="9">
        <f>IF(COUNTIF(PARAMETRES_REGIMES!$A$3:$A$100,$A26)&gt;0,FLOOR(MAX(SUM(F26:L26)*24-M26,0),0.5),FLOOR(MAX(SUM(F26:K26)*24-M26,0),0.5))</f>
        <v>0</v>
      </c>
      <c r="Q26" s="9">
        <f>IF(COUNTIF(PARAMETRES_REGIMES!$A$3:$A$100,$A26)&gt;0,0,IF(ISNUMBER(L26),FLOOR(MAX(L26*24,0),0.5),0))</f>
        <v>0</v>
      </c>
      <c r="R26" s="8">
        <f t="shared" si="1"/>
        <v>0</v>
      </c>
      <c r="S26" s="8">
        <f t="shared" si="2"/>
        <v>0</v>
      </c>
      <c r="T26" s="8">
        <f t="shared" si="3"/>
        <v>0</v>
      </c>
      <c r="U26" s="8">
        <f t="shared" si="4"/>
        <v>0</v>
      </c>
      <c r="V26" s="10" t="str">
        <f t="shared" si="5"/>
        <v>OK</v>
      </c>
    </row>
    <row r="27" spans="1:22">
      <c r="A27" s="17">
        <v>249</v>
      </c>
      <c r="B27" s="5" t="s">
        <v>88</v>
      </c>
      <c r="C27" s="5" t="s">
        <v>89</v>
      </c>
      <c r="D27" s="5" t="s">
        <v>87</v>
      </c>
      <c r="E27" s="17" t="s">
        <v>21</v>
      </c>
      <c r="F27" s="6"/>
      <c r="G27" s="7"/>
      <c r="H27" s="7"/>
      <c r="I27" s="7"/>
      <c r="J27" s="7"/>
      <c r="K27" s="7"/>
      <c r="L27" s="7"/>
      <c r="M27" s="8">
        <f>48</f>
        <v>48</v>
      </c>
      <c r="N27" s="8">
        <f t="shared" si="0"/>
        <v>0</v>
      </c>
      <c r="O27" s="8">
        <f>IF(COUNTIF(PARAMETRES_REGIMES!$A$3:$A$100,$A27)&gt;0,MIN(M27,SUM(F27:L27)*24),MIN(M27,SUM(F27:K27)*24))</f>
        <v>0</v>
      </c>
      <c r="P27" s="9">
        <f>IF(COUNTIF(PARAMETRES_REGIMES!$A$3:$A$100,$A27)&gt;0,FLOOR(MAX(SUM(F27:L27)*24-M27,0),0.5),FLOOR(MAX(SUM(F27:K27)*24-M27,0),0.5))</f>
        <v>0</v>
      </c>
      <c r="Q27" s="9">
        <f>IF(COUNTIF(PARAMETRES_REGIMES!$A$3:$A$100,$A27)&gt;0,0,IF(ISNUMBER(L27),FLOOR(MAX(L27*24,0),0.5),0))</f>
        <v>0</v>
      </c>
      <c r="R27" s="8">
        <f t="shared" si="1"/>
        <v>0</v>
      </c>
      <c r="S27" s="8">
        <f t="shared" si="2"/>
        <v>0</v>
      </c>
      <c r="T27" s="8">
        <f t="shared" si="3"/>
        <v>0</v>
      </c>
      <c r="U27" s="8">
        <f t="shared" si="4"/>
        <v>0</v>
      </c>
      <c r="V27" s="10" t="str">
        <f t="shared" si="5"/>
        <v>OK</v>
      </c>
    </row>
    <row r="28" spans="1:22">
      <c r="A28" s="17">
        <v>135</v>
      </c>
      <c r="B28" s="5" t="s">
        <v>90</v>
      </c>
      <c r="C28" s="5" t="s">
        <v>91</v>
      </c>
      <c r="D28" s="5" t="s">
        <v>92</v>
      </c>
      <c r="E28" s="17" t="s">
        <v>21</v>
      </c>
      <c r="F28" s="6"/>
      <c r="G28" s="7"/>
      <c r="H28" s="7"/>
      <c r="I28" s="7"/>
      <c r="J28" s="7"/>
      <c r="K28" s="7"/>
      <c r="L28" s="7"/>
      <c r="M28" s="8">
        <f>48</f>
        <v>48</v>
      </c>
      <c r="N28" s="8">
        <f t="shared" si="0"/>
        <v>0</v>
      </c>
      <c r="O28" s="8">
        <f>IF(COUNTIF(PARAMETRES_REGIMES!$A$3:$A$100,$A28)&gt;0,MIN(M28,SUM(F28:L28)*24),MIN(M28,SUM(F28:K28)*24))</f>
        <v>0</v>
      </c>
      <c r="P28" s="9">
        <f>IF(COUNTIF(PARAMETRES_REGIMES!$A$3:$A$100,$A28)&gt;0,FLOOR(MAX(SUM(F28:L28)*24-M28,0),0.5),FLOOR(MAX(SUM(F28:K28)*24-M28,0),0.5))</f>
        <v>0</v>
      </c>
      <c r="Q28" s="9">
        <f>IF(COUNTIF(PARAMETRES_REGIMES!$A$3:$A$100,$A28)&gt;0,0,IF(ISNUMBER(L28),FLOOR(MAX(L28*24,0),0.5),0))</f>
        <v>0</v>
      </c>
      <c r="R28" s="8">
        <f t="shared" si="1"/>
        <v>0</v>
      </c>
      <c r="S28" s="8">
        <f t="shared" si="2"/>
        <v>0</v>
      </c>
      <c r="T28" s="8">
        <f t="shared" si="3"/>
        <v>0</v>
      </c>
      <c r="U28" s="8">
        <f t="shared" si="4"/>
        <v>0</v>
      </c>
      <c r="V28" s="10" t="str">
        <f t="shared" si="5"/>
        <v>OK</v>
      </c>
    </row>
    <row r="29" spans="1:22">
      <c r="A29" s="17" t="s">
        <v>93</v>
      </c>
      <c r="B29" s="5" t="s">
        <v>94</v>
      </c>
      <c r="C29" s="5" t="s">
        <v>95</v>
      </c>
      <c r="D29" s="5" t="s">
        <v>92</v>
      </c>
      <c r="E29" s="17" t="s">
        <v>21</v>
      </c>
      <c r="F29" s="6"/>
      <c r="G29" s="7"/>
      <c r="H29" s="7"/>
      <c r="I29" s="7"/>
      <c r="J29" s="7"/>
      <c r="K29" s="7"/>
      <c r="L29" s="7"/>
      <c r="M29" s="8">
        <f>48</f>
        <v>48</v>
      </c>
      <c r="N29" s="8">
        <f t="shared" si="0"/>
        <v>0</v>
      </c>
      <c r="O29" s="8">
        <f>IF(COUNTIF(PARAMETRES_REGIMES!$A$3:$A$100,$A29)&gt;0,MIN(M29,SUM(F29:L29)*24),MIN(M29,SUM(F29:K29)*24))</f>
        <v>0</v>
      </c>
      <c r="P29" s="9">
        <f>IF(COUNTIF(PARAMETRES_REGIMES!$A$3:$A$100,$A29)&gt;0,FLOOR(MAX(SUM(F29:L29)*24-M29,0),0.5),FLOOR(MAX(SUM(F29:K29)*24-M29,0),0.5))</f>
        <v>0</v>
      </c>
      <c r="Q29" s="9">
        <f>IF(COUNTIF(PARAMETRES_REGIMES!$A$3:$A$100,$A29)&gt;0,0,IF(ISNUMBER(L29),FLOOR(MAX(L29*24,0),0.5),0))</f>
        <v>0</v>
      </c>
      <c r="R29" s="8">
        <f t="shared" si="1"/>
        <v>0</v>
      </c>
      <c r="S29" s="8">
        <f t="shared" si="2"/>
        <v>0</v>
      </c>
      <c r="T29" s="8">
        <f t="shared" si="3"/>
        <v>0</v>
      </c>
      <c r="U29" s="8">
        <f t="shared" si="4"/>
        <v>0</v>
      </c>
      <c r="V29" s="10" t="str">
        <f t="shared" si="5"/>
        <v>OK</v>
      </c>
    </row>
    <row r="30" spans="1:22">
      <c r="A30" s="17">
        <v>248</v>
      </c>
      <c r="B30" s="5" t="s">
        <v>96</v>
      </c>
      <c r="C30" s="5" t="s">
        <v>97</v>
      </c>
      <c r="D30" s="5" t="s">
        <v>92</v>
      </c>
      <c r="E30" s="17" t="s">
        <v>21</v>
      </c>
      <c r="F30" s="6"/>
      <c r="G30" s="7"/>
      <c r="H30" s="7"/>
      <c r="I30" s="7"/>
      <c r="J30" s="7"/>
      <c r="K30" s="7"/>
      <c r="L30" s="7"/>
      <c r="M30" s="8">
        <f>48</f>
        <v>48</v>
      </c>
      <c r="N30" s="8">
        <f t="shared" si="0"/>
        <v>0</v>
      </c>
      <c r="O30" s="8">
        <f>IF(COUNTIF(PARAMETRES_REGIMES!$A$3:$A$100,$A30)&gt;0,MIN(M30,SUM(F30:L30)*24),MIN(M30,SUM(F30:K30)*24))</f>
        <v>0</v>
      </c>
      <c r="P30" s="9">
        <f>IF(COUNTIF(PARAMETRES_REGIMES!$A$3:$A$100,$A30)&gt;0,FLOOR(MAX(SUM(F30:L30)*24-M30,0),0.5),FLOOR(MAX(SUM(F30:K30)*24-M30,0),0.5))</f>
        <v>0</v>
      </c>
      <c r="Q30" s="9">
        <f>IF(COUNTIF(PARAMETRES_REGIMES!$A$3:$A$100,$A30)&gt;0,0,IF(ISNUMBER(L30),FLOOR(MAX(L30*24,0),0.5),0))</f>
        <v>0</v>
      </c>
      <c r="R30" s="8">
        <f t="shared" si="1"/>
        <v>0</v>
      </c>
      <c r="S30" s="8">
        <f t="shared" si="2"/>
        <v>0</v>
      </c>
      <c r="T30" s="8">
        <f t="shared" si="3"/>
        <v>0</v>
      </c>
      <c r="U30" s="8">
        <f t="shared" si="4"/>
        <v>0</v>
      </c>
      <c r="V30" s="10" t="str">
        <f t="shared" si="5"/>
        <v>OK</v>
      </c>
    </row>
    <row r="31" spans="1:22">
      <c r="A31" s="17">
        <v>71</v>
      </c>
      <c r="B31" s="5" t="s">
        <v>98</v>
      </c>
      <c r="C31" s="5" t="s">
        <v>99</v>
      </c>
      <c r="D31" s="5" t="s">
        <v>92</v>
      </c>
      <c r="E31" s="17" t="s">
        <v>21</v>
      </c>
      <c r="F31" s="6"/>
      <c r="G31" s="7"/>
      <c r="H31" s="7"/>
      <c r="I31" s="7"/>
      <c r="J31" s="7"/>
      <c r="K31" s="7"/>
      <c r="L31" s="7"/>
      <c r="M31" s="8">
        <f>48</f>
        <v>48</v>
      </c>
      <c r="N31" s="8">
        <f t="shared" si="0"/>
        <v>0</v>
      </c>
      <c r="O31" s="8">
        <f>IF(COUNTIF(PARAMETRES_REGIMES!$A$3:$A$100,$A31)&gt;0,MIN(M31,SUM(F31:L31)*24),MIN(M31,SUM(F31:K31)*24))</f>
        <v>0</v>
      </c>
      <c r="P31" s="9">
        <f>IF(COUNTIF(PARAMETRES_REGIMES!$A$3:$A$100,$A31)&gt;0,FLOOR(MAX(SUM(F31:L31)*24-M31,0),0.5),FLOOR(MAX(SUM(F31:K31)*24-M31,0),0.5))</f>
        <v>0</v>
      </c>
      <c r="Q31" s="9">
        <f>IF(COUNTIF(PARAMETRES_REGIMES!$A$3:$A$100,$A31)&gt;0,0,IF(ISNUMBER(L31),FLOOR(MAX(L31*24,0),0.5),0))</f>
        <v>0</v>
      </c>
      <c r="R31" s="8">
        <f t="shared" si="1"/>
        <v>0</v>
      </c>
      <c r="S31" s="8">
        <f t="shared" si="2"/>
        <v>0</v>
      </c>
      <c r="T31" s="8">
        <f t="shared" si="3"/>
        <v>0</v>
      </c>
      <c r="U31" s="8">
        <f t="shared" si="4"/>
        <v>0</v>
      </c>
      <c r="V31" s="10" t="str">
        <f t="shared" si="5"/>
        <v>OK</v>
      </c>
    </row>
    <row r="32" spans="1:22">
      <c r="A32" s="17">
        <v>227</v>
      </c>
      <c r="B32" s="5" t="s">
        <v>100</v>
      </c>
      <c r="C32" s="5" t="s">
        <v>101</v>
      </c>
      <c r="D32" s="5" t="s">
        <v>92</v>
      </c>
      <c r="E32" s="17" t="s">
        <v>21</v>
      </c>
      <c r="F32" s="6"/>
      <c r="G32" s="7"/>
      <c r="H32" s="7"/>
      <c r="I32" s="7"/>
      <c r="J32" s="7"/>
      <c r="K32" s="7"/>
      <c r="L32" s="7"/>
      <c r="M32" s="8">
        <f>48</f>
        <v>48</v>
      </c>
      <c r="N32" s="8">
        <f t="shared" si="0"/>
        <v>0</v>
      </c>
      <c r="O32" s="8">
        <f>IF(COUNTIF(PARAMETRES_REGIMES!$A$3:$A$100,$A32)&gt;0,MIN(M32,SUM(F32:L32)*24),MIN(M32,SUM(F32:K32)*24))</f>
        <v>0</v>
      </c>
      <c r="P32" s="9">
        <f>IF(COUNTIF(PARAMETRES_REGIMES!$A$3:$A$100,$A32)&gt;0,FLOOR(MAX(SUM(F32:L32)*24-M32,0),0.5),FLOOR(MAX(SUM(F32:K32)*24-M32,0),0.5))</f>
        <v>0</v>
      </c>
      <c r="Q32" s="9">
        <f>IF(COUNTIF(PARAMETRES_REGIMES!$A$3:$A$100,$A32)&gt;0,0,IF(ISNUMBER(L32),FLOOR(MAX(L32*24,0),0.5),0))</f>
        <v>0</v>
      </c>
      <c r="R32" s="8">
        <f t="shared" si="1"/>
        <v>0</v>
      </c>
      <c r="S32" s="8">
        <f t="shared" si="2"/>
        <v>0</v>
      </c>
      <c r="T32" s="8">
        <f t="shared" si="3"/>
        <v>0</v>
      </c>
      <c r="U32" s="8">
        <f t="shared" si="4"/>
        <v>0</v>
      </c>
      <c r="V32" s="10" t="str">
        <f t="shared" si="5"/>
        <v>OK</v>
      </c>
    </row>
    <row r="33" spans="1:22">
      <c r="A33" s="17">
        <v>251</v>
      </c>
      <c r="B33" s="5" t="s">
        <v>102</v>
      </c>
      <c r="C33" s="5" t="s">
        <v>103</v>
      </c>
      <c r="D33" s="5" t="s">
        <v>92</v>
      </c>
      <c r="E33" s="17" t="s">
        <v>21</v>
      </c>
      <c r="F33" s="6"/>
      <c r="G33" s="7"/>
      <c r="H33" s="7"/>
      <c r="I33" s="7"/>
      <c r="J33" s="7"/>
      <c r="K33" s="7"/>
      <c r="L33" s="7"/>
      <c r="M33" s="8">
        <f>48</f>
        <v>48</v>
      </c>
      <c r="N33" s="8">
        <f t="shared" si="0"/>
        <v>0</v>
      </c>
      <c r="O33" s="8">
        <f>IF(COUNTIF(PARAMETRES_REGIMES!$A$3:$A$100,$A33)&gt;0,MIN(M33,SUM(F33:L33)*24),MIN(M33,SUM(F33:K33)*24))</f>
        <v>0</v>
      </c>
      <c r="P33" s="9">
        <f>IF(COUNTIF(PARAMETRES_REGIMES!$A$3:$A$100,$A33)&gt;0,FLOOR(MAX(SUM(F33:L33)*24-M33,0),0.5),FLOOR(MAX(SUM(F33:K33)*24-M33,0),0.5))</f>
        <v>0</v>
      </c>
      <c r="Q33" s="9">
        <f>IF(COUNTIF(PARAMETRES_REGIMES!$A$3:$A$100,$A33)&gt;0,0,IF(ISNUMBER(L33),FLOOR(MAX(L33*24,0),0.5),0))</f>
        <v>0</v>
      </c>
      <c r="R33" s="8">
        <f t="shared" si="1"/>
        <v>0</v>
      </c>
      <c r="S33" s="8">
        <f t="shared" si="2"/>
        <v>0</v>
      </c>
      <c r="T33" s="8">
        <f t="shared" si="3"/>
        <v>0</v>
      </c>
      <c r="U33" s="8">
        <f t="shared" si="4"/>
        <v>0</v>
      </c>
      <c r="V33" s="10" t="str">
        <f t="shared" si="5"/>
        <v>OK</v>
      </c>
    </row>
    <row r="34" spans="1:22">
      <c r="A34" s="17">
        <v>70</v>
      </c>
      <c r="B34" s="5" t="s">
        <v>104</v>
      </c>
      <c r="C34" s="5" t="s">
        <v>105</v>
      </c>
      <c r="D34" s="5" t="s">
        <v>92</v>
      </c>
      <c r="E34" s="17" t="s">
        <v>21</v>
      </c>
      <c r="F34" s="6"/>
      <c r="G34" s="7"/>
      <c r="H34" s="7"/>
      <c r="I34" s="7"/>
      <c r="J34" s="7"/>
      <c r="K34" s="7"/>
      <c r="L34" s="7"/>
      <c r="M34" s="8">
        <f>48</f>
        <v>48</v>
      </c>
      <c r="N34" s="8">
        <f t="shared" si="0"/>
        <v>0</v>
      </c>
      <c r="O34" s="8">
        <f>IF(COUNTIF(PARAMETRES_REGIMES!$A$3:$A$100,$A34)&gt;0,MIN(M34,SUM(F34:L34)*24),MIN(M34,SUM(F34:K34)*24))</f>
        <v>0</v>
      </c>
      <c r="P34" s="9">
        <f>IF(COUNTIF(PARAMETRES_REGIMES!$A$3:$A$100,$A34)&gt;0,FLOOR(MAX(SUM(F34:L34)*24-M34,0),0.5),FLOOR(MAX(SUM(F34:K34)*24-M34,0),0.5))</f>
        <v>0</v>
      </c>
      <c r="Q34" s="9">
        <f>IF(COUNTIF(PARAMETRES_REGIMES!$A$3:$A$100,$A34)&gt;0,0,IF(ISNUMBER(L34),FLOOR(MAX(L34*24,0),0.5),0))</f>
        <v>0</v>
      </c>
      <c r="R34" s="8">
        <f t="shared" si="1"/>
        <v>0</v>
      </c>
      <c r="S34" s="8">
        <f t="shared" si="2"/>
        <v>0</v>
      </c>
      <c r="T34" s="8">
        <f t="shared" si="3"/>
        <v>0</v>
      </c>
      <c r="U34" s="8">
        <f t="shared" si="4"/>
        <v>0</v>
      </c>
      <c r="V34" s="10" t="str">
        <f t="shared" si="5"/>
        <v>OK</v>
      </c>
    </row>
    <row r="35" spans="1:22">
      <c r="A35" s="17">
        <v>50</v>
      </c>
      <c r="B35" s="5" t="s">
        <v>106</v>
      </c>
      <c r="C35" s="5" t="s">
        <v>107</v>
      </c>
      <c r="D35" s="5" t="s">
        <v>92</v>
      </c>
      <c r="E35" s="17" t="s">
        <v>21</v>
      </c>
      <c r="F35" s="6"/>
      <c r="G35" s="7"/>
      <c r="H35" s="7"/>
      <c r="I35" s="7"/>
      <c r="J35" s="7"/>
      <c r="K35" s="7"/>
      <c r="L35" s="7"/>
      <c r="M35" s="8">
        <f>48</f>
        <v>48</v>
      </c>
      <c r="N35" s="8">
        <f t="shared" ref="N35:N66" si="6">SUM(F35:L35)*24</f>
        <v>0</v>
      </c>
      <c r="O35" s="8">
        <f>IF(COUNTIF(PARAMETRES_REGIMES!$A$3:$A$100,$A35)&gt;0,MIN(M35,SUM(F35:L35)*24),MIN(M35,SUM(F35:K35)*24))</f>
        <v>0</v>
      </c>
      <c r="P35" s="9">
        <f>IF(COUNTIF(PARAMETRES_REGIMES!$A$3:$A$100,$A35)&gt;0,FLOOR(MAX(SUM(F35:L35)*24-M35,0),0.5),FLOOR(MAX(SUM(F35:K35)*24-M35,0),0.5))</f>
        <v>0</v>
      </c>
      <c r="Q35" s="9">
        <f>IF(COUNTIF(PARAMETRES_REGIMES!$A$3:$A$100,$A35)&gt;0,0,IF(ISNUMBER(L35),FLOOR(MAX(L35*24,0),0.5),0))</f>
        <v>0</v>
      </c>
      <c r="R35" s="8">
        <f t="shared" ref="R35:R66" si="7">COUNTIF(F35:L35,"ABS")</f>
        <v>0</v>
      </c>
      <c r="S35" s="8">
        <f t="shared" ref="S35:S66" si="8">COUNTIF(F35:L35,"Congé")</f>
        <v>0</v>
      </c>
      <c r="T35" s="8">
        <f t="shared" ref="T35:T66" si="9">COUNTIF(F35:L35,"Férié")</f>
        <v>0</v>
      </c>
      <c r="U35" s="8">
        <f t="shared" ref="U35:U66" si="10">O35+P35+Q35+(T35*8.5)</f>
        <v>0</v>
      </c>
      <c r="V35" s="10" t="str">
        <f t="shared" ref="V35:V66" si="11">IF(COUNTIF(F35:L35,"STC")&gt;0,"STC",IF(COUNTIF(F35:L35,"*!*")&gt;0,"À vérifier","OK"))</f>
        <v>OK</v>
      </c>
    </row>
    <row r="36" spans="1:22">
      <c r="A36" s="17">
        <v>250</v>
      </c>
      <c r="B36" s="5" t="s">
        <v>108</v>
      </c>
      <c r="C36" s="5" t="s">
        <v>66</v>
      </c>
      <c r="D36" s="5" t="s">
        <v>92</v>
      </c>
      <c r="E36" s="17" t="s">
        <v>21</v>
      </c>
      <c r="F36" s="6"/>
      <c r="G36" s="7"/>
      <c r="H36" s="7"/>
      <c r="I36" s="7"/>
      <c r="J36" s="7"/>
      <c r="K36" s="7"/>
      <c r="L36" s="7"/>
      <c r="M36" s="8">
        <f>48</f>
        <v>48</v>
      </c>
      <c r="N36" s="8">
        <f t="shared" si="6"/>
        <v>0</v>
      </c>
      <c r="O36" s="8">
        <f>IF(COUNTIF(PARAMETRES_REGIMES!$A$3:$A$100,$A36)&gt;0,MIN(M36,SUM(F36:L36)*24),MIN(M36,SUM(F36:K36)*24))</f>
        <v>0</v>
      </c>
      <c r="P36" s="9">
        <f>IF(COUNTIF(PARAMETRES_REGIMES!$A$3:$A$100,$A36)&gt;0,FLOOR(MAX(SUM(F36:L36)*24-M36,0),0.5),FLOOR(MAX(SUM(F36:K36)*24-M36,0),0.5))</f>
        <v>0</v>
      </c>
      <c r="Q36" s="9">
        <f>IF(COUNTIF(PARAMETRES_REGIMES!$A$3:$A$100,$A36)&gt;0,0,IF(ISNUMBER(L36),FLOOR(MAX(L36*24,0),0.5),0))</f>
        <v>0</v>
      </c>
      <c r="R36" s="8">
        <f t="shared" si="7"/>
        <v>0</v>
      </c>
      <c r="S36" s="8">
        <f t="shared" si="8"/>
        <v>0</v>
      </c>
      <c r="T36" s="8">
        <f t="shared" si="9"/>
        <v>0</v>
      </c>
      <c r="U36" s="8">
        <f t="shared" si="10"/>
        <v>0</v>
      </c>
      <c r="V36" s="10" t="str">
        <f t="shared" si="11"/>
        <v>OK</v>
      </c>
    </row>
    <row r="37" spans="1:22">
      <c r="A37" s="17" t="s">
        <v>109</v>
      </c>
      <c r="B37" s="5" t="s">
        <v>110</v>
      </c>
      <c r="C37" s="5" t="s">
        <v>111</v>
      </c>
      <c r="D37" s="5" t="s">
        <v>92</v>
      </c>
      <c r="E37" s="17" t="s">
        <v>21</v>
      </c>
      <c r="F37" s="6"/>
      <c r="G37" s="7"/>
      <c r="H37" s="7"/>
      <c r="I37" s="7"/>
      <c r="J37" s="7"/>
      <c r="K37" s="7"/>
      <c r="L37" s="7"/>
      <c r="M37" s="8">
        <f>48</f>
        <v>48</v>
      </c>
      <c r="N37" s="8">
        <f t="shared" si="6"/>
        <v>0</v>
      </c>
      <c r="O37" s="8">
        <f>IF(COUNTIF(PARAMETRES_REGIMES!$A$3:$A$100,$A37)&gt;0,MIN(M37,SUM(F37:L37)*24),MIN(M37,SUM(F37:K37)*24))</f>
        <v>0</v>
      </c>
      <c r="P37" s="9">
        <f>IF(COUNTIF(PARAMETRES_REGIMES!$A$3:$A$100,$A37)&gt;0,FLOOR(MAX(SUM(F37:L37)*24-M37,0),0.5),FLOOR(MAX(SUM(F37:K37)*24-M37,0),0.5))</f>
        <v>0</v>
      </c>
      <c r="Q37" s="9">
        <f>IF(COUNTIF(PARAMETRES_REGIMES!$A$3:$A$100,$A37)&gt;0,0,IF(ISNUMBER(L37),FLOOR(MAX(L37*24,0),0.5),0))</f>
        <v>0</v>
      </c>
      <c r="R37" s="8">
        <f t="shared" si="7"/>
        <v>0</v>
      </c>
      <c r="S37" s="8">
        <f t="shared" si="8"/>
        <v>0</v>
      </c>
      <c r="T37" s="8">
        <f t="shared" si="9"/>
        <v>0</v>
      </c>
      <c r="U37" s="8">
        <f t="shared" si="10"/>
        <v>0</v>
      </c>
      <c r="V37" s="10" t="str">
        <f t="shared" si="11"/>
        <v>OK</v>
      </c>
    </row>
    <row r="38" spans="1:22">
      <c r="A38" s="17">
        <v>223</v>
      </c>
      <c r="B38" s="5" t="s">
        <v>112</v>
      </c>
      <c r="C38" s="5" t="s">
        <v>113</v>
      </c>
      <c r="D38" s="5" t="s">
        <v>92</v>
      </c>
      <c r="E38" s="17" t="s">
        <v>21</v>
      </c>
      <c r="F38" s="6"/>
      <c r="G38" s="7"/>
      <c r="H38" s="7"/>
      <c r="I38" s="7"/>
      <c r="J38" s="7"/>
      <c r="K38" s="7"/>
      <c r="L38" s="7"/>
      <c r="M38" s="8">
        <f>48</f>
        <v>48</v>
      </c>
      <c r="N38" s="8">
        <f t="shared" si="6"/>
        <v>0</v>
      </c>
      <c r="O38" s="8">
        <f>IF(COUNTIF(PARAMETRES_REGIMES!$A$3:$A$100,$A38)&gt;0,MIN(M38,SUM(F38:L38)*24),MIN(M38,SUM(F38:K38)*24))</f>
        <v>0</v>
      </c>
      <c r="P38" s="9">
        <f>IF(COUNTIF(PARAMETRES_REGIMES!$A$3:$A$100,$A38)&gt;0,FLOOR(MAX(SUM(F38:L38)*24-M38,0),0.5),FLOOR(MAX(SUM(F38:K38)*24-M38,0),0.5))</f>
        <v>0</v>
      </c>
      <c r="Q38" s="9">
        <f>IF(COUNTIF(PARAMETRES_REGIMES!$A$3:$A$100,$A38)&gt;0,0,IF(ISNUMBER(L38),FLOOR(MAX(L38*24,0),0.5),0))</f>
        <v>0</v>
      </c>
      <c r="R38" s="8">
        <f t="shared" si="7"/>
        <v>0</v>
      </c>
      <c r="S38" s="8">
        <f t="shared" si="8"/>
        <v>0</v>
      </c>
      <c r="T38" s="8">
        <f t="shared" si="9"/>
        <v>0</v>
      </c>
      <c r="U38" s="8">
        <f t="shared" si="10"/>
        <v>0</v>
      </c>
      <c r="V38" s="10" t="str">
        <f t="shared" si="11"/>
        <v>OK</v>
      </c>
    </row>
    <row r="39" spans="1:22">
      <c r="A39" s="17" t="s">
        <v>114</v>
      </c>
      <c r="B39" s="5" t="s">
        <v>115</v>
      </c>
      <c r="C39" s="5" t="s">
        <v>116</v>
      </c>
      <c r="D39" s="5" t="s">
        <v>92</v>
      </c>
      <c r="E39" s="17" t="s">
        <v>21</v>
      </c>
      <c r="F39" s="6"/>
      <c r="G39" s="7"/>
      <c r="H39" s="7"/>
      <c r="I39" s="7"/>
      <c r="J39" s="7"/>
      <c r="K39" s="7"/>
      <c r="L39" s="7"/>
      <c r="M39" s="8">
        <f>48</f>
        <v>48</v>
      </c>
      <c r="N39" s="8">
        <f t="shared" si="6"/>
        <v>0</v>
      </c>
      <c r="O39" s="8">
        <f>IF(COUNTIF(PARAMETRES_REGIMES!$A$3:$A$100,$A39)&gt;0,MIN(M39,SUM(F39:L39)*24),MIN(M39,SUM(F39:K39)*24))</f>
        <v>0</v>
      </c>
      <c r="P39" s="9">
        <f>IF(COUNTIF(PARAMETRES_REGIMES!$A$3:$A$100,$A39)&gt;0,FLOOR(MAX(SUM(F39:L39)*24-M39,0),0.5),FLOOR(MAX(SUM(F39:K39)*24-M39,0),0.5))</f>
        <v>0</v>
      </c>
      <c r="Q39" s="9">
        <f>IF(COUNTIF(PARAMETRES_REGIMES!$A$3:$A$100,$A39)&gt;0,0,IF(ISNUMBER(L39),FLOOR(MAX(L39*24,0),0.5),0))</f>
        <v>0</v>
      </c>
      <c r="R39" s="8">
        <f t="shared" si="7"/>
        <v>0</v>
      </c>
      <c r="S39" s="8">
        <f t="shared" si="8"/>
        <v>0</v>
      </c>
      <c r="T39" s="8">
        <f t="shared" si="9"/>
        <v>0</v>
      </c>
      <c r="U39" s="8">
        <f t="shared" si="10"/>
        <v>0</v>
      </c>
      <c r="V39" s="10" t="str">
        <f t="shared" si="11"/>
        <v>OK</v>
      </c>
    </row>
    <row r="40" spans="1:22">
      <c r="A40" s="17" t="s">
        <v>117</v>
      </c>
      <c r="B40" s="5" t="s">
        <v>118</v>
      </c>
      <c r="C40" s="5" t="s">
        <v>119</v>
      </c>
      <c r="D40" s="5" t="s">
        <v>92</v>
      </c>
      <c r="E40" s="17" t="s">
        <v>21</v>
      </c>
      <c r="F40" s="6"/>
      <c r="G40" s="7"/>
      <c r="H40" s="7"/>
      <c r="I40" s="7"/>
      <c r="J40" s="7"/>
      <c r="K40" s="7"/>
      <c r="L40" s="7"/>
      <c r="M40" s="8">
        <f>48</f>
        <v>48</v>
      </c>
      <c r="N40" s="8">
        <f t="shared" si="6"/>
        <v>0</v>
      </c>
      <c r="O40" s="8">
        <f>IF(COUNTIF(PARAMETRES_REGIMES!$A$3:$A$100,$A40)&gt;0,MIN(M40,SUM(F40:L40)*24),MIN(M40,SUM(F40:K40)*24))</f>
        <v>0</v>
      </c>
      <c r="P40" s="9">
        <f>IF(COUNTIF(PARAMETRES_REGIMES!$A$3:$A$100,$A40)&gt;0,FLOOR(MAX(SUM(F40:L40)*24-M40,0),0.5),FLOOR(MAX(SUM(F40:K40)*24-M40,0),0.5))</f>
        <v>0</v>
      </c>
      <c r="Q40" s="9">
        <f>IF(COUNTIF(PARAMETRES_REGIMES!$A$3:$A$100,$A40)&gt;0,0,IF(ISNUMBER(L40),FLOOR(MAX(L40*24,0),0.5),0))</f>
        <v>0</v>
      </c>
      <c r="R40" s="8">
        <f t="shared" si="7"/>
        <v>0</v>
      </c>
      <c r="S40" s="8">
        <f t="shared" si="8"/>
        <v>0</v>
      </c>
      <c r="T40" s="8">
        <f t="shared" si="9"/>
        <v>0</v>
      </c>
      <c r="U40" s="8">
        <f t="shared" si="10"/>
        <v>0</v>
      </c>
      <c r="V40" s="10" t="str">
        <f t="shared" si="11"/>
        <v>OK</v>
      </c>
    </row>
    <row r="41" spans="1:22">
      <c r="A41" s="17" t="s">
        <v>120</v>
      </c>
      <c r="B41" s="5" t="s">
        <v>121</v>
      </c>
      <c r="C41" s="5" t="s">
        <v>122</v>
      </c>
      <c r="D41" s="5" t="s">
        <v>31</v>
      </c>
      <c r="E41" s="17" t="s">
        <v>123</v>
      </c>
      <c r="F41" s="6"/>
      <c r="G41" s="7"/>
      <c r="H41" s="7"/>
      <c r="I41" s="7"/>
      <c r="J41" s="7"/>
      <c r="K41" s="7"/>
      <c r="L41" s="7"/>
      <c r="M41" s="8">
        <f>48</f>
        <v>48</v>
      </c>
      <c r="N41" s="8">
        <f t="shared" si="6"/>
        <v>0</v>
      </c>
      <c r="O41" s="8">
        <f>IF(COUNTIF(PARAMETRES_REGIMES!$A$3:$A$100,$A41)&gt;0,MIN(M41,SUM(F41:L41)*24),MIN(M41,SUM(F41:K41)*24))</f>
        <v>0</v>
      </c>
      <c r="P41" s="9">
        <f>IF(COUNTIF(PARAMETRES_REGIMES!$A$3:$A$100,$A41)&gt;0,FLOOR(MAX(SUM(F41:L41)*24-M41,0),0.5),FLOOR(MAX(SUM(F41:K41)*24-M41,0),0.5))</f>
        <v>0</v>
      </c>
      <c r="Q41" s="9">
        <f>IF(COUNTIF(PARAMETRES_REGIMES!$A$3:$A$100,$A41)&gt;0,0,IF(ISNUMBER(L41),FLOOR(MAX(L41*24,0),0.5),0))</f>
        <v>0</v>
      </c>
      <c r="R41" s="8">
        <f t="shared" si="7"/>
        <v>0</v>
      </c>
      <c r="S41" s="8">
        <f t="shared" si="8"/>
        <v>0</v>
      </c>
      <c r="T41" s="8">
        <f t="shared" si="9"/>
        <v>0</v>
      </c>
      <c r="U41" s="8">
        <f t="shared" si="10"/>
        <v>0</v>
      </c>
      <c r="V41" s="10" t="str">
        <f t="shared" si="11"/>
        <v>OK</v>
      </c>
    </row>
    <row r="42" spans="1:22">
      <c r="A42" s="17" t="s">
        <v>124</v>
      </c>
      <c r="B42" s="5" t="s">
        <v>68</v>
      </c>
      <c r="C42" s="5" t="s">
        <v>125</v>
      </c>
      <c r="D42" s="5" t="s">
        <v>31</v>
      </c>
      <c r="E42" s="17" t="s">
        <v>123</v>
      </c>
      <c r="F42" s="6"/>
      <c r="G42" s="7"/>
      <c r="H42" s="7"/>
      <c r="I42" s="7"/>
      <c r="J42" s="7"/>
      <c r="K42" s="7"/>
      <c r="L42" s="7"/>
      <c r="M42" s="8">
        <f>48</f>
        <v>48</v>
      </c>
      <c r="N42" s="8">
        <f t="shared" si="6"/>
        <v>0</v>
      </c>
      <c r="O42" s="8">
        <f>IF(COUNTIF(PARAMETRES_REGIMES!$A$3:$A$100,$A42)&gt;0,MIN(M42,SUM(F42:L42)*24),MIN(M42,SUM(F42:K42)*24))</f>
        <v>0</v>
      </c>
      <c r="P42" s="9">
        <f>IF(COUNTIF(PARAMETRES_REGIMES!$A$3:$A$100,$A42)&gt;0,FLOOR(MAX(SUM(F42:L42)*24-M42,0),0.5),FLOOR(MAX(SUM(F42:K42)*24-M42,0),0.5))</f>
        <v>0</v>
      </c>
      <c r="Q42" s="9">
        <f>IF(COUNTIF(PARAMETRES_REGIMES!$A$3:$A$100,$A42)&gt;0,0,IF(ISNUMBER(L42),FLOOR(MAX(L42*24,0),0.5),0))</f>
        <v>0</v>
      </c>
      <c r="R42" s="8">
        <f t="shared" si="7"/>
        <v>0</v>
      </c>
      <c r="S42" s="8">
        <f t="shared" si="8"/>
        <v>0</v>
      </c>
      <c r="T42" s="8">
        <f t="shared" si="9"/>
        <v>0</v>
      </c>
      <c r="U42" s="8">
        <f t="shared" si="10"/>
        <v>0</v>
      </c>
      <c r="V42" s="10" t="str">
        <f t="shared" si="11"/>
        <v>OK</v>
      </c>
    </row>
    <row r="43" spans="1:22">
      <c r="A43" s="17" t="s">
        <v>126</v>
      </c>
      <c r="B43" s="5" t="s">
        <v>127</v>
      </c>
      <c r="C43" s="5" t="s">
        <v>128</v>
      </c>
      <c r="D43" s="5" t="s">
        <v>31</v>
      </c>
      <c r="E43" s="17" t="s">
        <v>123</v>
      </c>
      <c r="F43" s="6"/>
      <c r="G43" s="7"/>
      <c r="H43" s="7"/>
      <c r="I43" s="7"/>
      <c r="J43" s="7"/>
      <c r="K43" s="7"/>
      <c r="L43" s="7"/>
      <c r="M43" s="8">
        <f>48</f>
        <v>48</v>
      </c>
      <c r="N43" s="8">
        <f t="shared" si="6"/>
        <v>0</v>
      </c>
      <c r="O43" s="8">
        <f>IF(COUNTIF(PARAMETRES_REGIMES!$A$3:$A$100,$A43)&gt;0,MIN(M43,SUM(F43:L43)*24),MIN(M43,SUM(F43:K43)*24))</f>
        <v>0</v>
      </c>
      <c r="P43" s="9">
        <f>IF(COUNTIF(PARAMETRES_REGIMES!$A$3:$A$100,$A43)&gt;0,FLOOR(MAX(SUM(F43:L43)*24-M43,0),0.5),FLOOR(MAX(SUM(F43:K43)*24-M43,0),0.5))</f>
        <v>0</v>
      </c>
      <c r="Q43" s="9">
        <f>IF(COUNTIF(PARAMETRES_REGIMES!$A$3:$A$100,$A43)&gt;0,0,IF(ISNUMBER(L43),FLOOR(MAX(L43*24,0),0.5),0))</f>
        <v>0</v>
      </c>
      <c r="R43" s="8">
        <f t="shared" si="7"/>
        <v>0</v>
      </c>
      <c r="S43" s="8">
        <f t="shared" si="8"/>
        <v>0</v>
      </c>
      <c r="T43" s="8">
        <f t="shared" si="9"/>
        <v>0</v>
      </c>
      <c r="U43" s="8">
        <f t="shared" si="10"/>
        <v>0</v>
      </c>
      <c r="V43" s="10" t="str">
        <f t="shared" si="11"/>
        <v>OK</v>
      </c>
    </row>
    <row r="44" spans="1:22">
      <c r="A44" s="17">
        <v>53</v>
      </c>
      <c r="B44" s="5" t="s">
        <v>129</v>
      </c>
      <c r="C44" s="5" t="s">
        <v>130</v>
      </c>
      <c r="D44" s="5" t="s">
        <v>31</v>
      </c>
      <c r="E44" s="17" t="s">
        <v>123</v>
      </c>
      <c r="F44" s="6"/>
      <c r="G44" s="7"/>
      <c r="H44" s="7"/>
      <c r="I44" s="7"/>
      <c r="J44" s="7"/>
      <c r="K44" s="7"/>
      <c r="L44" s="7"/>
      <c r="M44" s="8">
        <f>48</f>
        <v>48</v>
      </c>
      <c r="N44" s="8">
        <f t="shared" si="6"/>
        <v>0</v>
      </c>
      <c r="O44" s="8">
        <f>IF(COUNTIF(PARAMETRES_REGIMES!$A$3:$A$100,$A44)&gt;0,MIN(M44,SUM(F44:L44)*24),MIN(M44,SUM(F44:K44)*24))</f>
        <v>0</v>
      </c>
      <c r="P44" s="9">
        <f>IF(COUNTIF(PARAMETRES_REGIMES!$A$3:$A$100,$A44)&gt;0,FLOOR(MAX(SUM(F44:L44)*24-M44,0),0.5),FLOOR(MAX(SUM(F44:K44)*24-M44,0),0.5))</f>
        <v>0</v>
      </c>
      <c r="Q44" s="9">
        <f>IF(COUNTIF(PARAMETRES_REGIMES!$A$3:$A$100,$A44)&gt;0,0,IF(ISNUMBER(L44),FLOOR(MAX(L44*24,0),0.5),0))</f>
        <v>0</v>
      </c>
      <c r="R44" s="8">
        <f t="shared" si="7"/>
        <v>0</v>
      </c>
      <c r="S44" s="8">
        <f t="shared" si="8"/>
        <v>0</v>
      </c>
      <c r="T44" s="8">
        <f t="shared" si="9"/>
        <v>0</v>
      </c>
      <c r="U44" s="8">
        <f t="shared" si="10"/>
        <v>0</v>
      </c>
      <c r="V44" s="10" t="str">
        <f t="shared" si="11"/>
        <v>OK</v>
      </c>
    </row>
    <row r="45" spans="1:22">
      <c r="A45" s="17" t="s">
        <v>131</v>
      </c>
      <c r="B45" s="5" t="s">
        <v>132</v>
      </c>
      <c r="C45" s="5" t="s">
        <v>133</v>
      </c>
      <c r="D45" s="5" t="s">
        <v>31</v>
      </c>
      <c r="E45" s="17" t="s">
        <v>123</v>
      </c>
      <c r="F45" s="6"/>
      <c r="G45" s="7"/>
      <c r="H45" s="7"/>
      <c r="I45" s="7"/>
      <c r="J45" s="7"/>
      <c r="K45" s="7"/>
      <c r="L45" s="7"/>
      <c r="M45" s="8">
        <f>48</f>
        <v>48</v>
      </c>
      <c r="N45" s="8">
        <f t="shared" si="6"/>
        <v>0</v>
      </c>
      <c r="O45" s="8">
        <f>IF(COUNTIF(PARAMETRES_REGIMES!$A$3:$A$100,$A45)&gt;0,MIN(M45,SUM(F45:L45)*24),MIN(M45,SUM(F45:K45)*24))</f>
        <v>0</v>
      </c>
      <c r="P45" s="9">
        <f>IF(COUNTIF(PARAMETRES_REGIMES!$A$3:$A$100,$A45)&gt;0,FLOOR(MAX(SUM(F45:L45)*24-M45,0),0.5),FLOOR(MAX(SUM(F45:K45)*24-M45,0),0.5))</f>
        <v>0</v>
      </c>
      <c r="Q45" s="9">
        <f>IF(COUNTIF(PARAMETRES_REGIMES!$A$3:$A$100,$A45)&gt;0,0,IF(ISNUMBER(L45),FLOOR(MAX(L45*24,0),0.5),0))</f>
        <v>0</v>
      </c>
      <c r="R45" s="8">
        <f t="shared" si="7"/>
        <v>0</v>
      </c>
      <c r="S45" s="8">
        <f t="shared" si="8"/>
        <v>0</v>
      </c>
      <c r="T45" s="8">
        <f t="shared" si="9"/>
        <v>0</v>
      </c>
      <c r="U45" s="8">
        <f t="shared" si="10"/>
        <v>0</v>
      </c>
      <c r="V45" s="10" t="str">
        <f t="shared" si="11"/>
        <v>OK</v>
      </c>
    </row>
    <row r="46" spans="1:22">
      <c r="A46" s="17" t="s">
        <v>134</v>
      </c>
      <c r="B46" s="5" t="s">
        <v>135</v>
      </c>
      <c r="C46" s="5" t="s">
        <v>136</v>
      </c>
      <c r="D46" s="5" t="s">
        <v>31</v>
      </c>
      <c r="E46" s="17" t="s">
        <v>123</v>
      </c>
      <c r="F46" s="6"/>
      <c r="G46" s="7"/>
      <c r="H46" s="7"/>
      <c r="I46" s="7"/>
      <c r="J46" s="7"/>
      <c r="K46" s="7"/>
      <c r="L46" s="7"/>
      <c r="M46" s="8">
        <f>48</f>
        <v>48</v>
      </c>
      <c r="N46" s="8">
        <f t="shared" si="6"/>
        <v>0</v>
      </c>
      <c r="O46" s="8">
        <f>IF(COUNTIF(PARAMETRES_REGIMES!$A$3:$A$100,$A46)&gt;0,MIN(M46,SUM(F46:L46)*24),MIN(M46,SUM(F46:K46)*24))</f>
        <v>0</v>
      </c>
      <c r="P46" s="9">
        <f>IF(COUNTIF(PARAMETRES_REGIMES!$A$3:$A$100,$A46)&gt;0,FLOOR(MAX(SUM(F46:L46)*24-M46,0),0.5),FLOOR(MAX(SUM(F46:K46)*24-M46,0),0.5))</f>
        <v>0</v>
      </c>
      <c r="Q46" s="9">
        <f>IF(COUNTIF(PARAMETRES_REGIMES!$A$3:$A$100,$A46)&gt;0,0,IF(ISNUMBER(L46),FLOOR(MAX(L46*24,0),0.5),0))</f>
        <v>0</v>
      </c>
      <c r="R46" s="8">
        <f t="shared" si="7"/>
        <v>0</v>
      </c>
      <c r="S46" s="8">
        <f t="shared" si="8"/>
        <v>0</v>
      </c>
      <c r="T46" s="8">
        <f t="shared" si="9"/>
        <v>0</v>
      </c>
      <c r="U46" s="8">
        <f t="shared" si="10"/>
        <v>0</v>
      </c>
      <c r="V46" s="10" t="str">
        <f t="shared" si="11"/>
        <v>OK</v>
      </c>
    </row>
    <row r="47" spans="1:22">
      <c r="A47" s="17" t="s">
        <v>137</v>
      </c>
      <c r="B47" s="5" t="s">
        <v>138</v>
      </c>
      <c r="C47" s="5" t="s">
        <v>139</v>
      </c>
      <c r="D47" s="5" t="s">
        <v>31</v>
      </c>
      <c r="E47" s="17" t="s">
        <v>123</v>
      </c>
      <c r="F47" s="6"/>
      <c r="G47" s="7"/>
      <c r="H47" s="7"/>
      <c r="I47" s="7"/>
      <c r="J47" s="7"/>
      <c r="K47" s="7"/>
      <c r="L47" s="7"/>
      <c r="M47" s="8">
        <f>48</f>
        <v>48</v>
      </c>
      <c r="N47" s="8">
        <f t="shared" si="6"/>
        <v>0</v>
      </c>
      <c r="O47" s="8">
        <f>IF(COUNTIF(PARAMETRES_REGIMES!$A$3:$A$100,$A47)&gt;0,MIN(M47,SUM(F47:L47)*24),MIN(M47,SUM(F47:K47)*24))</f>
        <v>0</v>
      </c>
      <c r="P47" s="9">
        <f>IF(COUNTIF(PARAMETRES_REGIMES!$A$3:$A$100,$A47)&gt;0,FLOOR(MAX(SUM(F47:L47)*24-M47,0),0.5),FLOOR(MAX(SUM(F47:K47)*24-M47,0),0.5))</f>
        <v>0</v>
      </c>
      <c r="Q47" s="9">
        <f>IF(COUNTIF(PARAMETRES_REGIMES!$A$3:$A$100,$A47)&gt;0,0,IF(ISNUMBER(L47),FLOOR(MAX(L47*24,0),0.5),0))</f>
        <v>0</v>
      </c>
      <c r="R47" s="8">
        <f t="shared" si="7"/>
        <v>0</v>
      </c>
      <c r="S47" s="8">
        <f t="shared" si="8"/>
        <v>0</v>
      </c>
      <c r="T47" s="8">
        <f t="shared" si="9"/>
        <v>0</v>
      </c>
      <c r="U47" s="8">
        <f t="shared" si="10"/>
        <v>0</v>
      </c>
      <c r="V47" s="10" t="str">
        <f t="shared" si="11"/>
        <v>OK</v>
      </c>
    </row>
    <row r="48" spans="1:22">
      <c r="A48" s="17" t="s">
        <v>140</v>
      </c>
      <c r="B48" s="5" t="s">
        <v>141</v>
      </c>
      <c r="C48" s="5" t="s">
        <v>142</v>
      </c>
      <c r="D48" s="5" t="s">
        <v>31</v>
      </c>
      <c r="E48" s="17" t="s">
        <v>123</v>
      </c>
      <c r="F48" s="6"/>
      <c r="G48" s="7"/>
      <c r="H48" s="7"/>
      <c r="I48" s="7"/>
      <c r="J48" s="7"/>
      <c r="K48" s="7"/>
      <c r="L48" s="7"/>
      <c r="M48" s="8">
        <f>48</f>
        <v>48</v>
      </c>
      <c r="N48" s="8">
        <f t="shared" si="6"/>
        <v>0</v>
      </c>
      <c r="O48" s="8">
        <f>IF(COUNTIF(PARAMETRES_REGIMES!$A$3:$A$100,$A48)&gt;0,MIN(M48,SUM(F48:L48)*24),MIN(M48,SUM(F48:K48)*24))</f>
        <v>0</v>
      </c>
      <c r="P48" s="9">
        <f>IF(COUNTIF(PARAMETRES_REGIMES!$A$3:$A$100,$A48)&gt;0,FLOOR(MAX(SUM(F48:L48)*24-M48,0),0.5),FLOOR(MAX(SUM(F48:K48)*24-M48,0),0.5))</f>
        <v>0</v>
      </c>
      <c r="Q48" s="9">
        <f>IF(COUNTIF(PARAMETRES_REGIMES!$A$3:$A$100,$A48)&gt;0,0,IF(ISNUMBER(L48),FLOOR(MAX(L48*24,0),0.5),0))</f>
        <v>0</v>
      </c>
      <c r="R48" s="8">
        <f t="shared" si="7"/>
        <v>0</v>
      </c>
      <c r="S48" s="8">
        <f t="shared" si="8"/>
        <v>0</v>
      </c>
      <c r="T48" s="8">
        <f t="shared" si="9"/>
        <v>0</v>
      </c>
      <c r="U48" s="8">
        <f t="shared" si="10"/>
        <v>0</v>
      </c>
      <c r="V48" s="10" t="str">
        <f t="shared" si="11"/>
        <v>OK</v>
      </c>
    </row>
    <row r="49" spans="1:22">
      <c r="A49" s="17" t="s">
        <v>143</v>
      </c>
      <c r="B49" s="5" t="s">
        <v>144</v>
      </c>
      <c r="C49" s="5" t="s">
        <v>145</v>
      </c>
      <c r="D49" s="5" t="s">
        <v>31</v>
      </c>
      <c r="E49" s="17" t="s">
        <v>123</v>
      </c>
      <c r="F49" s="6"/>
      <c r="G49" s="7"/>
      <c r="H49" s="7"/>
      <c r="I49" s="7"/>
      <c r="J49" s="7"/>
      <c r="K49" s="7"/>
      <c r="L49" s="7"/>
      <c r="M49" s="8">
        <f>48</f>
        <v>48</v>
      </c>
      <c r="N49" s="8">
        <f t="shared" si="6"/>
        <v>0</v>
      </c>
      <c r="O49" s="8">
        <f>IF(COUNTIF(PARAMETRES_REGIMES!$A$3:$A$100,$A49)&gt;0,MIN(M49,SUM(F49:L49)*24),MIN(M49,SUM(F49:K49)*24))</f>
        <v>0</v>
      </c>
      <c r="P49" s="9">
        <f>IF(COUNTIF(PARAMETRES_REGIMES!$A$3:$A$100,$A49)&gt;0,FLOOR(MAX(SUM(F49:L49)*24-M49,0),0.5),FLOOR(MAX(SUM(F49:K49)*24-M49,0),0.5))</f>
        <v>0</v>
      </c>
      <c r="Q49" s="9">
        <f>IF(COUNTIF(PARAMETRES_REGIMES!$A$3:$A$100,$A49)&gt;0,0,IF(ISNUMBER(L49),FLOOR(MAX(L49*24,0),0.5),0))</f>
        <v>0</v>
      </c>
      <c r="R49" s="8">
        <f t="shared" si="7"/>
        <v>0</v>
      </c>
      <c r="S49" s="8">
        <f t="shared" si="8"/>
        <v>0</v>
      </c>
      <c r="T49" s="8">
        <f t="shared" si="9"/>
        <v>0</v>
      </c>
      <c r="U49" s="8">
        <f t="shared" si="10"/>
        <v>0</v>
      </c>
      <c r="V49" s="10" t="str">
        <f t="shared" si="11"/>
        <v>OK</v>
      </c>
    </row>
    <row r="50" spans="1:22">
      <c r="A50" s="17" t="s">
        <v>146</v>
      </c>
      <c r="B50" s="5" t="s">
        <v>147</v>
      </c>
      <c r="C50" s="5" t="s">
        <v>148</v>
      </c>
      <c r="D50" s="5" t="s">
        <v>31</v>
      </c>
      <c r="E50" s="17" t="s">
        <v>123</v>
      </c>
      <c r="F50" s="6"/>
      <c r="G50" s="7"/>
      <c r="H50" s="7"/>
      <c r="I50" s="7"/>
      <c r="J50" s="7"/>
      <c r="K50" s="7"/>
      <c r="L50" s="7"/>
      <c r="M50" s="8">
        <f>48</f>
        <v>48</v>
      </c>
      <c r="N50" s="8">
        <f t="shared" si="6"/>
        <v>0</v>
      </c>
      <c r="O50" s="8">
        <f>IF(COUNTIF(PARAMETRES_REGIMES!$A$3:$A$100,$A50)&gt;0,MIN(M50,SUM(F50:L50)*24),MIN(M50,SUM(F50:K50)*24))</f>
        <v>0</v>
      </c>
      <c r="P50" s="9">
        <f>IF(COUNTIF(PARAMETRES_REGIMES!$A$3:$A$100,$A50)&gt;0,FLOOR(MAX(SUM(F50:L50)*24-M50,0),0.5),FLOOR(MAX(SUM(F50:K50)*24-M50,0),0.5))</f>
        <v>0</v>
      </c>
      <c r="Q50" s="9">
        <f>IF(COUNTIF(PARAMETRES_REGIMES!$A$3:$A$100,$A50)&gt;0,0,IF(ISNUMBER(L50),FLOOR(MAX(L50*24,0),0.5),0))</f>
        <v>0</v>
      </c>
      <c r="R50" s="8">
        <f t="shared" si="7"/>
        <v>0</v>
      </c>
      <c r="S50" s="8">
        <f t="shared" si="8"/>
        <v>0</v>
      </c>
      <c r="T50" s="8">
        <f t="shared" si="9"/>
        <v>0</v>
      </c>
      <c r="U50" s="8">
        <f t="shared" si="10"/>
        <v>0</v>
      </c>
      <c r="V50" s="10" t="str">
        <f t="shared" si="11"/>
        <v>OK</v>
      </c>
    </row>
    <row r="51" spans="1:22">
      <c r="A51" s="17" t="s">
        <v>149</v>
      </c>
      <c r="B51" s="5" t="s">
        <v>150</v>
      </c>
      <c r="C51" s="5" t="s">
        <v>151</v>
      </c>
      <c r="D51" s="5" t="s">
        <v>31</v>
      </c>
      <c r="E51" s="17" t="s">
        <v>123</v>
      </c>
      <c r="F51" s="6"/>
      <c r="G51" s="7"/>
      <c r="H51" s="7"/>
      <c r="I51" s="7"/>
      <c r="J51" s="7"/>
      <c r="K51" s="7"/>
      <c r="L51" s="7"/>
      <c r="M51" s="8">
        <f>48</f>
        <v>48</v>
      </c>
      <c r="N51" s="8">
        <f t="shared" si="6"/>
        <v>0</v>
      </c>
      <c r="O51" s="8">
        <f>IF(COUNTIF(PARAMETRES_REGIMES!$A$3:$A$100,$A51)&gt;0,MIN(M51,SUM(F51:L51)*24),MIN(M51,SUM(F51:K51)*24))</f>
        <v>0</v>
      </c>
      <c r="P51" s="9">
        <f>IF(COUNTIF(PARAMETRES_REGIMES!$A$3:$A$100,$A51)&gt;0,FLOOR(MAX(SUM(F51:L51)*24-M51,0),0.5),FLOOR(MAX(SUM(F51:K51)*24-M51,0),0.5))</f>
        <v>0</v>
      </c>
      <c r="Q51" s="9">
        <f>IF(COUNTIF(PARAMETRES_REGIMES!$A$3:$A$100,$A51)&gt;0,0,IF(ISNUMBER(L51),FLOOR(MAX(L51*24,0),0.5),0))</f>
        <v>0</v>
      </c>
      <c r="R51" s="8">
        <f t="shared" si="7"/>
        <v>0</v>
      </c>
      <c r="S51" s="8">
        <f t="shared" si="8"/>
        <v>0</v>
      </c>
      <c r="T51" s="8">
        <f t="shared" si="9"/>
        <v>0</v>
      </c>
      <c r="U51" s="8">
        <f t="shared" si="10"/>
        <v>0</v>
      </c>
      <c r="V51" s="10" t="str">
        <f t="shared" si="11"/>
        <v>OK</v>
      </c>
    </row>
    <row r="52" spans="1:22">
      <c r="A52" s="17" t="s">
        <v>114</v>
      </c>
      <c r="B52" s="5" t="s">
        <v>150</v>
      </c>
      <c r="C52" s="5" t="s">
        <v>152</v>
      </c>
      <c r="D52" s="5" t="s">
        <v>31</v>
      </c>
      <c r="E52" s="17" t="s">
        <v>123</v>
      </c>
      <c r="F52" s="6"/>
      <c r="G52" s="7"/>
      <c r="H52" s="7"/>
      <c r="I52" s="7"/>
      <c r="J52" s="7"/>
      <c r="K52" s="7"/>
      <c r="L52" s="7"/>
      <c r="M52" s="8">
        <f>48</f>
        <v>48</v>
      </c>
      <c r="N52" s="8">
        <f t="shared" si="6"/>
        <v>0</v>
      </c>
      <c r="O52" s="8">
        <f>IF(COUNTIF(PARAMETRES_REGIMES!$A$3:$A$100,$A52)&gt;0,MIN(M52,SUM(F52:L52)*24),MIN(M52,SUM(F52:K52)*24))</f>
        <v>0</v>
      </c>
      <c r="P52" s="9">
        <f>IF(COUNTIF(PARAMETRES_REGIMES!$A$3:$A$100,$A52)&gt;0,FLOOR(MAX(SUM(F52:L52)*24-M52,0),0.5),FLOOR(MAX(SUM(F52:K52)*24-M52,0),0.5))</f>
        <v>0</v>
      </c>
      <c r="Q52" s="9">
        <f>IF(COUNTIF(PARAMETRES_REGIMES!$A$3:$A$100,$A52)&gt;0,0,IF(ISNUMBER(L52),FLOOR(MAX(L52*24,0),0.5),0))</f>
        <v>0</v>
      </c>
      <c r="R52" s="8">
        <f t="shared" si="7"/>
        <v>0</v>
      </c>
      <c r="S52" s="8">
        <f t="shared" si="8"/>
        <v>0</v>
      </c>
      <c r="T52" s="8">
        <f t="shared" si="9"/>
        <v>0</v>
      </c>
      <c r="U52" s="8">
        <f t="shared" si="10"/>
        <v>0</v>
      </c>
      <c r="V52" s="10" t="str">
        <f t="shared" si="11"/>
        <v>OK</v>
      </c>
    </row>
    <row r="53" spans="1:22">
      <c r="A53" s="17">
        <v>177</v>
      </c>
      <c r="B53" s="5" t="s">
        <v>153</v>
      </c>
      <c r="C53" s="5" t="s">
        <v>154</v>
      </c>
      <c r="D53" s="5" t="s">
        <v>31</v>
      </c>
      <c r="E53" s="17" t="s">
        <v>123</v>
      </c>
      <c r="F53" s="6"/>
      <c r="G53" s="7"/>
      <c r="H53" s="7"/>
      <c r="I53" s="7"/>
      <c r="J53" s="7"/>
      <c r="K53" s="7"/>
      <c r="L53" s="7"/>
      <c r="M53" s="8">
        <f>48</f>
        <v>48</v>
      </c>
      <c r="N53" s="8">
        <f t="shared" si="6"/>
        <v>0</v>
      </c>
      <c r="O53" s="8">
        <f>IF(COUNTIF(PARAMETRES_REGIMES!$A$3:$A$100,$A53)&gt;0,MIN(M53,SUM(F53:L53)*24),MIN(M53,SUM(F53:K53)*24))</f>
        <v>0</v>
      </c>
      <c r="P53" s="9">
        <f>IF(COUNTIF(PARAMETRES_REGIMES!$A$3:$A$100,$A53)&gt;0,FLOOR(MAX(SUM(F53:L53)*24-M53,0),0.5),FLOOR(MAX(SUM(F53:K53)*24-M53,0),0.5))</f>
        <v>0</v>
      </c>
      <c r="Q53" s="9">
        <f>IF(COUNTIF(PARAMETRES_REGIMES!$A$3:$A$100,$A53)&gt;0,0,IF(ISNUMBER(L53),FLOOR(MAX(L53*24,0),0.5),0))</f>
        <v>0</v>
      </c>
      <c r="R53" s="8">
        <f t="shared" si="7"/>
        <v>0</v>
      </c>
      <c r="S53" s="8">
        <f t="shared" si="8"/>
        <v>0</v>
      </c>
      <c r="T53" s="8">
        <f t="shared" si="9"/>
        <v>0</v>
      </c>
      <c r="U53" s="8">
        <f t="shared" si="10"/>
        <v>0</v>
      </c>
      <c r="V53" s="10" t="str">
        <f t="shared" si="11"/>
        <v>OK</v>
      </c>
    </row>
    <row r="54" spans="1:22">
      <c r="A54" s="17" t="s">
        <v>155</v>
      </c>
      <c r="B54" s="5" t="s">
        <v>156</v>
      </c>
      <c r="C54" s="5" t="s">
        <v>154</v>
      </c>
      <c r="D54" s="5" t="s">
        <v>31</v>
      </c>
      <c r="E54" s="17" t="s">
        <v>123</v>
      </c>
      <c r="F54" s="6"/>
      <c r="G54" s="7"/>
      <c r="H54" s="7"/>
      <c r="I54" s="7"/>
      <c r="J54" s="7"/>
      <c r="K54" s="7"/>
      <c r="L54" s="7"/>
      <c r="M54" s="8">
        <f>48</f>
        <v>48</v>
      </c>
      <c r="N54" s="8">
        <f t="shared" si="6"/>
        <v>0</v>
      </c>
      <c r="O54" s="8">
        <f>IF(COUNTIF(PARAMETRES_REGIMES!$A$3:$A$100,$A54)&gt;0,MIN(M54,SUM(F54:L54)*24),MIN(M54,SUM(F54:K54)*24))</f>
        <v>0</v>
      </c>
      <c r="P54" s="9">
        <f>IF(COUNTIF(PARAMETRES_REGIMES!$A$3:$A$100,$A54)&gt;0,FLOOR(MAX(SUM(F54:L54)*24-M54,0),0.5),FLOOR(MAX(SUM(F54:K54)*24-M54,0),0.5))</f>
        <v>0</v>
      </c>
      <c r="Q54" s="9">
        <f>IF(COUNTIF(PARAMETRES_REGIMES!$A$3:$A$100,$A54)&gt;0,0,IF(ISNUMBER(L54),FLOOR(MAX(L54*24,0),0.5),0))</f>
        <v>0</v>
      </c>
      <c r="R54" s="8">
        <f t="shared" si="7"/>
        <v>0</v>
      </c>
      <c r="S54" s="8">
        <f t="shared" si="8"/>
        <v>0</v>
      </c>
      <c r="T54" s="8">
        <f t="shared" si="9"/>
        <v>0</v>
      </c>
      <c r="U54" s="8">
        <f t="shared" si="10"/>
        <v>0</v>
      </c>
      <c r="V54" s="10" t="str">
        <f t="shared" si="11"/>
        <v>OK</v>
      </c>
    </row>
    <row r="55" spans="1:22">
      <c r="A55" s="17" t="s">
        <v>157</v>
      </c>
      <c r="B55" s="5" t="s">
        <v>158</v>
      </c>
      <c r="C55" s="5" t="s">
        <v>159</v>
      </c>
      <c r="D55" s="5" t="s">
        <v>31</v>
      </c>
      <c r="E55" s="17" t="s">
        <v>123</v>
      </c>
      <c r="F55" s="6"/>
      <c r="G55" s="7"/>
      <c r="H55" s="7"/>
      <c r="I55" s="7"/>
      <c r="J55" s="7"/>
      <c r="K55" s="7"/>
      <c r="L55" s="7"/>
      <c r="M55" s="8">
        <f>48</f>
        <v>48</v>
      </c>
      <c r="N55" s="8">
        <f t="shared" si="6"/>
        <v>0</v>
      </c>
      <c r="O55" s="8">
        <f>IF(COUNTIF(PARAMETRES_REGIMES!$A$3:$A$100,$A55)&gt;0,MIN(M55,SUM(F55:L55)*24),MIN(M55,SUM(F55:K55)*24))</f>
        <v>0</v>
      </c>
      <c r="P55" s="9">
        <f>IF(COUNTIF(PARAMETRES_REGIMES!$A$3:$A$100,$A55)&gt;0,FLOOR(MAX(SUM(F55:L55)*24-M55,0),0.5),FLOOR(MAX(SUM(F55:K55)*24-M55,0),0.5))</f>
        <v>0</v>
      </c>
      <c r="Q55" s="9">
        <f>IF(COUNTIF(PARAMETRES_REGIMES!$A$3:$A$100,$A55)&gt;0,0,IF(ISNUMBER(L55),FLOOR(MAX(L55*24,0),0.5),0))</f>
        <v>0</v>
      </c>
      <c r="R55" s="8">
        <f t="shared" si="7"/>
        <v>0</v>
      </c>
      <c r="S55" s="8">
        <f t="shared" si="8"/>
        <v>0</v>
      </c>
      <c r="T55" s="8">
        <f t="shared" si="9"/>
        <v>0</v>
      </c>
      <c r="U55" s="8">
        <f t="shared" si="10"/>
        <v>0</v>
      </c>
      <c r="V55" s="10" t="str">
        <f t="shared" si="11"/>
        <v>OK</v>
      </c>
    </row>
    <row r="56" spans="1:22">
      <c r="A56" s="17">
        <v>163</v>
      </c>
      <c r="B56" s="5" t="s">
        <v>160</v>
      </c>
      <c r="C56" s="5" t="s">
        <v>161</v>
      </c>
      <c r="D56" s="5" t="s">
        <v>31</v>
      </c>
      <c r="E56" s="17" t="s">
        <v>123</v>
      </c>
      <c r="F56" s="6"/>
      <c r="G56" s="7"/>
      <c r="H56" s="7"/>
      <c r="I56" s="7"/>
      <c r="J56" s="7"/>
      <c r="K56" s="7"/>
      <c r="L56" s="7"/>
      <c r="M56" s="8">
        <f>48</f>
        <v>48</v>
      </c>
      <c r="N56" s="8">
        <f t="shared" si="6"/>
        <v>0</v>
      </c>
      <c r="O56" s="8">
        <f>IF(COUNTIF(PARAMETRES_REGIMES!$A$3:$A$100,$A56)&gt;0,MIN(M56,SUM(F56:L56)*24),MIN(M56,SUM(F56:K56)*24))</f>
        <v>0</v>
      </c>
      <c r="P56" s="9">
        <f>IF(COUNTIF(PARAMETRES_REGIMES!$A$3:$A$100,$A56)&gt;0,FLOOR(MAX(SUM(F56:L56)*24-M56,0),0.5),FLOOR(MAX(SUM(F56:K56)*24-M56,0),0.5))</f>
        <v>0</v>
      </c>
      <c r="Q56" s="9">
        <f>IF(COUNTIF(PARAMETRES_REGIMES!$A$3:$A$100,$A56)&gt;0,0,IF(ISNUMBER(L56),FLOOR(MAX(L56*24,0),0.5),0))</f>
        <v>0</v>
      </c>
      <c r="R56" s="8">
        <f t="shared" si="7"/>
        <v>0</v>
      </c>
      <c r="S56" s="8">
        <f t="shared" si="8"/>
        <v>0</v>
      </c>
      <c r="T56" s="8">
        <f t="shared" si="9"/>
        <v>0</v>
      </c>
      <c r="U56" s="8">
        <f t="shared" si="10"/>
        <v>0</v>
      </c>
      <c r="V56" s="10" t="str">
        <f t="shared" si="11"/>
        <v>OK</v>
      </c>
    </row>
    <row r="57" spans="1:22">
      <c r="A57" s="17">
        <v>240</v>
      </c>
      <c r="B57" s="5" t="s">
        <v>162</v>
      </c>
      <c r="C57" s="5" t="s">
        <v>163</v>
      </c>
      <c r="D57" s="5" t="s">
        <v>31</v>
      </c>
      <c r="E57" s="17" t="s">
        <v>123</v>
      </c>
      <c r="F57" s="6"/>
      <c r="G57" s="7"/>
      <c r="H57" s="7"/>
      <c r="I57" s="7"/>
      <c r="J57" s="7"/>
      <c r="K57" s="7"/>
      <c r="L57" s="7"/>
      <c r="M57" s="8">
        <f>48</f>
        <v>48</v>
      </c>
      <c r="N57" s="8">
        <f t="shared" si="6"/>
        <v>0</v>
      </c>
      <c r="O57" s="8">
        <f>IF(COUNTIF(PARAMETRES_REGIMES!$A$3:$A$100,$A57)&gt;0,MIN(M57,SUM(F57:L57)*24),MIN(M57,SUM(F57:K57)*24))</f>
        <v>0</v>
      </c>
      <c r="P57" s="9">
        <f>IF(COUNTIF(PARAMETRES_REGIMES!$A$3:$A$100,$A57)&gt;0,FLOOR(MAX(SUM(F57:L57)*24-M57,0),0.5),FLOOR(MAX(SUM(F57:K57)*24-M57,0),0.5))</f>
        <v>0</v>
      </c>
      <c r="Q57" s="9">
        <f>IF(COUNTIF(PARAMETRES_REGIMES!$A$3:$A$100,$A57)&gt;0,0,IF(ISNUMBER(L57),FLOOR(MAX(L57*24,0),0.5),0))</f>
        <v>0</v>
      </c>
      <c r="R57" s="8">
        <f t="shared" si="7"/>
        <v>0</v>
      </c>
      <c r="S57" s="8">
        <f t="shared" si="8"/>
        <v>0</v>
      </c>
      <c r="T57" s="8">
        <f t="shared" si="9"/>
        <v>0</v>
      </c>
      <c r="U57" s="8">
        <f t="shared" si="10"/>
        <v>0</v>
      </c>
      <c r="V57" s="10" t="str">
        <f t="shared" si="11"/>
        <v>OK</v>
      </c>
    </row>
    <row r="58" spans="1:22">
      <c r="A58" s="17" t="s">
        <v>164</v>
      </c>
      <c r="B58" s="5" t="s">
        <v>165</v>
      </c>
      <c r="C58" s="5" t="s">
        <v>166</v>
      </c>
      <c r="D58" s="5" t="s">
        <v>31</v>
      </c>
      <c r="E58" s="17" t="s">
        <v>123</v>
      </c>
      <c r="F58" s="6"/>
      <c r="G58" s="7"/>
      <c r="H58" s="7"/>
      <c r="I58" s="7"/>
      <c r="J58" s="7"/>
      <c r="K58" s="7"/>
      <c r="L58" s="7"/>
      <c r="M58" s="8">
        <f>48</f>
        <v>48</v>
      </c>
      <c r="N58" s="8">
        <f t="shared" si="6"/>
        <v>0</v>
      </c>
      <c r="O58" s="8">
        <f>IF(COUNTIF(PARAMETRES_REGIMES!$A$3:$A$100,$A58)&gt;0,MIN(M58,SUM(F58:L58)*24),MIN(M58,SUM(F58:K58)*24))</f>
        <v>0</v>
      </c>
      <c r="P58" s="9">
        <f>IF(COUNTIF(PARAMETRES_REGIMES!$A$3:$A$100,$A58)&gt;0,FLOOR(MAX(SUM(F58:L58)*24-M58,0),0.5),FLOOR(MAX(SUM(F58:K58)*24-M58,0),0.5))</f>
        <v>0</v>
      </c>
      <c r="Q58" s="9">
        <f>IF(COUNTIF(PARAMETRES_REGIMES!$A$3:$A$100,$A58)&gt;0,0,IF(ISNUMBER(L58),FLOOR(MAX(L58*24,0),0.5),0))</f>
        <v>0</v>
      </c>
      <c r="R58" s="8">
        <f t="shared" si="7"/>
        <v>0</v>
      </c>
      <c r="S58" s="8">
        <f t="shared" si="8"/>
        <v>0</v>
      </c>
      <c r="T58" s="8">
        <f t="shared" si="9"/>
        <v>0</v>
      </c>
      <c r="U58" s="8">
        <f t="shared" si="10"/>
        <v>0</v>
      </c>
      <c r="V58" s="10" t="str">
        <f t="shared" si="11"/>
        <v>OK</v>
      </c>
    </row>
    <row r="59" spans="1:22">
      <c r="A59" s="17" t="s">
        <v>167</v>
      </c>
      <c r="B59" s="5" t="s">
        <v>168</v>
      </c>
      <c r="C59" s="5" t="s">
        <v>169</v>
      </c>
      <c r="D59" s="5" t="s">
        <v>31</v>
      </c>
      <c r="E59" s="17" t="s">
        <v>123</v>
      </c>
      <c r="F59" s="6"/>
      <c r="G59" s="7"/>
      <c r="H59" s="7"/>
      <c r="I59" s="7"/>
      <c r="J59" s="7"/>
      <c r="K59" s="7"/>
      <c r="L59" s="7"/>
      <c r="M59" s="8">
        <f>48</f>
        <v>48</v>
      </c>
      <c r="N59" s="8">
        <f t="shared" si="6"/>
        <v>0</v>
      </c>
      <c r="O59" s="8">
        <f>IF(COUNTIF(PARAMETRES_REGIMES!$A$3:$A$100,$A59)&gt;0,MIN(M59,SUM(F59:L59)*24),MIN(M59,SUM(F59:K59)*24))</f>
        <v>0</v>
      </c>
      <c r="P59" s="9">
        <f>IF(COUNTIF(PARAMETRES_REGIMES!$A$3:$A$100,$A59)&gt;0,FLOOR(MAX(SUM(F59:L59)*24-M59,0),0.5),FLOOR(MAX(SUM(F59:K59)*24-M59,0),0.5))</f>
        <v>0</v>
      </c>
      <c r="Q59" s="9">
        <f>IF(COUNTIF(PARAMETRES_REGIMES!$A$3:$A$100,$A59)&gt;0,0,IF(ISNUMBER(L59),FLOOR(MAX(L59*24,0),0.5),0))</f>
        <v>0</v>
      </c>
      <c r="R59" s="8">
        <f t="shared" si="7"/>
        <v>0</v>
      </c>
      <c r="S59" s="8">
        <f t="shared" si="8"/>
        <v>0</v>
      </c>
      <c r="T59" s="8">
        <f t="shared" si="9"/>
        <v>0</v>
      </c>
      <c r="U59" s="8">
        <f t="shared" si="10"/>
        <v>0</v>
      </c>
      <c r="V59" s="10" t="str">
        <f t="shared" si="11"/>
        <v>OK</v>
      </c>
    </row>
    <row r="60" spans="1:22">
      <c r="A60" s="17">
        <v>192</v>
      </c>
      <c r="B60" s="5" t="s">
        <v>170</v>
      </c>
      <c r="C60" s="5" t="s">
        <v>171</v>
      </c>
      <c r="D60" s="5" t="s">
        <v>31</v>
      </c>
      <c r="E60" s="17" t="s">
        <v>123</v>
      </c>
      <c r="F60" s="6"/>
      <c r="G60" s="7"/>
      <c r="H60" s="7"/>
      <c r="I60" s="7"/>
      <c r="J60" s="7"/>
      <c r="K60" s="7"/>
      <c r="L60" s="7"/>
      <c r="M60" s="8">
        <f>48</f>
        <v>48</v>
      </c>
      <c r="N60" s="8">
        <f t="shared" si="6"/>
        <v>0</v>
      </c>
      <c r="O60" s="8">
        <f>IF(COUNTIF(PARAMETRES_REGIMES!$A$3:$A$100,$A60)&gt;0,MIN(M60,SUM(F60:L60)*24),MIN(M60,SUM(F60:K60)*24))</f>
        <v>0</v>
      </c>
      <c r="P60" s="9">
        <f>IF(COUNTIF(PARAMETRES_REGIMES!$A$3:$A$100,$A60)&gt;0,FLOOR(MAX(SUM(F60:L60)*24-M60,0),0.5),FLOOR(MAX(SUM(F60:K60)*24-M60,0),0.5))</f>
        <v>0</v>
      </c>
      <c r="Q60" s="9">
        <f>IF(COUNTIF(PARAMETRES_REGIMES!$A$3:$A$100,$A60)&gt;0,0,IF(ISNUMBER(L60),FLOOR(MAX(L60*24,0),0.5),0))</f>
        <v>0</v>
      </c>
      <c r="R60" s="8">
        <f t="shared" si="7"/>
        <v>0</v>
      </c>
      <c r="S60" s="8">
        <f t="shared" si="8"/>
        <v>0</v>
      </c>
      <c r="T60" s="8">
        <f t="shared" si="9"/>
        <v>0</v>
      </c>
      <c r="U60" s="8">
        <f t="shared" si="10"/>
        <v>0</v>
      </c>
      <c r="V60" s="10" t="str">
        <f t="shared" si="11"/>
        <v>OK</v>
      </c>
    </row>
    <row r="61" spans="1:22">
      <c r="A61" s="17" t="s">
        <v>172</v>
      </c>
      <c r="B61" s="5" t="s">
        <v>173</v>
      </c>
      <c r="C61" s="5" t="s">
        <v>174</v>
      </c>
      <c r="D61" s="5" t="s">
        <v>31</v>
      </c>
      <c r="E61" s="17" t="s">
        <v>123</v>
      </c>
      <c r="F61" s="6"/>
      <c r="G61" s="7"/>
      <c r="H61" s="7"/>
      <c r="I61" s="7"/>
      <c r="J61" s="7"/>
      <c r="K61" s="7"/>
      <c r="L61" s="7"/>
      <c r="M61" s="8">
        <f>48</f>
        <v>48</v>
      </c>
      <c r="N61" s="8">
        <f t="shared" si="6"/>
        <v>0</v>
      </c>
      <c r="O61" s="8">
        <f>IF(COUNTIF(PARAMETRES_REGIMES!$A$3:$A$100,$A61)&gt;0,MIN(M61,SUM(F61:L61)*24),MIN(M61,SUM(F61:K61)*24))</f>
        <v>0</v>
      </c>
      <c r="P61" s="9">
        <f>IF(COUNTIF(PARAMETRES_REGIMES!$A$3:$A$100,$A61)&gt;0,FLOOR(MAX(SUM(F61:L61)*24-M61,0),0.5),FLOOR(MAX(SUM(F61:K61)*24-M61,0),0.5))</f>
        <v>0</v>
      </c>
      <c r="Q61" s="9">
        <f>IF(COUNTIF(PARAMETRES_REGIMES!$A$3:$A$100,$A61)&gt;0,0,IF(ISNUMBER(L61),FLOOR(MAX(L61*24,0),0.5),0))</f>
        <v>0</v>
      </c>
      <c r="R61" s="8">
        <f t="shared" si="7"/>
        <v>0</v>
      </c>
      <c r="S61" s="8">
        <f t="shared" si="8"/>
        <v>0</v>
      </c>
      <c r="T61" s="8">
        <f t="shared" si="9"/>
        <v>0</v>
      </c>
      <c r="U61" s="8">
        <f t="shared" si="10"/>
        <v>0</v>
      </c>
      <c r="V61" s="10" t="str">
        <f t="shared" si="11"/>
        <v>OK</v>
      </c>
    </row>
    <row r="62" spans="1:22">
      <c r="A62" s="17" t="s">
        <v>175</v>
      </c>
      <c r="B62" s="5" t="s">
        <v>176</v>
      </c>
      <c r="C62" s="5" t="s">
        <v>177</v>
      </c>
      <c r="D62" s="5" t="s">
        <v>31</v>
      </c>
      <c r="E62" s="17" t="s">
        <v>123</v>
      </c>
      <c r="F62" s="6"/>
      <c r="G62" s="7"/>
      <c r="H62" s="7"/>
      <c r="I62" s="7"/>
      <c r="J62" s="7"/>
      <c r="K62" s="7"/>
      <c r="L62" s="7"/>
      <c r="M62" s="8">
        <f>48</f>
        <v>48</v>
      </c>
      <c r="N62" s="8">
        <f t="shared" si="6"/>
        <v>0</v>
      </c>
      <c r="O62" s="8">
        <f>IF(COUNTIF(PARAMETRES_REGIMES!$A$3:$A$100,$A62)&gt;0,MIN(M62,SUM(F62:L62)*24),MIN(M62,SUM(F62:K62)*24))</f>
        <v>0</v>
      </c>
      <c r="P62" s="9">
        <f>IF(COUNTIF(PARAMETRES_REGIMES!$A$3:$A$100,$A62)&gt;0,FLOOR(MAX(SUM(F62:L62)*24-M62,0),0.5),FLOOR(MAX(SUM(F62:K62)*24-M62,0),0.5))</f>
        <v>0</v>
      </c>
      <c r="Q62" s="9">
        <f>IF(COUNTIF(PARAMETRES_REGIMES!$A$3:$A$100,$A62)&gt;0,0,IF(ISNUMBER(L62),FLOOR(MAX(L62*24,0),0.5),0))</f>
        <v>0</v>
      </c>
      <c r="R62" s="8">
        <f t="shared" si="7"/>
        <v>0</v>
      </c>
      <c r="S62" s="8">
        <f t="shared" si="8"/>
        <v>0</v>
      </c>
      <c r="T62" s="8">
        <f t="shared" si="9"/>
        <v>0</v>
      </c>
      <c r="U62" s="8">
        <f t="shared" si="10"/>
        <v>0</v>
      </c>
      <c r="V62" s="10" t="str">
        <f t="shared" si="11"/>
        <v>OK</v>
      </c>
    </row>
    <row r="63" spans="1:22">
      <c r="A63" s="17" t="s">
        <v>178</v>
      </c>
      <c r="B63" s="5" t="s">
        <v>179</v>
      </c>
      <c r="C63" s="5" t="s">
        <v>180</v>
      </c>
      <c r="D63" s="5" t="s">
        <v>31</v>
      </c>
      <c r="E63" s="17" t="s">
        <v>123</v>
      </c>
      <c r="F63" s="6"/>
      <c r="G63" s="7"/>
      <c r="H63" s="7"/>
      <c r="I63" s="7"/>
      <c r="J63" s="7"/>
      <c r="K63" s="7"/>
      <c r="L63" s="7"/>
      <c r="M63" s="8">
        <f>48</f>
        <v>48</v>
      </c>
      <c r="N63" s="8">
        <f t="shared" si="6"/>
        <v>0</v>
      </c>
      <c r="O63" s="8">
        <f>IF(COUNTIF(PARAMETRES_REGIMES!$A$3:$A$100,$A63)&gt;0,MIN(M63,SUM(F63:L63)*24),MIN(M63,SUM(F63:K63)*24))</f>
        <v>0</v>
      </c>
      <c r="P63" s="9">
        <f>IF(COUNTIF(PARAMETRES_REGIMES!$A$3:$A$100,$A63)&gt;0,FLOOR(MAX(SUM(F63:L63)*24-M63,0),0.5),FLOOR(MAX(SUM(F63:K63)*24-M63,0),0.5))</f>
        <v>0</v>
      </c>
      <c r="Q63" s="9">
        <f>IF(COUNTIF(PARAMETRES_REGIMES!$A$3:$A$100,$A63)&gt;0,0,IF(ISNUMBER(L63),FLOOR(MAX(L63*24,0),0.5),0))</f>
        <v>0</v>
      </c>
      <c r="R63" s="8">
        <f t="shared" si="7"/>
        <v>0</v>
      </c>
      <c r="S63" s="8">
        <f t="shared" si="8"/>
        <v>0</v>
      </c>
      <c r="T63" s="8">
        <f t="shared" si="9"/>
        <v>0</v>
      </c>
      <c r="U63" s="8">
        <f t="shared" si="10"/>
        <v>0</v>
      </c>
      <c r="V63" s="10" t="str">
        <f t="shared" si="11"/>
        <v>OK</v>
      </c>
    </row>
    <row r="64" spans="1:22">
      <c r="A64" s="17" t="s">
        <v>181</v>
      </c>
      <c r="B64" s="5" t="s">
        <v>182</v>
      </c>
      <c r="C64" s="5" t="s">
        <v>183</v>
      </c>
      <c r="D64" s="5" t="s">
        <v>31</v>
      </c>
      <c r="E64" s="17" t="s">
        <v>123</v>
      </c>
      <c r="F64" s="6"/>
      <c r="G64" s="7"/>
      <c r="H64" s="7"/>
      <c r="I64" s="7"/>
      <c r="J64" s="7"/>
      <c r="K64" s="7"/>
      <c r="L64" s="7"/>
      <c r="M64" s="8">
        <f>48</f>
        <v>48</v>
      </c>
      <c r="N64" s="8">
        <f t="shared" si="6"/>
        <v>0</v>
      </c>
      <c r="O64" s="8">
        <f>IF(COUNTIF(PARAMETRES_REGIMES!$A$3:$A$100,$A64)&gt;0,MIN(M64,SUM(F64:L64)*24),MIN(M64,SUM(F64:K64)*24))</f>
        <v>0</v>
      </c>
      <c r="P64" s="9">
        <f>IF(COUNTIF(PARAMETRES_REGIMES!$A$3:$A$100,$A64)&gt;0,FLOOR(MAX(SUM(F64:L64)*24-M64,0),0.5),FLOOR(MAX(SUM(F64:K64)*24-M64,0),0.5))</f>
        <v>0</v>
      </c>
      <c r="Q64" s="9">
        <f>IF(COUNTIF(PARAMETRES_REGIMES!$A$3:$A$100,$A64)&gt;0,0,IF(ISNUMBER(L64),FLOOR(MAX(L64*24,0),0.5),0))</f>
        <v>0</v>
      </c>
      <c r="R64" s="8">
        <f t="shared" si="7"/>
        <v>0</v>
      </c>
      <c r="S64" s="8">
        <f t="shared" si="8"/>
        <v>0</v>
      </c>
      <c r="T64" s="8">
        <f t="shared" si="9"/>
        <v>0</v>
      </c>
      <c r="U64" s="8">
        <f t="shared" si="10"/>
        <v>0</v>
      </c>
      <c r="V64" s="10" t="str">
        <f t="shared" si="11"/>
        <v>OK</v>
      </c>
    </row>
    <row r="65" spans="1:22">
      <c r="A65" s="17">
        <v>169</v>
      </c>
      <c r="B65" s="5" t="s">
        <v>184</v>
      </c>
      <c r="C65" s="5" t="s">
        <v>185</v>
      </c>
      <c r="D65" s="5" t="s">
        <v>31</v>
      </c>
      <c r="E65" s="17" t="s">
        <v>123</v>
      </c>
      <c r="F65" s="6"/>
      <c r="G65" s="7"/>
      <c r="H65" s="7"/>
      <c r="I65" s="7"/>
      <c r="J65" s="7"/>
      <c r="K65" s="7"/>
      <c r="L65" s="7"/>
      <c r="M65" s="8">
        <f>48</f>
        <v>48</v>
      </c>
      <c r="N65" s="8">
        <f t="shared" si="6"/>
        <v>0</v>
      </c>
      <c r="O65" s="8">
        <f>IF(COUNTIF(PARAMETRES_REGIMES!$A$3:$A$100,$A65)&gt;0,MIN(M65,SUM(F65:L65)*24),MIN(M65,SUM(F65:K65)*24))</f>
        <v>0</v>
      </c>
      <c r="P65" s="9">
        <f>IF(COUNTIF(PARAMETRES_REGIMES!$A$3:$A$100,$A65)&gt;0,FLOOR(MAX(SUM(F65:L65)*24-M65,0),0.5),FLOOR(MAX(SUM(F65:K65)*24-M65,0),0.5))</f>
        <v>0</v>
      </c>
      <c r="Q65" s="9">
        <f>IF(COUNTIF(PARAMETRES_REGIMES!$A$3:$A$100,$A65)&gt;0,0,IF(ISNUMBER(L65),FLOOR(MAX(L65*24,0),0.5),0))</f>
        <v>0</v>
      </c>
      <c r="R65" s="8">
        <f t="shared" si="7"/>
        <v>0</v>
      </c>
      <c r="S65" s="8">
        <f t="shared" si="8"/>
        <v>0</v>
      </c>
      <c r="T65" s="8">
        <f t="shared" si="9"/>
        <v>0</v>
      </c>
      <c r="U65" s="8">
        <f t="shared" si="10"/>
        <v>0</v>
      </c>
      <c r="V65" s="10" t="str">
        <f t="shared" si="11"/>
        <v>OK</v>
      </c>
    </row>
    <row r="66" spans="1:22">
      <c r="A66" s="17" t="s">
        <v>186</v>
      </c>
      <c r="B66" s="5" t="s">
        <v>187</v>
      </c>
      <c r="C66" s="5" t="s">
        <v>188</v>
      </c>
      <c r="D66" s="5" t="s">
        <v>31</v>
      </c>
      <c r="E66" s="17" t="s">
        <v>123</v>
      </c>
      <c r="F66" s="6"/>
      <c r="G66" s="7"/>
      <c r="H66" s="7"/>
      <c r="I66" s="7"/>
      <c r="J66" s="7"/>
      <c r="K66" s="7"/>
      <c r="L66" s="7"/>
      <c r="M66" s="8">
        <f>48</f>
        <v>48</v>
      </c>
      <c r="N66" s="8">
        <f t="shared" si="6"/>
        <v>0</v>
      </c>
      <c r="O66" s="8">
        <f>IF(COUNTIF(PARAMETRES_REGIMES!$A$3:$A$100,$A66)&gt;0,MIN(M66,SUM(F66:L66)*24),MIN(M66,SUM(F66:K66)*24))</f>
        <v>0</v>
      </c>
      <c r="P66" s="9">
        <f>IF(COUNTIF(PARAMETRES_REGIMES!$A$3:$A$100,$A66)&gt;0,FLOOR(MAX(SUM(F66:L66)*24-M66,0),0.5),FLOOR(MAX(SUM(F66:K66)*24-M66,0),0.5))</f>
        <v>0</v>
      </c>
      <c r="Q66" s="9">
        <f>IF(COUNTIF(PARAMETRES_REGIMES!$A$3:$A$100,$A66)&gt;0,0,IF(ISNUMBER(L66),FLOOR(MAX(L66*24,0),0.5),0))</f>
        <v>0</v>
      </c>
      <c r="R66" s="8">
        <f t="shared" si="7"/>
        <v>0</v>
      </c>
      <c r="S66" s="8">
        <f t="shared" si="8"/>
        <v>0</v>
      </c>
      <c r="T66" s="8">
        <f t="shared" si="9"/>
        <v>0</v>
      </c>
      <c r="U66" s="8">
        <f t="shared" si="10"/>
        <v>0</v>
      </c>
      <c r="V66" s="10" t="str">
        <f t="shared" si="11"/>
        <v>OK</v>
      </c>
    </row>
    <row r="67" spans="1:22">
      <c r="A67" s="17" t="s">
        <v>189</v>
      </c>
      <c r="B67" s="5" t="s">
        <v>190</v>
      </c>
      <c r="C67" s="5" t="s">
        <v>191</v>
      </c>
      <c r="D67" s="5" t="s">
        <v>31</v>
      </c>
      <c r="E67" s="17" t="s">
        <v>123</v>
      </c>
      <c r="F67" s="6"/>
      <c r="G67" s="7"/>
      <c r="H67" s="7"/>
      <c r="I67" s="7"/>
      <c r="J67" s="7"/>
      <c r="K67" s="7"/>
      <c r="L67" s="7"/>
      <c r="M67" s="8">
        <f>48</f>
        <v>48</v>
      </c>
      <c r="N67" s="8">
        <f t="shared" ref="N67:N98" si="12">SUM(F67:L67)*24</f>
        <v>0</v>
      </c>
      <c r="O67" s="8">
        <f>IF(COUNTIF(PARAMETRES_REGIMES!$A$3:$A$100,$A67)&gt;0,MIN(M67,SUM(F67:L67)*24),MIN(M67,SUM(F67:K67)*24))</f>
        <v>0</v>
      </c>
      <c r="P67" s="9">
        <f>IF(COUNTIF(PARAMETRES_REGIMES!$A$3:$A$100,$A67)&gt;0,FLOOR(MAX(SUM(F67:L67)*24-M67,0),0.5),FLOOR(MAX(SUM(F67:K67)*24-M67,0),0.5))</f>
        <v>0</v>
      </c>
      <c r="Q67" s="9">
        <f>IF(COUNTIF(PARAMETRES_REGIMES!$A$3:$A$100,$A67)&gt;0,0,IF(ISNUMBER(L67),FLOOR(MAX(L67*24,0),0.5),0))</f>
        <v>0</v>
      </c>
      <c r="R67" s="8">
        <f t="shared" ref="R67:R98" si="13">COUNTIF(F67:L67,"ABS")</f>
        <v>0</v>
      </c>
      <c r="S67" s="8">
        <f t="shared" ref="S67:S98" si="14">COUNTIF(F67:L67,"Congé")</f>
        <v>0</v>
      </c>
      <c r="T67" s="8">
        <f t="shared" ref="T67:T98" si="15">COUNTIF(F67:L67,"Férié")</f>
        <v>0</v>
      </c>
      <c r="U67" s="8">
        <f t="shared" ref="U67:U98" si="16">O67+P67+Q67+(T67*8.5)</f>
        <v>0</v>
      </c>
      <c r="V67" s="10" t="str">
        <f t="shared" ref="V67:V98" si="17">IF(COUNTIF(F67:L67,"STC")&gt;0,"STC",IF(COUNTIF(F67:L67,"*!*")&gt;0,"À vérifier","OK"))</f>
        <v>OK</v>
      </c>
    </row>
    <row r="68" spans="1:22">
      <c r="A68" s="17" t="s">
        <v>192</v>
      </c>
      <c r="B68" s="5" t="s">
        <v>193</v>
      </c>
      <c r="C68" s="5" t="s">
        <v>194</v>
      </c>
      <c r="D68" s="5" t="s">
        <v>31</v>
      </c>
      <c r="E68" s="17" t="s">
        <v>123</v>
      </c>
      <c r="F68" s="6"/>
      <c r="G68" s="7"/>
      <c r="H68" s="7"/>
      <c r="I68" s="7"/>
      <c r="J68" s="7"/>
      <c r="K68" s="7"/>
      <c r="L68" s="7"/>
      <c r="M68" s="8">
        <f>48</f>
        <v>48</v>
      </c>
      <c r="N68" s="8">
        <f t="shared" si="12"/>
        <v>0</v>
      </c>
      <c r="O68" s="8">
        <f>IF(COUNTIF(PARAMETRES_REGIMES!$A$3:$A$100,$A68)&gt;0,MIN(M68,SUM(F68:L68)*24),MIN(M68,SUM(F68:K68)*24))</f>
        <v>0</v>
      </c>
      <c r="P68" s="9">
        <f>IF(COUNTIF(PARAMETRES_REGIMES!$A$3:$A$100,$A68)&gt;0,FLOOR(MAX(SUM(F68:L68)*24-M68,0),0.5),FLOOR(MAX(SUM(F68:K68)*24-M68,0),0.5))</f>
        <v>0</v>
      </c>
      <c r="Q68" s="9">
        <f>IF(COUNTIF(PARAMETRES_REGIMES!$A$3:$A$100,$A68)&gt;0,0,IF(ISNUMBER(L68),FLOOR(MAX(L68*24,0),0.5),0))</f>
        <v>0</v>
      </c>
      <c r="R68" s="8">
        <f t="shared" si="13"/>
        <v>0</v>
      </c>
      <c r="S68" s="8">
        <f t="shared" si="14"/>
        <v>0</v>
      </c>
      <c r="T68" s="8">
        <f t="shared" si="15"/>
        <v>0</v>
      </c>
      <c r="U68" s="8">
        <f t="shared" si="16"/>
        <v>0</v>
      </c>
      <c r="V68" s="10" t="str">
        <f t="shared" si="17"/>
        <v>OK</v>
      </c>
    </row>
    <row r="69" spans="1:22">
      <c r="A69" s="17">
        <v>166</v>
      </c>
      <c r="B69" s="5" t="s">
        <v>195</v>
      </c>
      <c r="C69" s="5" t="s">
        <v>196</v>
      </c>
      <c r="D69" s="5" t="s">
        <v>31</v>
      </c>
      <c r="E69" s="17" t="s">
        <v>123</v>
      </c>
      <c r="F69" s="6"/>
      <c r="G69" s="7"/>
      <c r="H69" s="7"/>
      <c r="I69" s="7"/>
      <c r="J69" s="7"/>
      <c r="K69" s="7"/>
      <c r="L69" s="7"/>
      <c r="M69" s="8">
        <f>48</f>
        <v>48</v>
      </c>
      <c r="N69" s="8">
        <f t="shared" si="12"/>
        <v>0</v>
      </c>
      <c r="O69" s="8">
        <f>IF(COUNTIF(PARAMETRES_REGIMES!$A$3:$A$100,$A69)&gt;0,MIN(M69,SUM(F69:L69)*24),MIN(M69,SUM(F69:K69)*24))</f>
        <v>0</v>
      </c>
      <c r="P69" s="9">
        <f>IF(COUNTIF(PARAMETRES_REGIMES!$A$3:$A$100,$A69)&gt;0,FLOOR(MAX(SUM(F69:L69)*24-M69,0),0.5),FLOOR(MAX(SUM(F69:K69)*24-M69,0),0.5))</f>
        <v>0</v>
      </c>
      <c r="Q69" s="9">
        <f>IF(COUNTIF(PARAMETRES_REGIMES!$A$3:$A$100,$A69)&gt;0,0,IF(ISNUMBER(L69),FLOOR(MAX(L69*24,0),0.5),0))</f>
        <v>0</v>
      </c>
      <c r="R69" s="8">
        <f t="shared" si="13"/>
        <v>0</v>
      </c>
      <c r="S69" s="8">
        <f t="shared" si="14"/>
        <v>0</v>
      </c>
      <c r="T69" s="8">
        <f t="shared" si="15"/>
        <v>0</v>
      </c>
      <c r="U69" s="8">
        <f t="shared" si="16"/>
        <v>0</v>
      </c>
      <c r="V69" s="10" t="str">
        <f t="shared" si="17"/>
        <v>OK</v>
      </c>
    </row>
    <row r="70" spans="1:22">
      <c r="A70" s="17" t="s">
        <v>197</v>
      </c>
      <c r="B70" s="5" t="s">
        <v>195</v>
      </c>
      <c r="C70" s="5" t="s">
        <v>198</v>
      </c>
      <c r="D70" s="5" t="s">
        <v>31</v>
      </c>
      <c r="E70" s="17" t="s">
        <v>123</v>
      </c>
      <c r="F70" s="6"/>
      <c r="G70" s="7"/>
      <c r="H70" s="7"/>
      <c r="I70" s="7"/>
      <c r="J70" s="7"/>
      <c r="K70" s="7"/>
      <c r="L70" s="7"/>
      <c r="M70" s="8">
        <f>48</f>
        <v>48</v>
      </c>
      <c r="N70" s="8">
        <f t="shared" si="12"/>
        <v>0</v>
      </c>
      <c r="O70" s="8">
        <f>IF(COUNTIF(PARAMETRES_REGIMES!$A$3:$A$100,$A70)&gt;0,MIN(M70,SUM(F70:L70)*24),MIN(M70,SUM(F70:K70)*24))</f>
        <v>0</v>
      </c>
      <c r="P70" s="9">
        <f>IF(COUNTIF(PARAMETRES_REGIMES!$A$3:$A$100,$A70)&gt;0,FLOOR(MAX(SUM(F70:L70)*24-M70,0),0.5),FLOOR(MAX(SUM(F70:K70)*24-M70,0),0.5))</f>
        <v>0</v>
      </c>
      <c r="Q70" s="9">
        <f>IF(COUNTIF(PARAMETRES_REGIMES!$A$3:$A$100,$A70)&gt;0,0,IF(ISNUMBER(L70),FLOOR(MAX(L70*24,0),0.5),0))</f>
        <v>0</v>
      </c>
      <c r="R70" s="8">
        <f t="shared" si="13"/>
        <v>0</v>
      </c>
      <c r="S70" s="8">
        <f t="shared" si="14"/>
        <v>0</v>
      </c>
      <c r="T70" s="8">
        <f t="shared" si="15"/>
        <v>0</v>
      </c>
      <c r="U70" s="8">
        <f t="shared" si="16"/>
        <v>0</v>
      </c>
      <c r="V70" s="10" t="str">
        <f t="shared" si="17"/>
        <v>OK</v>
      </c>
    </row>
    <row r="71" spans="1:22">
      <c r="A71" s="17" t="s">
        <v>199</v>
      </c>
      <c r="B71" s="5" t="s">
        <v>195</v>
      </c>
      <c r="C71" s="5" t="s">
        <v>200</v>
      </c>
      <c r="D71" s="5" t="s">
        <v>31</v>
      </c>
      <c r="E71" s="17" t="s">
        <v>123</v>
      </c>
      <c r="F71" s="6"/>
      <c r="G71" s="7"/>
      <c r="H71" s="7"/>
      <c r="I71" s="7"/>
      <c r="J71" s="7"/>
      <c r="K71" s="7"/>
      <c r="L71" s="7"/>
      <c r="M71" s="8">
        <f>48</f>
        <v>48</v>
      </c>
      <c r="N71" s="8">
        <f t="shared" si="12"/>
        <v>0</v>
      </c>
      <c r="O71" s="8">
        <f>IF(COUNTIF(PARAMETRES_REGIMES!$A$3:$A$100,$A71)&gt;0,MIN(M71,SUM(F71:L71)*24),MIN(M71,SUM(F71:K71)*24))</f>
        <v>0</v>
      </c>
      <c r="P71" s="9">
        <f>IF(COUNTIF(PARAMETRES_REGIMES!$A$3:$A$100,$A71)&gt;0,FLOOR(MAX(SUM(F71:L71)*24-M71,0),0.5),FLOOR(MAX(SUM(F71:K71)*24-M71,0),0.5))</f>
        <v>0</v>
      </c>
      <c r="Q71" s="9">
        <f>IF(COUNTIF(PARAMETRES_REGIMES!$A$3:$A$100,$A71)&gt;0,0,IF(ISNUMBER(L71),FLOOR(MAX(L71*24,0),0.5),0))</f>
        <v>0</v>
      </c>
      <c r="R71" s="8">
        <f t="shared" si="13"/>
        <v>0</v>
      </c>
      <c r="S71" s="8">
        <f t="shared" si="14"/>
        <v>0</v>
      </c>
      <c r="T71" s="8">
        <f t="shared" si="15"/>
        <v>0</v>
      </c>
      <c r="U71" s="8">
        <f t="shared" si="16"/>
        <v>0</v>
      </c>
      <c r="V71" s="10" t="str">
        <f t="shared" si="17"/>
        <v>OK</v>
      </c>
    </row>
    <row r="72" spans="1:22">
      <c r="A72" s="17" t="s">
        <v>201</v>
      </c>
      <c r="B72" s="5" t="s">
        <v>195</v>
      </c>
      <c r="C72" s="5" t="s">
        <v>202</v>
      </c>
      <c r="D72" s="5" t="s">
        <v>31</v>
      </c>
      <c r="E72" s="17" t="s">
        <v>123</v>
      </c>
      <c r="F72" s="6"/>
      <c r="G72" s="7"/>
      <c r="H72" s="7"/>
      <c r="I72" s="7"/>
      <c r="J72" s="7"/>
      <c r="K72" s="7"/>
      <c r="L72" s="7"/>
      <c r="M72" s="8">
        <f>48</f>
        <v>48</v>
      </c>
      <c r="N72" s="8">
        <f t="shared" si="12"/>
        <v>0</v>
      </c>
      <c r="O72" s="8">
        <f>IF(COUNTIF(PARAMETRES_REGIMES!$A$3:$A$100,$A72)&gt;0,MIN(M72,SUM(F72:L72)*24),MIN(M72,SUM(F72:K72)*24))</f>
        <v>0</v>
      </c>
      <c r="P72" s="9">
        <f>IF(COUNTIF(PARAMETRES_REGIMES!$A$3:$A$100,$A72)&gt;0,FLOOR(MAX(SUM(F72:L72)*24-M72,0),0.5),FLOOR(MAX(SUM(F72:K72)*24-M72,0),0.5))</f>
        <v>0</v>
      </c>
      <c r="Q72" s="9">
        <f>IF(COUNTIF(PARAMETRES_REGIMES!$A$3:$A$100,$A72)&gt;0,0,IF(ISNUMBER(L72),FLOOR(MAX(L72*24,0),0.5),0))</f>
        <v>0</v>
      </c>
      <c r="R72" s="8">
        <f t="shared" si="13"/>
        <v>0</v>
      </c>
      <c r="S72" s="8">
        <f t="shared" si="14"/>
        <v>0</v>
      </c>
      <c r="T72" s="8">
        <f t="shared" si="15"/>
        <v>0</v>
      </c>
      <c r="U72" s="8">
        <f t="shared" si="16"/>
        <v>0</v>
      </c>
      <c r="V72" s="10" t="str">
        <f t="shared" si="17"/>
        <v>OK</v>
      </c>
    </row>
    <row r="73" spans="1:22">
      <c r="A73" s="17" t="s">
        <v>203</v>
      </c>
      <c r="B73" s="5" t="s">
        <v>204</v>
      </c>
      <c r="C73" s="5" t="s">
        <v>205</v>
      </c>
      <c r="D73" s="5" t="s">
        <v>31</v>
      </c>
      <c r="E73" s="17" t="s">
        <v>123</v>
      </c>
      <c r="F73" s="6"/>
      <c r="G73" s="7"/>
      <c r="H73" s="7"/>
      <c r="I73" s="7"/>
      <c r="J73" s="7"/>
      <c r="K73" s="7"/>
      <c r="L73" s="7"/>
      <c r="M73" s="8">
        <f>48</f>
        <v>48</v>
      </c>
      <c r="N73" s="8">
        <f t="shared" si="12"/>
        <v>0</v>
      </c>
      <c r="O73" s="8">
        <f>IF(COUNTIF(PARAMETRES_REGIMES!$A$3:$A$100,$A73)&gt;0,MIN(M73,SUM(F73:L73)*24),MIN(M73,SUM(F73:K73)*24))</f>
        <v>0</v>
      </c>
      <c r="P73" s="9">
        <f>IF(COUNTIF(PARAMETRES_REGIMES!$A$3:$A$100,$A73)&gt;0,FLOOR(MAX(SUM(F73:L73)*24-M73,0),0.5),FLOOR(MAX(SUM(F73:K73)*24-M73,0),0.5))</f>
        <v>0</v>
      </c>
      <c r="Q73" s="9">
        <f>IF(COUNTIF(PARAMETRES_REGIMES!$A$3:$A$100,$A73)&gt;0,0,IF(ISNUMBER(L73),FLOOR(MAX(L73*24,0),0.5),0))</f>
        <v>0</v>
      </c>
      <c r="R73" s="8">
        <f t="shared" si="13"/>
        <v>0</v>
      </c>
      <c r="S73" s="8">
        <f t="shared" si="14"/>
        <v>0</v>
      </c>
      <c r="T73" s="8">
        <f t="shared" si="15"/>
        <v>0</v>
      </c>
      <c r="U73" s="8">
        <f t="shared" si="16"/>
        <v>0</v>
      </c>
      <c r="V73" s="10" t="str">
        <f t="shared" si="17"/>
        <v>OK</v>
      </c>
    </row>
    <row r="74" spans="1:22">
      <c r="A74" s="17" t="s">
        <v>206</v>
      </c>
      <c r="B74" s="5" t="s">
        <v>207</v>
      </c>
      <c r="C74" s="5" t="s">
        <v>208</v>
      </c>
      <c r="D74" s="5" t="s">
        <v>31</v>
      </c>
      <c r="E74" s="17" t="s">
        <v>123</v>
      </c>
      <c r="F74" s="6"/>
      <c r="G74" s="7"/>
      <c r="H74" s="7"/>
      <c r="I74" s="7"/>
      <c r="J74" s="7"/>
      <c r="K74" s="7"/>
      <c r="L74" s="7"/>
      <c r="M74" s="8">
        <f>48</f>
        <v>48</v>
      </c>
      <c r="N74" s="8">
        <f t="shared" si="12"/>
        <v>0</v>
      </c>
      <c r="O74" s="8">
        <f>IF(COUNTIF(PARAMETRES_REGIMES!$A$3:$A$100,$A74)&gt;0,MIN(M74,SUM(F74:L74)*24),MIN(M74,SUM(F74:K74)*24))</f>
        <v>0</v>
      </c>
      <c r="P74" s="9">
        <f>IF(COUNTIF(PARAMETRES_REGIMES!$A$3:$A$100,$A74)&gt;0,FLOOR(MAX(SUM(F74:L74)*24-M74,0),0.5),FLOOR(MAX(SUM(F74:K74)*24-M74,0),0.5))</f>
        <v>0</v>
      </c>
      <c r="Q74" s="9">
        <f>IF(COUNTIF(PARAMETRES_REGIMES!$A$3:$A$100,$A74)&gt;0,0,IF(ISNUMBER(L74),FLOOR(MAX(L74*24,0),0.5),0))</f>
        <v>0</v>
      </c>
      <c r="R74" s="8">
        <f t="shared" si="13"/>
        <v>0</v>
      </c>
      <c r="S74" s="8">
        <f t="shared" si="14"/>
        <v>0</v>
      </c>
      <c r="T74" s="8">
        <f t="shared" si="15"/>
        <v>0</v>
      </c>
      <c r="U74" s="8">
        <f t="shared" si="16"/>
        <v>0</v>
      </c>
      <c r="V74" s="10" t="str">
        <f t="shared" si="17"/>
        <v>OK</v>
      </c>
    </row>
    <row r="75" spans="1:22">
      <c r="A75" s="17" t="s">
        <v>209</v>
      </c>
      <c r="B75" s="5" t="s">
        <v>210</v>
      </c>
      <c r="C75" s="5" t="s">
        <v>211</v>
      </c>
      <c r="D75" s="5" t="s">
        <v>31</v>
      </c>
      <c r="E75" s="17" t="s">
        <v>123</v>
      </c>
      <c r="F75" s="6"/>
      <c r="G75" s="7"/>
      <c r="H75" s="7"/>
      <c r="I75" s="7"/>
      <c r="J75" s="7"/>
      <c r="K75" s="7"/>
      <c r="L75" s="7"/>
      <c r="M75" s="8">
        <f>48</f>
        <v>48</v>
      </c>
      <c r="N75" s="8">
        <f t="shared" si="12"/>
        <v>0</v>
      </c>
      <c r="O75" s="8">
        <f>IF(COUNTIF(PARAMETRES_REGIMES!$A$3:$A$100,$A75)&gt;0,MIN(M75,SUM(F75:L75)*24),MIN(M75,SUM(F75:K75)*24))</f>
        <v>0</v>
      </c>
      <c r="P75" s="9">
        <f>IF(COUNTIF(PARAMETRES_REGIMES!$A$3:$A$100,$A75)&gt;0,FLOOR(MAX(SUM(F75:L75)*24-M75,0),0.5),FLOOR(MAX(SUM(F75:K75)*24-M75,0),0.5))</f>
        <v>0</v>
      </c>
      <c r="Q75" s="9">
        <f>IF(COUNTIF(PARAMETRES_REGIMES!$A$3:$A$100,$A75)&gt;0,0,IF(ISNUMBER(L75),FLOOR(MAX(L75*24,0),0.5),0))</f>
        <v>0</v>
      </c>
      <c r="R75" s="8">
        <f t="shared" si="13"/>
        <v>0</v>
      </c>
      <c r="S75" s="8">
        <f t="shared" si="14"/>
        <v>0</v>
      </c>
      <c r="T75" s="8">
        <f t="shared" si="15"/>
        <v>0</v>
      </c>
      <c r="U75" s="8">
        <f t="shared" si="16"/>
        <v>0</v>
      </c>
      <c r="V75" s="10" t="str">
        <f t="shared" si="17"/>
        <v>OK</v>
      </c>
    </row>
    <row r="76" spans="1:22">
      <c r="A76" s="17">
        <v>244</v>
      </c>
      <c r="B76" s="5" t="s">
        <v>212</v>
      </c>
      <c r="C76" s="5" t="s">
        <v>163</v>
      </c>
      <c r="D76" s="5" t="s">
        <v>31</v>
      </c>
      <c r="E76" s="17" t="s">
        <v>123</v>
      </c>
      <c r="F76" s="6"/>
      <c r="G76" s="7"/>
      <c r="H76" s="7"/>
      <c r="I76" s="7"/>
      <c r="J76" s="7"/>
      <c r="K76" s="7"/>
      <c r="L76" s="7"/>
      <c r="M76" s="8">
        <f>48</f>
        <v>48</v>
      </c>
      <c r="N76" s="8">
        <f t="shared" si="12"/>
        <v>0</v>
      </c>
      <c r="O76" s="8">
        <f>IF(COUNTIF(PARAMETRES_REGIMES!$A$3:$A$100,$A76)&gt;0,MIN(M76,SUM(F76:L76)*24),MIN(M76,SUM(F76:K76)*24))</f>
        <v>0</v>
      </c>
      <c r="P76" s="9">
        <f>IF(COUNTIF(PARAMETRES_REGIMES!$A$3:$A$100,$A76)&gt;0,FLOOR(MAX(SUM(F76:L76)*24-M76,0),0.5),FLOOR(MAX(SUM(F76:K76)*24-M76,0),0.5))</f>
        <v>0</v>
      </c>
      <c r="Q76" s="9">
        <f>IF(COUNTIF(PARAMETRES_REGIMES!$A$3:$A$100,$A76)&gt;0,0,IF(ISNUMBER(L76),FLOOR(MAX(L76*24,0),0.5),0))</f>
        <v>0</v>
      </c>
      <c r="R76" s="8">
        <f t="shared" si="13"/>
        <v>0</v>
      </c>
      <c r="S76" s="8">
        <f t="shared" si="14"/>
        <v>0</v>
      </c>
      <c r="T76" s="8">
        <f t="shared" si="15"/>
        <v>0</v>
      </c>
      <c r="U76" s="8">
        <f t="shared" si="16"/>
        <v>0</v>
      </c>
      <c r="V76" s="10" t="str">
        <f t="shared" si="17"/>
        <v>OK</v>
      </c>
    </row>
    <row r="77" spans="1:22">
      <c r="A77" s="17" t="s">
        <v>213</v>
      </c>
      <c r="B77" s="5" t="s">
        <v>214</v>
      </c>
      <c r="C77" s="5" t="s">
        <v>61</v>
      </c>
      <c r="D77" s="5" t="s">
        <v>31</v>
      </c>
      <c r="E77" s="17" t="s">
        <v>123</v>
      </c>
      <c r="F77" s="6"/>
      <c r="G77" s="7"/>
      <c r="H77" s="7"/>
      <c r="I77" s="7"/>
      <c r="J77" s="7"/>
      <c r="K77" s="7"/>
      <c r="L77" s="7"/>
      <c r="M77" s="8">
        <f>48</f>
        <v>48</v>
      </c>
      <c r="N77" s="8">
        <f t="shared" si="12"/>
        <v>0</v>
      </c>
      <c r="O77" s="8">
        <f>IF(COUNTIF(PARAMETRES_REGIMES!$A$3:$A$100,$A77)&gt;0,MIN(M77,SUM(F77:L77)*24),MIN(M77,SUM(F77:K77)*24))</f>
        <v>0</v>
      </c>
      <c r="P77" s="9">
        <f>IF(COUNTIF(PARAMETRES_REGIMES!$A$3:$A$100,$A77)&gt;0,FLOOR(MAX(SUM(F77:L77)*24-M77,0),0.5),FLOOR(MAX(SUM(F77:K77)*24-M77,0),0.5))</f>
        <v>0</v>
      </c>
      <c r="Q77" s="9">
        <f>IF(COUNTIF(PARAMETRES_REGIMES!$A$3:$A$100,$A77)&gt;0,0,IF(ISNUMBER(L77),FLOOR(MAX(L77*24,0),0.5),0))</f>
        <v>0</v>
      </c>
      <c r="R77" s="8">
        <f t="shared" si="13"/>
        <v>0</v>
      </c>
      <c r="S77" s="8">
        <f t="shared" si="14"/>
        <v>0</v>
      </c>
      <c r="T77" s="8">
        <f t="shared" si="15"/>
        <v>0</v>
      </c>
      <c r="U77" s="8">
        <f t="shared" si="16"/>
        <v>0</v>
      </c>
      <c r="V77" s="10" t="str">
        <f t="shared" si="17"/>
        <v>OK</v>
      </c>
    </row>
    <row r="78" spans="1:22">
      <c r="A78" s="17">
        <v>183</v>
      </c>
      <c r="B78" s="5" t="s">
        <v>215</v>
      </c>
      <c r="C78" s="5" t="s">
        <v>216</v>
      </c>
      <c r="D78" s="5" t="s">
        <v>31</v>
      </c>
      <c r="E78" s="17" t="s">
        <v>123</v>
      </c>
      <c r="F78" s="6"/>
      <c r="G78" s="7"/>
      <c r="H78" s="7"/>
      <c r="I78" s="7"/>
      <c r="J78" s="7"/>
      <c r="K78" s="7"/>
      <c r="L78" s="7"/>
      <c r="M78" s="8">
        <f>48</f>
        <v>48</v>
      </c>
      <c r="N78" s="8">
        <f t="shared" si="12"/>
        <v>0</v>
      </c>
      <c r="O78" s="8">
        <f>IF(COUNTIF(PARAMETRES_REGIMES!$A$3:$A$100,$A78)&gt;0,MIN(M78,SUM(F78:L78)*24),MIN(M78,SUM(F78:K78)*24))</f>
        <v>0</v>
      </c>
      <c r="P78" s="9">
        <f>IF(COUNTIF(PARAMETRES_REGIMES!$A$3:$A$100,$A78)&gt;0,FLOOR(MAX(SUM(F78:L78)*24-M78,0),0.5),FLOOR(MAX(SUM(F78:K78)*24-M78,0),0.5))</f>
        <v>0</v>
      </c>
      <c r="Q78" s="9">
        <f>IF(COUNTIF(PARAMETRES_REGIMES!$A$3:$A$100,$A78)&gt;0,0,IF(ISNUMBER(L78),FLOOR(MAX(L78*24,0),0.5),0))</f>
        <v>0</v>
      </c>
      <c r="R78" s="8">
        <f t="shared" si="13"/>
        <v>0</v>
      </c>
      <c r="S78" s="8">
        <f t="shared" si="14"/>
        <v>0</v>
      </c>
      <c r="T78" s="8">
        <f t="shared" si="15"/>
        <v>0</v>
      </c>
      <c r="U78" s="8">
        <f t="shared" si="16"/>
        <v>0</v>
      </c>
      <c r="V78" s="10" t="str">
        <f t="shared" si="17"/>
        <v>OK</v>
      </c>
    </row>
    <row r="79" spans="1:22">
      <c r="A79" s="17">
        <v>234</v>
      </c>
      <c r="B79" s="5" t="s">
        <v>217</v>
      </c>
      <c r="C79" s="5" t="s">
        <v>218</v>
      </c>
      <c r="D79" s="5" t="s">
        <v>31</v>
      </c>
      <c r="E79" s="17" t="s">
        <v>123</v>
      </c>
      <c r="F79" s="6"/>
      <c r="G79" s="7"/>
      <c r="H79" s="7"/>
      <c r="I79" s="7"/>
      <c r="J79" s="7"/>
      <c r="K79" s="7"/>
      <c r="L79" s="7"/>
      <c r="M79" s="8">
        <f>48</f>
        <v>48</v>
      </c>
      <c r="N79" s="8">
        <f t="shared" si="12"/>
        <v>0</v>
      </c>
      <c r="O79" s="8">
        <f>IF(COUNTIF(PARAMETRES_REGIMES!$A$3:$A$100,$A79)&gt;0,MIN(M79,SUM(F79:L79)*24),MIN(M79,SUM(F79:K79)*24))</f>
        <v>0</v>
      </c>
      <c r="P79" s="9">
        <f>IF(COUNTIF(PARAMETRES_REGIMES!$A$3:$A$100,$A79)&gt;0,FLOOR(MAX(SUM(F79:L79)*24-M79,0),0.5),FLOOR(MAX(SUM(F79:K79)*24-M79,0),0.5))</f>
        <v>0</v>
      </c>
      <c r="Q79" s="9">
        <f>IF(COUNTIF(PARAMETRES_REGIMES!$A$3:$A$100,$A79)&gt;0,0,IF(ISNUMBER(L79),FLOOR(MAX(L79*24,0),0.5),0))</f>
        <v>0</v>
      </c>
      <c r="R79" s="8">
        <f t="shared" si="13"/>
        <v>0</v>
      </c>
      <c r="S79" s="8">
        <f t="shared" si="14"/>
        <v>0</v>
      </c>
      <c r="T79" s="8">
        <f t="shared" si="15"/>
        <v>0</v>
      </c>
      <c r="U79" s="8">
        <f t="shared" si="16"/>
        <v>0</v>
      </c>
      <c r="V79" s="10" t="str">
        <f t="shared" si="17"/>
        <v>OK</v>
      </c>
    </row>
    <row r="80" spans="1:22">
      <c r="A80" s="17" t="s">
        <v>219</v>
      </c>
      <c r="B80" s="5" t="s">
        <v>220</v>
      </c>
      <c r="C80" s="5" t="s">
        <v>221</v>
      </c>
      <c r="D80" s="5" t="s">
        <v>31</v>
      </c>
      <c r="E80" s="17" t="s">
        <v>123</v>
      </c>
      <c r="F80" s="6"/>
      <c r="G80" s="7"/>
      <c r="H80" s="7"/>
      <c r="I80" s="7"/>
      <c r="J80" s="7"/>
      <c r="K80" s="7"/>
      <c r="L80" s="7"/>
      <c r="M80" s="8">
        <f>48</f>
        <v>48</v>
      </c>
      <c r="N80" s="8">
        <f t="shared" si="12"/>
        <v>0</v>
      </c>
      <c r="O80" s="8">
        <f>IF(COUNTIF(PARAMETRES_REGIMES!$A$3:$A$100,$A80)&gt;0,MIN(M80,SUM(F80:L80)*24),MIN(M80,SUM(F80:K80)*24))</f>
        <v>0</v>
      </c>
      <c r="P80" s="9">
        <f>IF(COUNTIF(PARAMETRES_REGIMES!$A$3:$A$100,$A80)&gt;0,FLOOR(MAX(SUM(F80:L80)*24-M80,0),0.5),FLOOR(MAX(SUM(F80:K80)*24-M80,0),0.5))</f>
        <v>0</v>
      </c>
      <c r="Q80" s="9">
        <f>IF(COUNTIF(PARAMETRES_REGIMES!$A$3:$A$100,$A80)&gt;0,0,IF(ISNUMBER(L80),FLOOR(MAX(L80*24,0),0.5),0))</f>
        <v>0</v>
      </c>
      <c r="R80" s="8">
        <f t="shared" si="13"/>
        <v>0</v>
      </c>
      <c r="S80" s="8">
        <f t="shared" si="14"/>
        <v>0</v>
      </c>
      <c r="T80" s="8">
        <f t="shared" si="15"/>
        <v>0</v>
      </c>
      <c r="U80" s="8">
        <f t="shared" si="16"/>
        <v>0</v>
      </c>
      <c r="V80" s="10" t="str">
        <f t="shared" si="17"/>
        <v>OK</v>
      </c>
    </row>
    <row r="81" spans="1:22">
      <c r="A81" s="17" t="s">
        <v>222</v>
      </c>
      <c r="B81" s="5" t="s">
        <v>223</v>
      </c>
      <c r="C81" s="5" t="s">
        <v>19</v>
      </c>
      <c r="D81" s="5" t="s">
        <v>31</v>
      </c>
      <c r="E81" s="17" t="s">
        <v>123</v>
      </c>
      <c r="F81" s="6"/>
      <c r="G81" s="7"/>
      <c r="H81" s="7"/>
      <c r="I81" s="7"/>
      <c r="J81" s="7"/>
      <c r="K81" s="7"/>
      <c r="L81" s="7"/>
      <c r="M81" s="8">
        <f>48</f>
        <v>48</v>
      </c>
      <c r="N81" s="8">
        <f t="shared" si="12"/>
        <v>0</v>
      </c>
      <c r="O81" s="8">
        <f>IF(COUNTIF(PARAMETRES_REGIMES!$A$3:$A$100,$A81)&gt;0,MIN(M81,SUM(F81:L81)*24),MIN(M81,SUM(F81:K81)*24))</f>
        <v>0</v>
      </c>
      <c r="P81" s="9">
        <f>IF(COUNTIF(PARAMETRES_REGIMES!$A$3:$A$100,$A81)&gt;0,FLOOR(MAX(SUM(F81:L81)*24-M81,0),0.5),FLOOR(MAX(SUM(F81:K81)*24-M81,0),0.5))</f>
        <v>0</v>
      </c>
      <c r="Q81" s="9">
        <f>IF(COUNTIF(PARAMETRES_REGIMES!$A$3:$A$100,$A81)&gt;0,0,IF(ISNUMBER(L81),FLOOR(MAX(L81*24,0),0.5),0))</f>
        <v>0</v>
      </c>
      <c r="R81" s="8">
        <f t="shared" si="13"/>
        <v>0</v>
      </c>
      <c r="S81" s="8">
        <f t="shared" si="14"/>
        <v>0</v>
      </c>
      <c r="T81" s="8">
        <f t="shared" si="15"/>
        <v>0</v>
      </c>
      <c r="U81" s="8">
        <f t="shared" si="16"/>
        <v>0</v>
      </c>
      <c r="V81" s="10" t="str">
        <f t="shared" si="17"/>
        <v>OK</v>
      </c>
    </row>
    <row r="82" spans="1:22">
      <c r="A82" s="17">
        <v>118</v>
      </c>
      <c r="B82" s="5" t="s">
        <v>224</v>
      </c>
      <c r="C82" s="5" t="s">
        <v>225</v>
      </c>
      <c r="D82" s="5" t="s">
        <v>31</v>
      </c>
      <c r="E82" s="17" t="s">
        <v>123</v>
      </c>
      <c r="F82" s="6"/>
      <c r="G82" s="7"/>
      <c r="H82" s="7"/>
      <c r="I82" s="7"/>
      <c r="J82" s="7"/>
      <c r="K82" s="7"/>
      <c r="L82" s="7"/>
      <c r="M82" s="8">
        <f>48</f>
        <v>48</v>
      </c>
      <c r="N82" s="8">
        <f t="shared" si="12"/>
        <v>0</v>
      </c>
      <c r="O82" s="8">
        <f>IF(COUNTIF(PARAMETRES_REGIMES!$A$3:$A$100,$A82)&gt;0,MIN(M82,SUM(F82:L82)*24),MIN(M82,SUM(F82:K82)*24))</f>
        <v>0</v>
      </c>
      <c r="P82" s="9">
        <f>IF(COUNTIF(PARAMETRES_REGIMES!$A$3:$A$100,$A82)&gt;0,FLOOR(MAX(SUM(F82:L82)*24-M82,0),0.5),FLOOR(MAX(SUM(F82:K82)*24-M82,0),0.5))</f>
        <v>0</v>
      </c>
      <c r="Q82" s="9">
        <f>IF(COUNTIF(PARAMETRES_REGIMES!$A$3:$A$100,$A82)&gt;0,0,IF(ISNUMBER(L82),FLOOR(MAX(L82*24,0),0.5),0))</f>
        <v>0</v>
      </c>
      <c r="R82" s="8">
        <f t="shared" si="13"/>
        <v>0</v>
      </c>
      <c r="S82" s="8">
        <f t="shared" si="14"/>
        <v>0</v>
      </c>
      <c r="T82" s="8">
        <f t="shared" si="15"/>
        <v>0</v>
      </c>
      <c r="U82" s="8">
        <f t="shared" si="16"/>
        <v>0</v>
      </c>
      <c r="V82" s="10" t="str">
        <f t="shared" si="17"/>
        <v>OK</v>
      </c>
    </row>
    <row r="83" spans="1:22">
      <c r="A83" s="17">
        <v>199</v>
      </c>
      <c r="B83" s="5" t="s">
        <v>226</v>
      </c>
      <c r="C83" s="5" t="s">
        <v>227</v>
      </c>
      <c r="D83" s="5" t="s">
        <v>31</v>
      </c>
      <c r="E83" s="17" t="s">
        <v>123</v>
      </c>
      <c r="F83" s="6"/>
      <c r="G83" s="7"/>
      <c r="H83" s="7"/>
      <c r="I83" s="7"/>
      <c r="J83" s="7"/>
      <c r="K83" s="7"/>
      <c r="L83" s="7"/>
      <c r="M83" s="8">
        <f>48</f>
        <v>48</v>
      </c>
      <c r="N83" s="8">
        <f t="shared" si="12"/>
        <v>0</v>
      </c>
      <c r="O83" s="8">
        <f>IF(COUNTIF(PARAMETRES_REGIMES!$A$3:$A$100,$A83)&gt;0,MIN(M83,SUM(F83:L83)*24),MIN(M83,SUM(F83:K83)*24))</f>
        <v>0</v>
      </c>
      <c r="P83" s="9">
        <f>IF(COUNTIF(PARAMETRES_REGIMES!$A$3:$A$100,$A83)&gt;0,FLOOR(MAX(SUM(F83:L83)*24-M83,0),0.5),FLOOR(MAX(SUM(F83:K83)*24-M83,0),0.5))</f>
        <v>0</v>
      </c>
      <c r="Q83" s="9">
        <f>IF(COUNTIF(PARAMETRES_REGIMES!$A$3:$A$100,$A83)&gt;0,0,IF(ISNUMBER(L83),FLOOR(MAX(L83*24,0),0.5),0))</f>
        <v>0</v>
      </c>
      <c r="R83" s="8">
        <f t="shared" si="13"/>
        <v>0</v>
      </c>
      <c r="S83" s="8">
        <f t="shared" si="14"/>
        <v>0</v>
      </c>
      <c r="T83" s="8">
        <f t="shared" si="15"/>
        <v>0</v>
      </c>
      <c r="U83" s="8">
        <f t="shared" si="16"/>
        <v>0</v>
      </c>
      <c r="V83" s="10" t="str">
        <f t="shared" si="17"/>
        <v>OK</v>
      </c>
    </row>
    <row r="84" spans="1:22">
      <c r="A84" s="17" t="s">
        <v>228</v>
      </c>
      <c r="B84" s="5" t="s">
        <v>226</v>
      </c>
      <c r="C84" s="5" t="s">
        <v>229</v>
      </c>
      <c r="D84" s="5" t="s">
        <v>31</v>
      </c>
      <c r="E84" s="17" t="s">
        <v>123</v>
      </c>
      <c r="F84" s="6"/>
      <c r="G84" s="7"/>
      <c r="H84" s="7"/>
      <c r="I84" s="7"/>
      <c r="J84" s="7"/>
      <c r="K84" s="7"/>
      <c r="L84" s="7"/>
      <c r="M84" s="8">
        <f>48</f>
        <v>48</v>
      </c>
      <c r="N84" s="8">
        <f t="shared" si="12"/>
        <v>0</v>
      </c>
      <c r="O84" s="8">
        <f>IF(COUNTIF(PARAMETRES_REGIMES!$A$3:$A$100,$A84)&gt;0,MIN(M84,SUM(F84:L84)*24),MIN(M84,SUM(F84:K84)*24))</f>
        <v>0</v>
      </c>
      <c r="P84" s="9">
        <f>IF(COUNTIF(PARAMETRES_REGIMES!$A$3:$A$100,$A84)&gt;0,FLOOR(MAX(SUM(F84:L84)*24-M84,0),0.5),FLOOR(MAX(SUM(F84:K84)*24-M84,0),0.5))</f>
        <v>0</v>
      </c>
      <c r="Q84" s="9">
        <f>IF(COUNTIF(PARAMETRES_REGIMES!$A$3:$A$100,$A84)&gt;0,0,IF(ISNUMBER(L84),FLOOR(MAX(L84*24,0),0.5),0))</f>
        <v>0</v>
      </c>
      <c r="R84" s="8">
        <f t="shared" si="13"/>
        <v>0</v>
      </c>
      <c r="S84" s="8">
        <f t="shared" si="14"/>
        <v>0</v>
      </c>
      <c r="T84" s="8">
        <f t="shared" si="15"/>
        <v>0</v>
      </c>
      <c r="U84" s="8">
        <f t="shared" si="16"/>
        <v>0</v>
      </c>
      <c r="V84" s="10" t="str">
        <f t="shared" si="17"/>
        <v>OK</v>
      </c>
    </row>
    <row r="85" spans="1:22">
      <c r="A85" s="17">
        <v>243</v>
      </c>
      <c r="B85" s="5" t="s">
        <v>230</v>
      </c>
      <c r="C85" s="5" t="s">
        <v>205</v>
      </c>
      <c r="D85" s="5" t="s">
        <v>31</v>
      </c>
      <c r="E85" s="17" t="s">
        <v>123</v>
      </c>
      <c r="F85" s="6"/>
      <c r="G85" s="7"/>
      <c r="H85" s="7"/>
      <c r="I85" s="7"/>
      <c r="J85" s="7"/>
      <c r="K85" s="7"/>
      <c r="L85" s="7"/>
      <c r="M85" s="8">
        <f>48</f>
        <v>48</v>
      </c>
      <c r="N85" s="8">
        <f t="shared" si="12"/>
        <v>0</v>
      </c>
      <c r="O85" s="8">
        <f>IF(COUNTIF(PARAMETRES_REGIMES!$A$3:$A$100,$A85)&gt;0,MIN(M85,SUM(F85:L85)*24),MIN(M85,SUM(F85:K85)*24))</f>
        <v>0</v>
      </c>
      <c r="P85" s="9">
        <f>IF(COUNTIF(PARAMETRES_REGIMES!$A$3:$A$100,$A85)&gt;0,FLOOR(MAX(SUM(F85:L85)*24-M85,0),0.5),FLOOR(MAX(SUM(F85:K85)*24-M85,0),0.5))</f>
        <v>0</v>
      </c>
      <c r="Q85" s="9">
        <f>IF(COUNTIF(PARAMETRES_REGIMES!$A$3:$A$100,$A85)&gt;0,0,IF(ISNUMBER(L85),FLOOR(MAX(L85*24,0),0.5),0))</f>
        <v>0</v>
      </c>
      <c r="R85" s="8">
        <f t="shared" si="13"/>
        <v>0</v>
      </c>
      <c r="S85" s="8">
        <f t="shared" si="14"/>
        <v>0</v>
      </c>
      <c r="T85" s="8">
        <f t="shared" si="15"/>
        <v>0</v>
      </c>
      <c r="U85" s="8">
        <f t="shared" si="16"/>
        <v>0</v>
      </c>
      <c r="V85" s="10" t="str">
        <f t="shared" si="17"/>
        <v>OK</v>
      </c>
    </row>
    <row r="86" spans="1:22">
      <c r="A86" s="17" t="s">
        <v>231</v>
      </c>
      <c r="B86" s="5" t="s">
        <v>232</v>
      </c>
      <c r="C86" s="5" t="s">
        <v>233</v>
      </c>
      <c r="D86" s="5" t="s">
        <v>31</v>
      </c>
      <c r="E86" s="17" t="s">
        <v>123</v>
      </c>
      <c r="F86" s="6"/>
      <c r="G86" s="7"/>
      <c r="H86" s="7"/>
      <c r="I86" s="7"/>
      <c r="J86" s="7"/>
      <c r="K86" s="7"/>
      <c r="L86" s="7"/>
      <c r="M86" s="8">
        <f>48</f>
        <v>48</v>
      </c>
      <c r="N86" s="8">
        <f t="shared" si="12"/>
        <v>0</v>
      </c>
      <c r="O86" s="8">
        <f>IF(COUNTIF(PARAMETRES_REGIMES!$A$3:$A$100,$A86)&gt;0,MIN(M86,SUM(F86:L86)*24),MIN(M86,SUM(F86:K86)*24))</f>
        <v>0</v>
      </c>
      <c r="P86" s="9">
        <f>IF(COUNTIF(PARAMETRES_REGIMES!$A$3:$A$100,$A86)&gt;0,FLOOR(MAX(SUM(F86:L86)*24-M86,0),0.5),FLOOR(MAX(SUM(F86:K86)*24-M86,0),0.5))</f>
        <v>0</v>
      </c>
      <c r="Q86" s="9">
        <f>IF(COUNTIF(PARAMETRES_REGIMES!$A$3:$A$100,$A86)&gt;0,0,IF(ISNUMBER(L86),FLOOR(MAX(L86*24,0),0.5),0))</f>
        <v>0</v>
      </c>
      <c r="R86" s="8">
        <f t="shared" si="13"/>
        <v>0</v>
      </c>
      <c r="S86" s="8">
        <f t="shared" si="14"/>
        <v>0</v>
      </c>
      <c r="T86" s="8">
        <f t="shared" si="15"/>
        <v>0</v>
      </c>
      <c r="U86" s="8">
        <f t="shared" si="16"/>
        <v>0</v>
      </c>
      <c r="V86" s="10" t="str">
        <f t="shared" si="17"/>
        <v>OK</v>
      </c>
    </row>
    <row r="87" spans="1:22">
      <c r="A87" s="17">
        <v>96</v>
      </c>
      <c r="B87" s="5" t="s">
        <v>232</v>
      </c>
      <c r="C87" s="5" t="s">
        <v>234</v>
      </c>
      <c r="D87" s="5" t="s">
        <v>31</v>
      </c>
      <c r="E87" s="17" t="s">
        <v>123</v>
      </c>
      <c r="F87" s="6"/>
      <c r="G87" s="7"/>
      <c r="H87" s="7"/>
      <c r="I87" s="7"/>
      <c r="J87" s="7"/>
      <c r="K87" s="7"/>
      <c r="L87" s="7"/>
      <c r="M87" s="8">
        <f>48</f>
        <v>48</v>
      </c>
      <c r="N87" s="8">
        <f t="shared" si="12"/>
        <v>0</v>
      </c>
      <c r="O87" s="8">
        <f>IF(COUNTIF(PARAMETRES_REGIMES!$A$3:$A$100,$A87)&gt;0,MIN(M87,SUM(F87:L87)*24),MIN(M87,SUM(F87:K87)*24))</f>
        <v>0</v>
      </c>
      <c r="P87" s="9">
        <f>IF(COUNTIF(PARAMETRES_REGIMES!$A$3:$A$100,$A87)&gt;0,FLOOR(MAX(SUM(F87:L87)*24-M87,0),0.5),FLOOR(MAX(SUM(F87:K87)*24-M87,0),0.5))</f>
        <v>0</v>
      </c>
      <c r="Q87" s="9">
        <f>IF(COUNTIF(PARAMETRES_REGIMES!$A$3:$A$100,$A87)&gt;0,0,IF(ISNUMBER(L87),FLOOR(MAX(L87*24,0),0.5),0))</f>
        <v>0</v>
      </c>
      <c r="R87" s="8">
        <f t="shared" si="13"/>
        <v>0</v>
      </c>
      <c r="S87" s="8">
        <f t="shared" si="14"/>
        <v>0</v>
      </c>
      <c r="T87" s="8">
        <f t="shared" si="15"/>
        <v>0</v>
      </c>
      <c r="U87" s="8">
        <f t="shared" si="16"/>
        <v>0</v>
      </c>
      <c r="V87" s="10" t="str">
        <f t="shared" si="17"/>
        <v>OK</v>
      </c>
    </row>
    <row r="88" spans="1:22">
      <c r="A88" s="17" t="s">
        <v>235</v>
      </c>
      <c r="B88" s="5" t="s">
        <v>232</v>
      </c>
      <c r="C88" s="5" t="s">
        <v>236</v>
      </c>
      <c r="D88" s="5" t="s">
        <v>31</v>
      </c>
      <c r="E88" s="17" t="s">
        <v>123</v>
      </c>
      <c r="F88" s="6"/>
      <c r="G88" s="7"/>
      <c r="H88" s="7"/>
      <c r="I88" s="7"/>
      <c r="J88" s="7"/>
      <c r="K88" s="7"/>
      <c r="L88" s="7"/>
      <c r="M88" s="8">
        <f>48</f>
        <v>48</v>
      </c>
      <c r="N88" s="8">
        <f t="shared" si="12"/>
        <v>0</v>
      </c>
      <c r="O88" s="8">
        <f>IF(COUNTIF(PARAMETRES_REGIMES!$A$3:$A$100,$A88)&gt;0,MIN(M88,SUM(F88:L88)*24),MIN(M88,SUM(F88:K88)*24))</f>
        <v>0</v>
      </c>
      <c r="P88" s="9">
        <f>IF(COUNTIF(PARAMETRES_REGIMES!$A$3:$A$100,$A88)&gt;0,FLOOR(MAX(SUM(F88:L88)*24-M88,0),0.5),FLOOR(MAX(SUM(F88:K88)*24-M88,0),0.5))</f>
        <v>0</v>
      </c>
      <c r="Q88" s="9">
        <f>IF(COUNTIF(PARAMETRES_REGIMES!$A$3:$A$100,$A88)&gt;0,0,IF(ISNUMBER(L88),FLOOR(MAX(L88*24,0),0.5),0))</f>
        <v>0</v>
      </c>
      <c r="R88" s="8">
        <f t="shared" si="13"/>
        <v>0</v>
      </c>
      <c r="S88" s="8">
        <f t="shared" si="14"/>
        <v>0</v>
      </c>
      <c r="T88" s="8">
        <f t="shared" si="15"/>
        <v>0</v>
      </c>
      <c r="U88" s="8">
        <f t="shared" si="16"/>
        <v>0</v>
      </c>
      <c r="V88" s="10" t="str">
        <f t="shared" si="17"/>
        <v>OK</v>
      </c>
    </row>
    <row r="89" spans="1:22">
      <c r="A89" s="17" t="s">
        <v>237</v>
      </c>
      <c r="B89" s="5" t="s">
        <v>238</v>
      </c>
      <c r="C89" s="5" t="s">
        <v>239</v>
      </c>
      <c r="D89" s="5" t="s">
        <v>31</v>
      </c>
      <c r="E89" s="17" t="s">
        <v>123</v>
      </c>
      <c r="F89" s="6"/>
      <c r="G89" s="7"/>
      <c r="H89" s="7"/>
      <c r="I89" s="7"/>
      <c r="J89" s="7"/>
      <c r="K89" s="7"/>
      <c r="L89" s="7"/>
      <c r="M89" s="8">
        <f>48</f>
        <v>48</v>
      </c>
      <c r="N89" s="8">
        <f t="shared" si="12"/>
        <v>0</v>
      </c>
      <c r="O89" s="8">
        <f>IF(COUNTIF(PARAMETRES_REGIMES!$A$3:$A$100,$A89)&gt;0,MIN(M89,SUM(F89:L89)*24),MIN(M89,SUM(F89:K89)*24))</f>
        <v>0</v>
      </c>
      <c r="P89" s="9">
        <f>IF(COUNTIF(PARAMETRES_REGIMES!$A$3:$A$100,$A89)&gt;0,FLOOR(MAX(SUM(F89:L89)*24-M89,0),0.5),FLOOR(MAX(SUM(F89:K89)*24-M89,0),0.5))</f>
        <v>0</v>
      </c>
      <c r="Q89" s="9">
        <f>IF(COUNTIF(PARAMETRES_REGIMES!$A$3:$A$100,$A89)&gt;0,0,IF(ISNUMBER(L89),FLOOR(MAX(L89*24,0),0.5),0))</f>
        <v>0</v>
      </c>
      <c r="R89" s="8">
        <f t="shared" si="13"/>
        <v>0</v>
      </c>
      <c r="S89" s="8">
        <f t="shared" si="14"/>
        <v>0</v>
      </c>
      <c r="T89" s="8">
        <f t="shared" si="15"/>
        <v>0</v>
      </c>
      <c r="U89" s="8">
        <f t="shared" si="16"/>
        <v>0</v>
      </c>
      <c r="V89" s="10" t="str">
        <f t="shared" si="17"/>
        <v>OK</v>
      </c>
    </row>
    <row r="90" spans="1:22">
      <c r="A90" s="17" t="s">
        <v>240</v>
      </c>
      <c r="B90" s="5" t="s">
        <v>241</v>
      </c>
      <c r="C90" s="5" t="s">
        <v>242</v>
      </c>
      <c r="D90" s="5" t="s">
        <v>31</v>
      </c>
      <c r="E90" s="17" t="s">
        <v>123</v>
      </c>
      <c r="F90" s="6"/>
      <c r="G90" s="7"/>
      <c r="H90" s="7"/>
      <c r="I90" s="7"/>
      <c r="J90" s="7"/>
      <c r="K90" s="7"/>
      <c r="L90" s="7"/>
      <c r="M90" s="8">
        <f>48</f>
        <v>48</v>
      </c>
      <c r="N90" s="8">
        <f t="shared" si="12"/>
        <v>0</v>
      </c>
      <c r="O90" s="8">
        <f>IF(COUNTIF(PARAMETRES_REGIMES!$A$3:$A$100,$A90)&gt;0,MIN(M90,SUM(F90:L90)*24),MIN(M90,SUM(F90:K90)*24))</f>
        <v>0</v>
      </c>
      <c r="P90" s="9">
        <f>IF(COUNTIF(PARAMETRES_REGIMES!$A$3:$A$100,$A90)&gt;0,FLOOR(MAX(SUM(F90:L90)*24-M90,0),0.5),FLOOR(MAX(SUM(F90:K90)*24-M90,0),0.5))</f>
        <v>0</v>
      </c>
      <c r="Q90" s="9">
        <f>IF(COUNTIF(PARAMETRES_REGIMES!$A$3:$A$100,$A90)&gt;0,0,IF(ISNUMBER(L90),FLOOR(MAX(L90*24,0),0.5),0))</f>
        <v>0</v>
      </c>
      <c r="R90" s="8">
        <f t="shared" si="13"/>
        <v>0</v>
      </c>
      <c r="S90" s="8">
        <f t="shared" si="14"/>
        <v>0</v>
      </c>
      <c r="T90" s="8">
        <f t="shared" si="15"/>
        <v>0</v>
      </c>
      <c r="U90" s="8">
        <f t="shared" si="16"/>
        <v>0</v>
      </c>
      <c r="V90" s="10" t="str">
        <f t="shared" si="17"/>
        <v>OK</v>
      </c>
    </row>
    <row r="91" spans="1:22">
      <c r="A91" s="17" t="s">
        <v>243</v>
      </c>
      <c r="B91" s="5" t="s">
        <v>244</v>
      </c>
      <c r="C91" s="5" t="s">
        <v>245</v>
      </c>
      <c r="D91" s="5" t="s">
        <v>31</v>
      </c>
      <c r="E91" s="17" t="s">
        <v>123</v>
      </c>
      <c r="F91" s="6"/>
      <c r="G91" s="7"/>
      <c r="H91" s="7"/>
      <c r="I91" s="7"/>
      <c r="J91" s="7"/>
      <c r="K91" s="7"/>
      <c r="L91" s="7"/>
      <c r="M91" s="8">
        <f>48</f>
        <v>48</v>
      </c>
      <c r="N91" s="8">
        <f t="shared" si="12"/>
        <v>0</v>
      </c>
      <c r="O91" s="8">
        <f>IF(COUNTIF(PARAMETRES_REGIMES!$A$3:$A$100,$A91)&gt;0,MIN(M91,SUM(F91:L91)*24),MIN(M91,SUM(F91:K91)*24))</f>
        <v>0</v>
      </c>
      <c r="P91" s="9">
        <f>IF(COUNTIF(PARAMETRES_REGIMES!$A$3:$A$100,$A91)&gt;0,FLOOR(MAX(SUM(F91:L91)*24-M91,0),0.5),FLOOR(MAX(SUM(F91:K91)*24-M91,0),0.5))</f>
        <v>0</v>
      </c>
      <c r="Q91" s="9">
        <f>IF(COUNTIF(PARAMETRES_REGIMES!$A$3:$A$100,$A91)&gt;0,0,IF(ISNUMBER(L91),FLOOR(MAX(L91*24,0),0.5),0))</f>
        <v>0</v>
      </c>
      <c r="R91" s="8">
        <f t="shared" si="13"/>
        <v>0</v>
      </c>
      <c r="S91" s="8">
        <f t="shared" si="14"/>
        <v>0</v>
      </c>
      <c r="T91" s="8">
        <f t="shared" si="15"/>
        <v>0</v>
      </c>
      <c r="U91" s="8">
        <f t="shared" si="16"/>
        <v>0</v>
      </c>
      <c r="V91" s="10" t="str">
        <f t="shared" si="17"/>
        <v>OK</v>
      </c>
    </row>
    <row r="92" spans="1:22">
      <c r="A92" s="17" t="s">
        <v>246</v>
      </c>
      <c r="B92" s="5" t="s">
        <v>247</v>
      </c>
      <c r="C92" s="5" t="s">
        <v>248</v>
      </c>
      <c r="D92" s="5" t="s">
        <v>31</v>
      </c>
      <c r="E92" s="17" t="s">
        <v>123</v>
      </c>
      <c r="F92" s="6"/>
      <c r="G92" s="7"/>
      <c r="H92" s="7"/>
      <c r="I92" s="7"/>
      <c r="J92" s="7"/>
      <c r="K92" s="7"/>
      <c r="L92" s="7"/>
      <c r="M92" s="8">
        <f>48</f>
        <v>48</v>
      </c>
      <c r="N92" s="8">
        <f t="shared" si="12"/>
        <v>0</v>
      </c>
      <c r="O92" s="8">
        <f>IF(COUNTIF(PARAMETRES_REGIMES!$A$3:$A$100,$A92)&gt;0,MIN(M92,SUM(F92:L92)*24),MIN(M92,SUM(F92:K92)*24))</f>
        <v>0</v>
      </c>
      <c r="P92" s="9">
        <f>IF(COUNTIF(PARAMETRES_REGIMES!$A$3:$A$100,$A92)&gt;0,FLOOR(MAX(SUM(F92:L92)*24-M92,0),0.5),FLOOR(MAX(SUM(F92:K92)*24-M92,0),0.5))</f>
        <v>0</v>
      </c>
      <c r="Q92" s="9">
        <f>IF(COUNTIF(PARAMETRES_REGIMES!$A$3:$A$100,$A92)&gt;0,0,IF(ISNUMBER(L92),FLOOR(MAX(L92*24,0),0.5),0))</f>
        <v>0</v>
      </c>
      <c r="R92" s="8">
        <f t="shared" si="13"/>
        <v>0</v>
      </c>
      <c r="S92" s="8">
        <f t="shared" si="14"/>
        <v>0</v>
      </c>
      <c r="T92" s="8">
        <f t="shared" si="15"/>
        <v>0</v>
      </c>
      <c r="U92" s="8">
        <f t="shared" si="16"/>
        <v>0</v>
      </c>
      <c r="V92" s="10" t="str">
        <f t="shared" si="17"/>
        <v>OK</v>
      </c>
    </row>
    <row r="93" spans="1:22">
      <c r="A93" s="17" t="s">
        <v>249</v>
      </c>
      <c r="B93" s="5" t="s">
        <v>250</v>
      </c>
      <c r="C93" s="5" t="s">
        <v>251</v>
      </c>
      <c r="D93" s="5" t="s">
        <v>31</v>
      </c>
      <c r="E93" s="17" t="s">
        <v>123</v>
      </c>
      <c r="F93" s="6"/>
      <c r="G93" s="7"/>
      <c r="H93" s="7"/>
      <c r="I93" s="7"/>
      <c r="J93" s="7"/>
      <c r="K93" s="7"/>
      <c r="L93" s="7"/>
      <c r="M93" s="8">
        <f>48</f>
        <v>48</v>
      </c>
      <c r="N93" s="8">
        <f t="shared" si="12"/>
        <v>0</v>
      </c>
      <c r="O93" s="8">
        <f>IF(COUNTIF(PARAMETRES_REGIMES!$A$3:$A$100,$A93)&gt;0,MIN(M93,SUM(F93:L93)*24),MIN(M93,SUM(F93:K93)*24))</f>
        <v>0</v>
      </c>
      <c r="P93" s="9">
        <f>IF(COUNTIF(PARAMETRES_REGIMES!$A$3:$A$100,$A93)&gt;0,FLOOR(MAX(SUM(F93:L93)*24-M93,0),0.5),FLOOR(MAX(SUM(F93:K93)*24-M93,0),0.5))</f>
        <v>0</v>
      </c>
      <c r="Q93" s="9">
        <f>IF(COUNTIF(PARAMETRES_REGIMES!$A$3:$A$100,$A93)&gt;0,0,IF(ISNUMBER(L93),FLOOR(MAX(L93*24,0),0.5),0))</f>
        <v>0</v>
      </c>
      <c r="R93" s="8">
        <f t="shared" si="13"/>
        <v>0</v>
      </c>
      <c r="S93" s="8">
        <f t="shared" si="14"/>
        <v>0</v>
      </c>
      <c r="T93" s="8">
        <f t="shared" si="15"/>
        <v>0</v>
      </c>
      <c r="U93" s="8">
        <f t="shared" si="16"/>
        <v>0</v>
      </c>
      <c r="V93" s="10" t="str">
        <f t="shared" si="17"/>
        <v>OK</v>
      </c>
    </row>
    <row r="94" spans="1:22">
      <c r="A94" s="17" t="s">
        <v>252</v>
      </c>
      <c r="B94" s="5" t="s">
        <v>253</v>
      </c>
      <c r="C94" s="5" t="s">
        <v>254</v>
      </c>
      <c r="D94" s="5" t="s">
        <v>31</v>
      </c>
      <c r="E94" s="17" t="s">
        <v>123</v>
      </c>
      <c r="F94" s="6"/>
      <c r="G94" s="7"/>
      <c r="H94" s="7"/>
      <c r="I94" s="7"/>
      <c r="J94" s="7"/>
      <c r="K94" s="7"/>
      <c r="L94" s="7"/>
      <c r="M94" s="8">
        <f>48</f>
        <v>48</v>
      </c>
      <c r="N94" s="8">
        <f t="shared" si="12"/>
        <v>0</v>
      </c>
      <c r="O94" s="8">
        <f>IF(COUNTIF(PARAMETRES_REGIMES!$A$3:$A$100,$A94)&gt;0,MIN(M94,SUM(F94:L94)*24),MIN(M94,SUM(F94:K94)*24))</f>
        <v>0</v>
      </c>
      <c r="P94" s="9">
        <f>IF(COUNTIF(PARAMETRES_REGIMES!$A$3:$A$100,$A94)&gt;0,FLOOR(MAX(SUM(F94:L94)*24-M94,0),0.5),FLOOR(MAX(SUM(F94:K94)*24-M94,0),0.5))</f>
        <v>0</v>
      </c>
      <c r="Q94" s="9">
        <f>IF(COUNTIF(PARAMETRES_REGIMES!$A$3:$A$100,$A94)&gt;0,0,IF(ISNUMBER(L94),FLOOR(MAX(L94*24,0),0.5),0))</f>
        <v>0</v>
      </c>
      <c r="R94" s="8">
        <f t="shared" si="13"/>
        <v>0</v>
      </c>
      <c r="S94" s="8">
        <f t="shared" si="14"/>
        <v>0</v>
      </c>
      <c r="T94" s="8">
        <f t="shared" si="15"/>
        <v>0</v>
      </c>
      <c r="U94" s="8">
        <f t="shared" si="16"/>
        <v>0</v>
      </c>
      <c r="V94" s="10" t="str">
        <f t="shared" si="17"/>
        <v>OK</v>
      </c>
    </row>
    <row r="95" spans="1:22">
      <c r="A95" s="17" t="s">
        <v>255</v>
      </c>
      <c r="B95" s="5" t="s">
        <v>256</v>
      </c>
      <c r="C95" s="5" t="s">
        <v>257</v>
      </c>
      <c r="D95" s="5" t="s">
        <v>31</v>
      </c>
      <c r="E95" s="17" t="s">
        <v>123</v>
      </c>
      <c r="F95" s="6"/>
      <c r="G95" s="7"/>
      <c r="H95" s="7"/>
      <c r="I95" s="7"/>
      <c r="J95" s="7"/>
      <c r="K95" s="7"/>
      <c r="L95" s="7"/>
      <c r="M95" s="8">
        <f>48</f>
        <v>48</v>
      </c>
      <c r="N95" s="8">
        <f t="shared" si="12"/>
        <v>0</v>
      </c>
      <c r="O95" s="8">
        <f>IF(COUNTIF(PARAMETRES_REGIMES!$A$3:$A$100,$A95)&gt;0,MIN(M95,SUM(F95:L95)*24),MIN(M95,SUM(F95:K95)*24))</f>
        <v>0</v>
      </c>
      <c r="P95" s="9">
        <f>IF(COUNTIF(PARAMETRES_REGIMES!$A$3:$A$100,$A95)&gt;0,FLOOR(MAX(SUM(F95:L95)*24-M95,0),0.5),FLOOR(MAX(SUM(F95:K95)*24-M95,0),0.5))</f>
        <v>0</v>
      </c>
      <c r="Q95" s="9">
        <f>IF(COUNTIF(PARAMETRES_REGIMES!$A$3:$A$100,$A95)&gt;0,0,IF(ISNUMBER(L95),FLOOR(MAX(L95*24,0),0.5),0))</f>
        <v>0</v>
      </c>
      <c r="R95" s="8">
        <f t="shared" si="13"/>
        <v>0</v>
      </c>
      <c r="S95" s="8">
        <f t="shared" si="14"/>
        <v>0</v>
      </c>
      <c r="T95" s="8">
        <f t="shared" si="15"/>
        <v>0</v>
      </c>
      <c r="U95" s="8">
        <f t="shared" si="16"/>
        <v>0</v>
      </c>
      <c r="V95" s="10" t="str">
        <f t="shared" si="17"/>
        <v>OK</v>
      </c>
    </row>
    <row r="96" spans="1:22">
      <c r="A96" s="17">
        <v>247</v>
      </c>
      <c r="B96" s="5" t="s">
        <v>258</v>
      </c>
      <c r="C96" s="5" t="s">
        <v>259</v>
      </c>
      <c r="D96" s="5" t="s">
        <v>31</v>
      </c>
      <c r="E96" s="17" t="s">
        <v>123</v>
      </c>
      <c r="F96" s="6"/>
      <c r="G96" s="7"/>
      <c r="H96" s="7"/>
      <c r="I96" s="7"/>
      <c r="J96" s="7"/>
      <c r="K96" s="7"/>
      <c r="L96" s="7"/>
      <c r="M96" s="8">
        <f>48</f>
        <v>48</v>
      </c>
      <c r="N96" s="8">
        <f t="shared" si="12"/>
        <v>0</v>
      </c>
      <c r="O96" s="8">
        <f>IF(COUNTIF(PARAMETRES_REGIMES!$A$3:$A$100,$A96)&gt;0,MIN(M96,SUM(F96:L96)*24),MIN(M96,SUM(F96:K96)*24))</f>
        <v>0</v>
      </c>
      <c r="P96" s="9">
        <f>IF(COUNTIF(PARAMETRES_REGIMES!$A$3:$A$100,$A96)&gt;0,FLOOR(MAX(SUM(F96:L96)*24-M96,0),0.5),FLOOR(MAX(SUM(F96:K96)*24-M96,0),0.5))</f>
        <v>0</v>
      </c>
      <c r="Q96" s="9">
        <f>IF(COUNTIF(PARAMETRES_REGIMES!$A$3:$A$100,$A96)&gt;0,0,IF(ISNUMBER(L96),FLOOR(MAX(L96*24,0),0.5),0))</f>
        <v>0</v>
      </c>
      <c r="R96" s="8">
        <f t="shared" si="13"/>
        <v>0</v>
      </c>
      <c r="S96" s="8">
        <f t="shared" si="14"/>
        <v>0</v>
      </c>
      <c r="T96" s="8">
        <f t="shared" si="15"/>
        <v>0</v>
      </c>
      <c r="U96" s="8">
        <f t="shared" si="16"/>
        <v>0</v>
      </c>
      <c r="V96" s="10" t="str">
        <f t="shared" si="17"/>
        <v>OK</v>
      </c>
    </row>
    <row r="97" spans="1:22">
      <c r="A97" s="17" t="s">
        <v>260</v>
      </c>
      <c r="B97" s="5" t="s">
        <v>261</v>
      </c>
      <c r="C97" s="5" t="s">
        <v>188</v>
      </c>
      <c r="D97" s="5" t="s">
        <v>31</v>
      </c>
      <c r="E97" s="17" t="s">
        <v>123</v>
      </c>
      <c r="F97" s="6"/>
      <c r="G97" s="7"/>
      <c r="H97" s="7"/>
      <c r="I97" s="7"/>
      <c r="J97" s="7"/>
      <c r="K97" s="7"/>
      <c r="L97" s="7"/>
      <c r="M97" s="8">
        <f>48</f>
        <v>48</v>
      </c>
      <c r="N97" s="8">
        <f t="shared" si="12"/>
        <v>0</v>
      </c>
      <c r="O97" s="8">
        <f>IF(COUNTIF(PARAMETRES_REGIMES!$A$3:$A$100,$A97)&gt;0,MIN(M97,SUM(F97:L97)*24),MIN(M97,SUM(F97:K97)*24))</f>
        <v>0</v>
      </c>
      <c r="P97" s="9">
        <f>IF(COUNTIF(PARAMETRES_REGIMES!$A$3:$A$100,$A97)&gt;0,FLOOR(MAX(SUM(F97:L97)*24-M97,0),0.5),FLOOR(MAX(SUM(F97:K97)*24-M97,0),0.5))</f>
        <v>0</v>
      </c>
      <c r="Q97" s="9">
        <f>IF(COUNTIF(PARAMETRES_REGIMES!$A$3:$A$100,$A97)&gt;0,0,IF(ISNUMBER(L97),FLOOR(MAX(L97*24,0),0.5),0))</f>
        <v>0</v>
      </c>
      <c r="R97" s="8">
        <f t="shared" si="13"/>
        <v>0</v>
      </c>
      <c r="S97" s="8">
        <f t="shared" si="14"/>
        <v>0</v>
      </c>
      <c r="T97" s="8">
        <f t="shared" si="15"/>
        <v>0</v>
      </c>
      <c r="U97" s="8">
        <f t="shared" si="16"/>
        <v>0</v>
      </c>
      <c r="V97" s="10" t="str">
        <f t="shared" si="17"/>
        <v>OK</v>
      </c>
    </row>
    <row r="98" spans="1:22">
      <c r="A98" s="17">
        <v>242</v>
      </c>
      <c r="B98" s="5" t="s">
        <v>262</v>
      </c>
      <c r="C98" s="5" t="s">
        <v>263</v>
      </c>
      <c r="D98" s="5" t="s">
        <v>31</v>
      </c>
      <c r="E98" s="17" t="s">
        <v>123</v>
      </c>
      <c r="F98" s="6"/>
      <c r="G98" s="7"/>
      <c r="H98" s="7"/>
      <c r="I98" s="7"/>
      <c r="J98" s="7"/>
      <c r="K98" s="7"/>
      <c r="L98" s="7"/>
      <c r="M98" s="8">
        <f>48</f>
        <v>48</v>
      </c>
      <c r="N98" s="8">
        <f t="shared" si="12"/>
        <v>0</v>
      </c>
      <c r="O98" s="8">
        <f>IF(COUNTIF(PARAMETRES_REGIMES!$A$3:$A$100,$A98)&gt;0,MIN(M98,SUM(F98:L98)*24),MIN(M98,SUM(F98:K98)*24))</f>
        <v>0</v>
      </c>
      <c r="P98" s="9">
        <f>IF(COUNTIF(PARAMETRES_REGIMES!$A$3:$A$100,$A98)&gt;0,FLOOR(MAX(SUM(F98:L98)*24-M98,0),0.5),FLOOR(MAX(SUM(F98:K98)*24-M98,0),0.5))</f>
        <v>0</v>
      </c>
      <c r="Q98" s="9">
        <f>IF(COUNTIF(PARAMETRES_REGIMES!$A$3:$A$100,$A98)&gt;0,0,IF(ISNUMBER(L98),FLOOR(MAX(L98*24,0),0.5),0))</f>
        <v>0</v>
      </c>
      <c r="R98" s="8">
        <f t="shared" si="13"/>
        <v>0</v>
      </c>
      <c r="S98" s="8">
        <f t="shared" si="14"/>
        <v>0</v>
      </c>
      <c r="T98" s="8">
        <f t="shared" si="15"/>
        <v>0</v>
      </c>
      <c r="U98" s="8">
        <f t="shared" si="16"/>
        <v>0</v>
      </c>
      <c r="V98" s="10" t="str">
        <f t="shared" si="17"/>
        <v>OK</v>
      </c>
    </row>
    <row r="99" spans="1:22">
      <c r="A99" s="17">
        <v>94</v>
      </c>
      <c r="B99" s="5" t="s">
        <v>264</v>
      </c>
      <c r="C99" s="5" t="s">
        <v>265</v>
      </c>
      <c r="D99" s="5" t="s">
        <v>31</v>
      </c>
      <c r="E99" s="17" t="s">
        <v>123</v>
      </c>
      <c r="F99" s="6"/>
      <c r="G99" s="7"/>
      <c r="H99" s="7"/>
      <c r="I99" s="7"/>
      <c r="J99" s="7"/>
      <c r="K99" s="7"/>
      <c r="L99" s="7"/>
      <c r="M99" s="8">
        <f>48</f>
        <v>48</v>
      </c>
      <c r="N99" s="8">
        <f t="shared" ref="N99:N113" si="18">SUM(F99:L99)*24</f>
        <v>0</v>
      </c>
      <c r="O99" s="8">
        <f>IF(COUNTIF(PARAMETRES_REGIMES!$A$3:$A$100,$A99)&gt;0,MIN(M99,SUM(F99:L99)*24),MIN(M99,SUM(F99:K99)*24))</f>
        <v>0</v>
      </c>
      <c r="P99" s="9">
        <f>IF(COUNTIF(PARAMETRES_REGIMES!$A$3:$A$100,$A99)&gt;0,FLOOR(MAX(SUM(F99:L99)*24-M99,0),0.5),FLOOR(MAX(SUM(F99:K99)*24-M99,0),0.5))</f>
        <v>0</v>
      </c>
      <c r="Q99" s="9">
        <f>IF(COUNTIF(PARAMETRES_REGIMES!$A$3:$A$100,$A99)&gt;0,0,IF(ISNUMBER(L99),FLOOR(MAX(L99*24,0),0.5),0))</f>
        <v>0</v>
      </c>
      <c r="R99" s="8">
        <f t="shared" ref="R99:R113" si="19">COUNTIF(F99:L99,"ABS")</f>
        <v>0</v>
      </c>
      <c r="S99" s="8">
        <f t="shared" ref="S99:S113" si="20">COUNTIF(F99:L99,"Congé")</f>
        <v>0</v>
      </c>
      <c r="T99" s="8">
        <f t="shared" ref="T99:T113" si="21">COUNTIF(F99:L99,"Férié")</f>
        <v>0</v>
      </c>
      <c r="U99" s="8">
        <f t="shared" ref="U99:U113" si="22">O99+P99+Q99+(T99*8.5)</f>
        <v>0</v>
      </c>
      <c r="V99" s="10" t="str">
        <f t="shared" ref="V99:V113" si="23">IF(COUNTIF(F99:L99,"STC")&gt;0,"STC",IF(COUNTIF(F99:L99,"*!*")&gt;0,"À vérifier","OK"))</f>
        <v>OK</v>
      </c>
    </row>
    <row r="100" spans="1:22">
      <c r="A100" s="17" t="s">
        <v>266</v>
      </c>
      <c r="B100" s="5" t="s">
        <v>267</v>
      </c>
      <c r="C100" s="5" t="s">
        <v>63</v>
      </c>
      <c r="D100" s="5" t="s">
        <v>31</v>
      </c>
      <c r="E100" s="17" t="s">
        <v>123</v>
      </c>
      <c r="F100" s="6"/>
      <c r="G100" s="7"/>
      <c r="H100" s="7"/>
      <c r="I100" s="7"/>
      <c r="J100" s="7"/>
      <c r="K100" s="7"/>
      <c r="L100" s="7"/>
      <c r="M100" s="8">
        <f>48</f>
        <v>48</v>
      </c>
      <c r="N100" s="8">
        <f t="shared" si="18"/>
        <v>0</v>
      </c>
      <c r="O100" s="8">
        <f>IF(COUNTIF(PARAMETRES_REGIMES!$A$3:$A$100,$A100)&gt;0,MIN(M100,SUM(F100:L100)*24),MIN(M100,SUM(F100:K100)*24))</f>
        <v>0</v>
      </c>
      <c r="P100" s="9">
        <f>IF(COUNTIF(PARAMETRES_REGIMES!$A$3:$A$100,$A100)&gt;0,FLOOR(MAX(SUM(F100:L100)*24-M100,0),0.5),FLOOR(MAX(SUM(F100:K100)*24-M100,0),0.5))</f>
        <v>0</v>
      </c>
      <c r="Q100" s="9">
        <f>IF(COUNTIF(PARAMETRES_REGIMES!$A$3:$A$100,$A100)&gt;0,0,IF(ISNUMBER(L100),FLOOR(MAX(L100*24,0),0.5),0))</f>
        <v>0</v>
      </c>
      <c r="R100" s="8">
        <f t="shared" si="19"/>
        <v>0</v>
      </c>
      <c r="S100" s="8">
        <f t="shared" si="20"/>
        <v>0</v>
      </c>
      <c r="T100" s="8">
        <f t="shared" si="21"/>
        <v>0</v>
      </c>
      <c r="U100" s="8">
        <f t="shared" si="22"/>
        <v>0</v>
      </c>
      <c r="V100" s="10" t="str">
        <f t="shared" si="23"/>
        <v>OK</v>
      </c>
    </row>
    <row r="101" spans="1:22">
      <c r="A101" s="17" t="s">
        <v>268</v>
      </c>
      <c r="B101" s="5" t="s">
        <v>269</v>
      </c>
      <c r="C101" s="5" t="s">
        <v>270</v>
      </c>
      <c r="D101" s="5" t="s">
        <v>31</v>
      </c>
      <c r="E101" s="17" t="s">
        <v>123</v>
      </c>
      <c r="F101" s="6"/>
      <c r="G101" s="7"/>
      <c r="H101" s="7"/>
      <c r="I101" s="7"/>
      <c r="J101" s="7"/>
      <c r="K101" s="7"/>
      <c r="L101" s="7"/>
      <c r="M101" s="8">
        <f>48</f>
        <v>48</v>
      </c>
      <c r="N101" s="8">
        <f t="shared" si="18"/>
        <v>0</v>
      </c>
      <c r="O101" s="8">
        <f>IF(COUNTIF(PARAMETRES_REGIMES!$A$3:$A$100,$A101)&gt;0,MIN(M101,SUM(F101:L101)*24),MIN(M101,SUM(F101:K101)*24))</f>
        <v>0</v>
      </c>
      <c r="P101" s="9">
        <f>IF(COUNTIF(PARAMETRES_REGIMES!$A$3:$A$100,$A101)&gt;0,FLOOR(MAX(SUM(F101:L101)*24-M101,0),0.5),FLOOR(MAX(SUM(F101:K101)*24-M101,0),0.5))</f>
        <v>0</v>
      </c>
      <c r="Q101" s="9">
        <f>IF(COUNTIF(PARAMETRES_REGIMES!$A$3:$A$100,$A101)&gt;0,0,IF(ISNUMBER(L101),FLOOR(MAX(L101*24,0),0.5),0))</f>
        <v>0</v>
      </c>
      <c r="R101" s="8">
        <f t="shared" si="19"/>
        <v>0</v>
      </c>
      <c r="S101" s="8">
        <f t="shared" si="20"/>
        <v>0</v>
      </c>
      <c r="T101" s="8">
        <f t="shared" si="21"/>
        <v>0</v>
      </c>
      <c r="U101" s="8">
        <f t="shared" si="22"/>
        <v>0</v>
      </c>
      <c r="V101" s="10" t="str">
        <f t="shared" si="23"/>
        <v>OK</v>
      </c>
    </row>
    <row r="102" spans="1:22">
      <c r="A102" s="17" t="s">
        <v>271</v>
      </c>
      <c r="B102" s="5" t="s">
        <v>272</v>
      </c>
      <c r="C102" s="5" t="s">
        <v>273</v>
      </c>
      <c r="D102" s="5" t="s">
        <v>31</v>
      </c>
      <c r="E102" s="17" t="s">
        <v>123</v>
      </c>
      <c r="F102" s="6"/>
      <c r="G102" s="7"/>
      <c r="H102" s="7"/>
      <c r="I102" s="7"/>
      <c r="J102" s="7"/>
      <c r="K102" s="7"/>
      <c r="L102" s="7"/>
      <c r="M102" s="8">
        <f>48</f>
        <v>48</v>
      </c>
      <c r="N102" s="8">
        <f t="shared" si="18"/>
        <v>0</v>
      </c>
      <c r="O102" s="8">
        <f>IF(COUNTIF(PARAMETRES_REGIMES!$A$3:$A$100,$A102)&gt;0,MIN(M102,SUM(F102:L102)*24),MIN(M102,SUM(F102:K102)*24))</f>
        <v>0</v>
      </c>
      <c r="P102" s="9">
        <f>IF(COUNTIF(PARAMETRES_REGIMES!$A$3:$A$100,$A102)&gt;0,FLOOR(MAX(SUM(F102:L102)*24-M102,0),0.5),FLOOR(MAX(SUM(F102:K102)*24-M102,0),0.5))</f>
        <v>0</v>
      </c>
      <c r="Q102" s="9">
        <f>IF(COUNTIF(PARAMETRES_REGIMES!$A$3:$A$100,$A102)&gt;0,0,IF(ISNUMBER(L102),FLOOR(MAX(L102*24,0),0.5),0))</f>
        <v>0</v>
      </c>
      <c r="R102" s="8">
        <f t="shared" si="19"/>
        <v>0</v>
      </c>
      <c r="S102" s="8">
        <f t="shared" si="20"/>
        <v>0</v>
      </c>
      <c r="T102" s="8">
        <f t="shared" si="21"/>
        <v>0</v>
      </c>
      <c r="U102" s="8">
        <f t="shared" si="22"/>
        <v>0</v>
      </c>
      <c r="V102" s="10" t="str">
        <f t="shared" si="23"/>
        <v>OK</v>
      </c>
    </row>
    <row r="103" spans="1:22">
      <c r="A103" s="17" t="s">
        <v>274</v>
      </c>
      <c r="B103" s="5" t="s">
        <v>272</v>
      </c>
      <c r="C103" s="5" t="s">
        <v>275</v>
      </c>
      <c r="D103" s="5" t="s">
        <v>31</v>
      </c>
      <c r="E103" s="17" t="s">
        <v>123</v>
      </c>
      <c r="F103" s="6"/>
      <c r="G103" s="7"/>
      <c r="H103" s="7"/>
      <c r="I103" s="7"/>
      <c r="J103" s="7"/>
      <c r="K103" s="7"/>
      <c r="L103" s="7"/>
      <c r="M103" s="8">
        <f>48</f>
        <v>48</v>
      </c>
      <c r="N103" s="8">
        <f t="shared" si="18"/>
        <v>0</v>
      </c>
      <c r="O103" s="8">
        <f>IF(COUNTIF(PARAMETRES_REGIMES!$A$3:$A$100,$A103)&gt;0,MIN(M103,SUM(F103:L103)*24),MIN(M103,SUM(F103:K103)*24))</f>
        <v>0</v>
      </c>
      <c r="P103" s="9">
        <f>IF(COUNTIF(PARAMETRES_REGIMES!$A$3:$A$100,$A103)&gt;0,FLOOR(MAX(SUM(F103:L103)*24-M103,0),0.5),FLOOR(MAX(SUM(F103:K103)*24-M103,0),0.5))</f>
        <v>0</v>
      </c>
      <c r="Q103" s="9">
        <f>IF(COUNTIF(PARAMETRES_REGIMES!$A$3:$A$100,$A103)&gt;0,0,IF(ISNUMBER(L103),FLOOR(MAX(L103*24,0),0.5),0))</f>
        <v>0</v>
      </c>
      <c r="R103" s="8">
        <f t="shared" si="19"/>
        <v>0</v>
      </c>
      <c r="S103" s="8">
        <f t="shared" si="20"/>
        <v>0</v>
      </c>
      <c r="T103" s="8">
        <f t="shared" si="21"/>
        <v>0</v>
      </c>
      <c r="U103" s="8">
        <f t="shared" si="22"/>
        <v>0</v>
      </c>
      <c r="V103" s="10" t="str">
        <f t="shared" si="23"/>
        <v>OK</v>
      </c>
    </row>
    <row r="104" spans="1:22">
      <c r="A104" s="17" t="s">
        <v>276</v>
      </c>
      <c r="B104" s="5" t="s">
        <v>277</v>
      </c>
      <c r="C104" s="5" t="s">
        <v>278</v>
      </c>
      <c r="D104" s="5" t="s">
        <v>31</v>
      </c>
      <c r="E104" s="17" t="s">
        <v>123</v>
      </c>
      <c r="F104" s="6"/>
      <c r="G104" s="7"/>
      <c r="H104" s="7"/>
      <c r="I104" s="7"/>
      <c r="J104" s="7"/>
      <c r="K104" s="7"/>
      <c r="L104" s="7"/>
      <c r="M104" s="8">
        <f>48</f>
        <v>48</v>
      </c>
      <c r="N104" s="8">
        <f t="shared" si="18"/>
        <v>0</v>
      </c>
      <c r="O104" s="8">
        <f>IF(COUNTIF(PARAMETRES_REGIMES!$A$3:$A$100,$A104)&gt;0,MIN(M104,SUM(F104:L104)*24),MIN(M104,SUM(F104:K104)*24))</f>
        <v>0</v>
      </c>
      <c r="P104" s="9">
        <f>IF(COUNTIF(PARAMETRES_REGIMES!$A$3:$A$100,$A104)&gt;0,FLOOR(MAX(SUM(F104:L104)*24-M104,0),0.5),FLOOR(MAX(SUM(F104:K104)*24-M104,0),0.5))</f>
        <v>0</v>
      </c>
      <c r="Q104" s="9">
        <f>IF(COUNTIF(PARAMETRES_REGIMES!$A$3:$A$100,$A104)&gt;0,0,IF(ISNUMBER(L104),FLOOR(MAX(L104*24,0),0.5),0))</f>
        <v>0</v>
      </c>
      <c r="R104" s="8">
        <f t="shared" si="19"/>
        <v>0</v>
      </c>
      <c r="S104" s="8">
        <f t="shared" si="20"/>
        <v>0</v>
      </c>
      <c r="T104" s="8">
        <f t="shared" si="21"/>
        <v>0</v>
      </c>
      <c r="U104" s="8">
        <f t="shared" si="22"/>
        <v>0</v>
      </c>
      <c r="V104" s="10" t="str">
        <f t="shared" si="23"/>
        <v>OK</v>
      </c>
    </row>
    <row r="105" spans="1:22">
      <c r="A105" s="17">
        <v>215</v>
      </c>
      <c r="B105" s="5" t="s">
        <v>279</v>
      </c>
      <c r="C105" s="5" t="s">
        <v>280</v>
      </c>
      <c r="D105" s="5" t="s">
        <v>31</v>
      </c>
      <c r="E105" s="17" t="s">
        <v>123</v>
      </c>
      <c r="F105" s="6"/>
      <c r="G105" s="7"/>
      <c r="H105" s="7"/>
      <c r="I105" s="7"/>
      <c r="J105" s="7"/>
      <c r="K105" s="7"/>
      <c r="L105" s="7"/>
      <c r="M105" s="8">
        <f>48</f>
        <v>48</v>
      </c>
      <c r="N105" s="8">
        <f t="shared" si="18"/>
        <v>0</v>
      </c>
      <c r="O105" s="8">
        <f>IF(COUNTIF(PARAMETRES_REGIMES!$A$3:$A$100,$A105)&gt;0,MIN(M105,SUM(F105:L105)*24),MIN(M105,SUM(F105:K105)*24))</f>
        <v>0</v>
      </c>
      <c r="P105" s="9">
        <f>IF(COUNTIF(PARAMETRES_REGIMES!$A$3:$A$100,$A105)&gt;0,FLOOR(MAX(SUM(F105:L105)*24-M105,0),0.5),FLOOR(MAX(SUM(F105:K105)*24-M105,0),0.5))</f>
        <v>0</v>
      </c>
      <c r="Q105" s="9">
        <f>IF(COUNTIF(PARAMETRES_REGIMES!$A$3:$A$100,$A105)&gt;0,0,IF(ISNUMBER(L105),FLOOR(MAX(L105*24,0),0.5),0))</f>
        <v>0</v>
      </c>
      <c r="R105" s="8">
        <f t="shared" si="19"/>
        <v>0</v>
      </c>
      <c r="S105" s="8">
        <f t="shared" si="20"/>
        <v>0</v>
      </c>
      <c r="T105" s="8">
        <f t="shared" si="21"/>
        <v>0</v>
      </c>
      <c r="U105" s="8">
        <f t="shared" si="22"/>
        <v>0</v>
      </c>
      <c r="V105" s="10" t="str">
        <f t="shared" si="23"/>
        <v>OK</v>
      </c>
    </row>
    <row r="106" spans="1:22">
      <c r="A106" s="17">
        <v>204</v>
      </c>
      <c r="B106" s="5" t="s">
        <v>281</v>
      </c>
      <c r="C106" s="5" t="s">
        <v>282</v>
      </c>
      <c r="D106" s="5" t="s">
        <v>31</v>
      </c>
      <c r="E106" s="17" t="s">
        <v>123</v>
      </c>
      <c r="F106" s="6"/>
      <c r="G106" s="7"/>
      <c r="H106" s="7"/>
      <c r="I106" s="7"/>
      <c r="J106" s="7"/>
      <c r="K106" s="7"/>
      <c r="L106" s="7"/>
      <c r="M106" s="8">
        <f>48</f>
        <v>48</v>
      </c>
      <c r="N106" s="8">
        <f t="shared" si="18"/>
        <v>0</v>
      </c>
      <c r="O106" s="8">
        <f>IF(COUNTIF(PARAMETRES_REGIMES!$A$3:$A$100,$A106)&gt;0,MIN(M106,SUM(F106:L106)*24),MIN(M106,SUM(F106:K106)*24))</f>
        <v>0</v>
      </c>
      <c r="P106" s="9">
        <f>IF(COUNTIF(PARAMETRES_REGIMES!$A$3:$A$100,$A106)&gt;0,FLOOR(MAX(SUM(F106:L106)*24-M106,0),0.5),FLOOR(MAX(SUM(F106:K106)*24-M106,0),0.5))</f>
        <v>0</v>
      </c>
      <c r="Q106" s="9">
        <f>IF(COUNTIF(PARAMETRES_REGIMES!$A$3:$A$100,$A106)&gt;0,0,IF(ISNUMBER(L106),FLOOR(MAX(L106*24,0),0.5),0))</f>
        <v>0</v>
      </c>
      <c r="R106" s="8">
        <f t="shared" si="19"/>
        <v>0</v>
      </c>
      <c r="S106" s="8">
        <f t="shared" si="20"/>
        <v>0</v>
      </c>
      <c r="T106" s="8">
        <f t="shared" si="21"/>
        <v>0</v>
      </c>
      <c r="U106" s="8">
        <f t="shared" si="22"/>
        <v>0</v>
      </c>
      <c r="V106" s="10" t="str">
        <f t="shared" si="23"/>
        <v>OK</v>
      </c>
    </row>
    <row r="107" spans="1:22">
      <c r="A107" s="17" t="s">
        <v>283</v>
      </c>
      <c r="B107" s="5" t="s">
        <v>284</v>
      </c>
      <c r="C107" s="5" t="s">
        <v>285</v>
      </c>
      <c r="D107" s="5" t="s">
        <v>31</v>
      </c>
      <c r="E107" s="17" t="s">
        <v>123</v>
      </c>
      <c r="F107" s="6"/>
      <c r="G107" s="7"/>
      <c r="H107" s="7"/>
      <c r="I107" s="7"/>
      <c r="J107" s="7"/>
      <c r="K107" s="7"/>
      <c r="L107" s="7"/>
      <c r="M107" s="8">
        <f>48</f>
        <v>48</v>
      </c>
      <c r="N107" s="8">
        <f t="shared" si="18"/>
        <v>0</v>
      </c>
      <c r="O107" s="8">
        <f>IF(COUNTIF(PARAMETRES_REGIMES!$A$3:$A$100,$A107)&gt;0,MIN(M107,SUM(F107:L107)*24),MIN(M107,SUM(F107:K107)*24))</f>
        <v>0</v>
      </c>
      <c r="P107" s="9">
        <f>IF(COUNTIF(PARAMETRES_REGIMES!$A$3:$A$100,$A107)&gt;0,FLOOR(MAX(SUM(F107:L107)*24-M107,0),0.5),FLOOR(MAX(SUM(F107:K107)*24-M107,0),0.5))</f>
        <v>0</v>
      </c>
      <c r="Q107" s="9">
        <f>IF(COUNTIF(PARAMETRES_REGIMES!$A$3:$A$100,$A107)&gt;0,0,IF(ISNUMBER(L107),FLOOR(MAX(L107*24,0),0.5),0))</f>
        <v>0</v>
      </c>
      <c r="R107" s="8">
        <f t="shared" si="19"/>
        <v>0</v>
      </c>
      <c r="S107" s="8">
        <f t="shared" si="20"/>
        <v>0</v>
      </c>
      <c r="T107" s="8">
        <f t="shared" si="21"/>
        <v>0</v>
      </c>
      <c r="U107" s="8">
        <f t="shared" si="22"/>
        <v>0</v>
      </c>
      <c r="V107" s="10" t="str">
        <f t="shared" si="23"/>
        <v>OK</v>
      </c>
    </row>
    <row r="108" spans="1:22">
      <c r="A108" s="17" t="s">
        <v>286</v>
      </c>
      <c r="B108" s="5" t="s">
        <v>63</v>
      </c>
      <c r="C108" s="5" t="s">
        <v>287</v>
      </c>
      <c r="D108" s="5" t="s">
        <v>49</v>
      </c>
      <c r="E108" s="17" t="s">
        <v>123</v>
      </c>
      <c r="F108" s="6"/>
      <c r="G108" s="7"/>
      <c r="H108" s="7"/>
      <c r="I108" s="7"/>
      <c r="J108" s="7"/>
      <c r="K108" s="7"/>
      <c r="L108" s="7"/>
      <c r="M108" s="8">
        <f>48</f>
        <v>48</v>
      </c>
      <c r="N108" s="8">
        <f t="shared" si="18"/>
        <v>0</v>
      </c>
      <c r="O108" s="8">
        <f>IF(COUNTIF(PARAMETRES_REGIMES!$A$3:$A$100,$A108)&gt;0,MIN(M108,SUM(F108:L108)*24),MIN(M108,SUM(F108:K108)*24))</f>
        <v>0</v>
      </c>
      <c r="P108" s="9">
        <f>IF(COUNTIF(PARAMETRES_REGIMES!$A$3:$A$100,$A108)&gt;0,FLOOR(MAX(SUM(F108:L108)*24-M108,0),0.5),FLOOR(MAX(SUM(F108:K108)*24-M108,0),0.5))</f>
        <v>0</v>
      </c>
      <c r="Q108" s="9">
        <f>IF(COUNTIF(PARAMETRES_REGIMES!$A$3:$A$100,$A108)&gt;0,0,IF(ISNUMBER(L108),FLOOR(MAX(L108*24,0),0.5),0))</f>
        <v>0</v>
      </c>
      <c r="R108" s="8">
        <f t="shared" si="19"/>
        <v>0</v>
      </c>
      <c r="S108" s="8">
        <f t="shared" si="20"/>
        <v>0</v>
      </c>
      <c r="T108" s="8">
        <f t="shared" si="21"/>
        <v>0</v>
      </c>
      <c r="U108" s="8">
        <f t="shared" si="22"/>
        <v>0</v>
      </c>
      <c r="V108" s="10" t="str">
        <f t="shared" si="23"/>
        <v>OK</v>
      </c>
    </row>
    <row r="109" spans="1:22">
      <c r="A109" s="17" t="s">
        <v>288</v>
      </c>
      <c r="B109" s="5" t="s">
        <v>289</v>
      </c>
      <c r="C109" s="5" t="s">
        <v>290</v>
      </c>
      <c r="D109" s="5" t="s">
        <v>69</v>
      </c>
      <c r="E109" s="17" t="s">
        <v>123</v>
      </c>
      <c r="F109" s="6"/>
      <c r="G109" s="7"/>
      <c r="H109" s="7"/>
      <c r="I109" s="7"/>
      <c r="J109" s="7"/>
      <c r="K109" s="7"/>
      <c r="L109" s="7"/>
      <c r="M109" s="8">
        <f>48</f>
        <v>48</v>
      </c>
      <c r="N109" s="8">
        <f t="shared" si="18"/>
        <v>0</v>
      </c>
      <c r="O109" s="8">
        <f>IF(COUNTIF(PARAMETRES_REGIMES!$A$3:$A$100,$A109)&gt;0,MIN(M109,SUM(F109:L109)*24),MIN(M109,SUM(F109:K109)*24))</f>
        <v>0</v>
      </c>
      <c r="P109" s="9">
        <f>IF(COUNTIF(PARAMETRES_REGIMES!$A$3:$A$100,$A109)&gt;0,FLOOR(MAX(SUM(F109:L109)*24-M109,0),0.5),FLOOR(MAX(SUM(F109:K109)*24-M109,0),0.5))</f>
        <v>0</v>
      </c>
      <c r="Q109" s="9">
        <f>IF(COUNTIF(PARAMETRES_REGIMES!$A$3:$A$100,$A109)&gt;0,0,IF(ISNUMBER(L109),FLOOR(MAX(L109*24,0),0.5),0))</f>
        <v>0</v>
      </c>
      <c r="R109" s="8">
        <f t="shared" si="19"/>
        <v>0</v>
      </c>
      <c r="S109" s="8">
        <f t="shared" si="20"/>
        <v>0</v>
      </c>
      <c r="T109" s="8">
        <f t="shared" si="21"/>
        <v>0</v>
      </c>
      <c r="U109" s="8">
        <f t="shared" si="22"/>
        <v>0</v>
      </c>
      <c r="V109" s="10" t="str">
        <f t="shared" si="23"/>
        <v>OK</v>
      </c>
    </row>
    <row r="110" spans="1:22">
      <c r="A110" s="17" t="s">
        <v>291</v>
      </c>
      <c r="B110" s="5" t="s">
        <v>292</v>
      </c>
      <c r="C110" s="5" t="s">
        <v>77</v>
      </c>
      <c r="D110" s="5" t="s">
        <v>69</v>
      </c>
      <c r="E110" s="17" t="s">
        <v>123</v>
      </c>
      <c r="F110" s="6"/>
      <c r="G110" s="7"/>
      <c r="H110" s="7"/>
      <c r="I110" s="7"/>
      <c r="J110" s="7"/>
      <c r="K110" s="7"/>
      <c r="L110" s="7"/>
      <c r="M110" s="8">
        <f>48</f>
        <v>48</v>
      </c>
      <c r="N110" s="8">
        <f t="shared" si="18"/>
        <v>0</v>
      </c>
      <c r="O110" s="8">
        <f>IF(COUNTIF(PARAMETRES_REGIMES!$A$3:$A$100,$A110)&gt;0,MIN(M110,SUM(F110:L110)*24),MIN(M110,SUM(F110:K110)*24))</f>
        <v>0</v>
      </c>
      <c r="P110" s="9">
        <f>IF(COUNTIF(PARAMETRES_REGIMES!$A$3:$A$100,$A110)&gt;0,FLOOR(MAX(SUM(F110:L110)*24-M110,0),0.5),FLOOR(MAX(SUM(F110:K110)*24-M110,0),0.5))</f>
        <v>0</v>
      </c>
      <c r="Q110" s="9">
        <f>IF(COUNTIF(PARAMETRES_REGIMES!$A$3:$A$100,$A110)&gt;0,0,IF(ISNUMBER(L110),FLOOR(MAX(L110*24,0),0.5),0))</f>
        <v>0</v>
      </c>
      <c r="R110" s="8">
        <f t="shared" si="19"/>
        <v>0</v>
      </c>
      <c r="S110" s="8">
        <f t="shared" si="20"/>
        <v>0</v>
      </c>
      <c r="T110" s="8">
        <f t="shared" si="21"/>
        <v>0</v>
      </c>
      <c r="U110" s="8">
        <f t="shared" si="22"/>
        <v>0</v>
      </c>
      <c r="V110" s="10" t="str">
        <f t="shared" si="23"/>
        <v>OK</v>
      </c>
    </row>
    <row r="111" spans="1:22">
      <c r="A111" s="17" t="s">
        <v>293</v>
      </c>
      <c r="B111" s="5" t="s">
        <v>294</v>
      </c>
      <c r="C111" s="5" t="s">
        <v>295</v>
      </c>
      <c r="D111" s="5" t="s">
        <v>69</v>
      </c>
      <c r="E111" s="17" t="s">
        <v>123</v>
      </c>
      <c r="F111" s="6"/>
      <c r="G111" s="7"/>
      <c r="H111" s="7"/>
      <c r="I111" s="7"/>
      <c r="J111" s="7"/>
      <c r="K111" s="7"/>
      <c r="L111" s="7"/>
      <c r="M111" s="8">
        <f>48</f>
        <v>48</v>
      </c>
      <c r="N111" s="8">
        <f t="shared" si="18"/>
        <v>0</v>
      </c>
      <c r="O111" s="8">
        <f>IF(COUNTIF(PARAMETRES_REGIMES!$A$3:$A$100,$A111)&gt;0,MIN(M111,SUM(F111:L111)*24),MIN(M111,SUM(F111:K111)*24))</f>
        <v>0</v>
      </c>
      <c r="P111" s="9">
        <f>IF(COUNTIF(PARAMETRES_REGIMES!$A$3:$A$100,$A111)&gt;0,FLOOR(MAX(SUM(F111:L111)*24-M111,0),0.5),FLOOR(MAX(SUM(F111:K111)*24-M111,0),0.5))</f>
        <v>0</v>
      </c>
      <c r="Q111" s="9">
        <f>IF(COUNTIF(PARAMETRES_REGIMES!$A$3:$A$100,$A111)&gt;0,0,IF(ISNUMBER(L111),FLOOR(MAX(L111*24,0),0.5),0))</f>
        <v>0</v>
      </c>
      <c r="R111" s="8">
        <f t="shared" si="19"/>
        <v>0</v>
      </c>
      <c r="S111" s="8">
        <f t="shared" si="20"/>
        <v>0</v>
      </c>
      <c r="T111" s="8">
        <f t="shared" si="21"/>
        <v>0</v>
      </c>
      <c r="U111" s="8">
        <f t="shared" si="22"/>
        <v>0</v>
      </c>
      <c r="V111" s="10" t="str">
        <f t="shared" si="23"/>
        <v>OK</v>
      </c>
    </row>
    <row r="112" spans="1:22">
      <c r="A112" s="17" t="s">
        <v>296</v>
      </c>
      <c r="B112" s="5" t="s">
        <v>217</v>
      </c>
      <c r="C112" s="5" t="s">
        <v>297</v>
      </c>
      <c r="D112" s="5" t="s">
        <v>69</v>
      </c>
      <c r="E112" s="17" t="s">
        <v>123</v>
      </c>
      <c r="F112" s="6"/>
      <c r="G112" s="7"/>
      <c r="H112" s="7"/>
      <c r="I112" s="7"/>
      <c r="J112" s="7"/>
      <c r="K112" s="7"/>
      <c r="L112" s="7"/>
      <c r="M112" s="8">
        <f>48</f>
        <v>48</v>
      </c>
      <c r="N112" s="8">
        <f t="shared" si="18"/>
        <v>0</v>
      </c>
      <c r="O112" s="8">
        <f>IF(COUNTIF(PARAMETRES_REGIMES!$A$3:$A$100,$A112)&gt;0,MIN(M112,SUM(F112:L112)*24),MIN(M112,SUM(F112:K112)*24))</f>
        <v>0</v>
      </c>
      <c r="P112" s="9">
        <f>IF(COUNTIF(PARAMETRES_REGIMES!$A$3:$A$100,$A112)&gt;0,FLOOR(MAX(SUM(F112:L112)*24-M112,0),0.5),FLOOR(MAX(SUM(F112:K112)*24-M112,0),0.5))</f>
        <v>0</v>
      </c>
      <c r="Q112" s="9">
        <f>IF(COUNTIF(PARAMETRES_REGIMES!$A$3:$A$100,$A112)&gt;0,0,IF(ISNUMBER(L112),FLOOR(MAX(L112*24,0),0.5),0))</f>
        <v>0</v>
      </c>
      <c r="R112" s="8">
        <f t="shared" si="19"/>
        <v>0</v>
      </c>
      <c r="S112" s="8">
        <f t="shared" si="20"/>
        <v>0</v>
      </c>
      <c r="T112" s="8">
        <f t="shared" si="21"/>
        <v>0</v>
      </c>
      <c r="U112" s="8">
        <f t="shared" si="22"/>
        <v>0</v>
      </c>
      <c r="V112" s="10" t="str">
        <f t="shared" si="23"/>
        <v>OK</v>
      </c>
    </row>
    <row r="113" spans="1:22">
      <c r="A113" s="17">
        <v>89</v>
      </c>
      <c r="B113" s="5" t="s">
        <v>298</v>
      </c>
      <c r="C113" s="5" t="s">
        <v>299</v>
      </c>
      <c r="D113" s="5" t="s">
        <v>69</v>
      </c>
      <c r="E113" s="17" t="s">
        <v>123</v>
      </c>
      <c r="F113" s="6"/>
      <c r="G113" s="7"/>
      <c r="H113" s="7"/>
      <c r="I113" s="7"/>
      <c r="J113" s="7"/>
      <c r="K113" s="7"/>
      <c r="L113" s="7"/>
      <c r="M113" s="8">
        <f>48</f>
        <v>48</v>
      </c>
      <c r="N113" s="8">
        <f t="shared" si="18"/>
        <v>0</v>
      </c>
      <c r="O113" s="8">
        <f>MIN(M113,SUM(F113:K113)*24)</f>
        <v>0</v>
      </c>
      <c r="P113" s="9">
        <f>FLOOR(MAX(SUM(F113:K113)*24-M113,0),0.5)</f>
        <v>0</v>
      </c>
      <c r="Q113" s="9">
        <f>IF(ISNUMBER(L113),FLOOR(MAX(L113*24,0),0.5),0)</f>
        <v>0</v>
      </c>
      <c r="R113" s="8">
        <f t="shared" si="19"/>
        <v>0</v>
      </c>
      <c r="S113" s="8">
        <f t="shared" si="20"/>
        <v>0</v>
      </c>
      <c r="T113" s="8">
        <f t="shared" si="21"/>
        <v>0</v>
      </c>
      <c r="U113" s="8">
        <f t="shared" si="22"/>
        <v>0</v>
      </c>
      <c r="V113" s="10" t="str">
        <f t="shared" si="23"/>
        <v>OK</v>
      </c>
    </row>
  </sheetData>
  <mergeCells count="1">
    <mergeCell ref="A1:V1"/>
  </mergeCells>
  <conditionalFormatting sqref="F3:I113">
    <cfRule type="expression" dxfId="126" priority="22">
      <formula>F3="Repos"</formula>
    </cfRule>
    <cfRule type="expression" dxfId="125" priority="23">
      <formula>F3="ABS"</formula>
    </cfRule>
    <cfRule type="expression" dxfId="124" priority="24">
      <formula>F3="Congé"</formula>
    </cfRule>
    <cfRule type="expression" dxfId="123" priority="25">
      <formula>F3="Férié"</formula>
    </cfRule>
    <cfRule type="expression" dxfId="122" priority="26">
      <formula>F3="STC"</formula>
    </cfRule>
  </conditionalFormatting>
  <conditionalFormatting sqref="F3:L113">
    <cfRule type="expression" dxfId="121" priority="27">
      <formula>F3="ABS"</formula>
    </cfRule>
    <cfRule type="expression" dxfId="120" priority="28">
      <formula>F3="STC"</formula>
    </cfRule>
    <cfRule type="expression" dxfId="119" priority="29">
      <formula>F3="Congé"</formula>
    </cfRule>
    <cfRule type="expression" dxfId="118" priority="30">
      <formula>F3="Férié"</formula>
    </cfRule>
    <cfRule type="expression" dxfId="117" priority="31">
      <formula>F3="Repos"</formula>
    </cfRule>
    <cfRule type="expression" dxfId="116" priority="32">
      <formula>F3="Congé"</formula>
    </cfRule>
    <cfRule type="expression" dxfId="115" priority="33">
      <formula>F3="Congé sans solde"</formula>
    </cfRule>
    <cfRule type="expression" dxfId="114" priority="34">
      <formula>F3="Congé maladie"</formula>
    </cfRule>
    <cfRule type="expression" dxfId="113" priority="35">
      <formula>OR(F3="CSS",F3="CM")</formula>
    </cfRule>
  </conditionalFormatting>
  <conditionalFormatting sqref="J3:J4">
    <cfRule type="expression" dxfId="112" priority="12">
      <formula>J3="Repos"</formula>
    </cfRule>
    <cfRule type="expression" dxfId="111" priority="13">
      <formula>J3="ABS"</formula>
    </cfRule>
    <cfRule type="expression" dxfId="110" priority="14">
      <formula>J3="Congé"</formula>
    </cfRule>
    <cfRule type="expression" dxfId="109" priority="15">
      <formula>J3="Férié"</formula>
    </cfRule>
    <cfRule type="expression" dxfId="108" priority="16">
      <formula>J3="STC"</formula>
    </cfRule>
  </conditionalFormatting>
  <conditionalFormatting sqref="J6:J113">
    <cfRule type="expression" dxfId="107" priority="17">
      <formula>J6="Repos"</formula>
    </cfRule>
    <cfRule type="expression" dxfId="106" priority="18">
      <formula>J6="ABS"</formula>
    </cfRule>
    <cfRule type="expression" dxfId="105" priority="19">
      <formula>J6="Congé"</formula>
    </cfRule>
    <cfRule type="expression" dxfId="104" priority="20">
      <formula>J6="Férié"</formula>
    </cfRule>
    <cfRule type="expression" dxfId="103" priority="21">
      <formula>J6="STC"</formula>
    </cfRule>
  </conditionalFormatting>
  <conditionalFormatting sqref="K5">
    <cfRule type="expression" dxfId="102" priority="7">
      <formula>K5="Repos"</formula>
    </cfRule>
    <cfRule type="expression" dxfId="101" priority="8">
      <formula>K5="ABS"</formula>
    </cfRule>
    <cfRule type="expression" dxfId="100" priority="9">
      <formula>K5="Congé"</formula>
    </cfRule>
    <cfRule type="expression" dxfId="99" priority="10">
      <formula>K5="Férié"</formula>
    </cfRule>
    <cfRule type="expression" dxfId="98" priority="11">
      <formula>K5="STC"</formula>
    </cfRule>
  </conditionalFormatting>
  <conditionalFormatting sqref="O3:P113">
    <cfRule type="cellIs" dxfId="97" priority="1" operator="greaterThanOrEqual">
      <formula>1</formula>
    </cfRule>
  </conditionalFormatting>
  <conditionalFormatting sqref="P3:R113 M3:N113">
    <cfRule type="cellIs" dxfId="96" priority="5" operator="greaterThan">
      <formula>0</formula>
    </cfRule>
  </conditionalFormatting>
  <conditionalFormatting sqref="Q3:Q113">
    <cfRule type="cellIs" dxfId="95" priority="2" operator="greaterThanOrEqual">
      <formula>1</formula>
    </cfRule>
  </conditionalFormatting>
  <conditionalFormatting sqref="S3:S113">
    <cfRule type="expression" dxfId="94" priority="3">
      <formula>S3="STC"</formula>
    </cfRule>
    <cfRule type="expression" dxfId="93" priority="4">
      <formula>OR(S3="Vérifier",S3="À vérifier")</formula>
    </cfRule>
  </conditionalFormatting>
  <conditionalFormatting sqref="S3:T113">
    <cfRule type="cellIs" dxfId="92" priority="6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13"/>
  <sheetViews>
    <sheetView workbookViewId="0"/>
  </sheetViews>
  <sheetFormatPr baseColWidth="10" defaultColWidth="9" defaultRowHeight="14.25"/>
  <cols>
    <col min="1" max="1" width="9" style="16" customWidth="1"/>
    <col min="2" max="2" width="18" customWidth="1"/>
    <col min="3" max="3" width="20" customWidth="1"/>
    <col min="4" max="4" width="17.5" customWidth="1"/>
    <col min="5" max="5" width="12.25" customWidth="1"/>
    <col min="6" max="14" width="6" customWidth="1"/>
    <col min="15" max="15" width="7" customWidth="1"/>
    <col min="16" max="16" width="6.75" customWidth="1"/>
    <col min="17" max="17" width="7.25" customWidth="1"/>
    <col min="18" max="18" width="6.375" customWidth="1"/>
    <col min="19" max="19" width="7.125" customWidth="1"/>
    <col min="20" max="21" width="6.375" customWidth="1"/>
    <col min="22" max="22" width="11.875" customWidth="1"/>
  </cols>
  <sheetData>
    <row r="1" spans="1:24" ht="18">
      <c r="A1" s="32" t="s">
        <v>322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"/>
      <c r="X1" s="3"/>
    </row>
    <row r="2" spans="1:24" ht="33.950000000000003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323</v>
      </c>
      <c r="G2" s="4" t="s">
        <v>324</v>
      </c>
      <c r="H2" s="4" t="s">
        <v>325</v>
      </c>
      <c r="I2" s="4" t="s">
        <v>326</v>
      </c>
      <c r="J2" s="4" t="s">
        <v>327</v>
      </c>
      <c r="K2" s="4" t="s">
        <v>328</v>
      </c>
      <c r="L2" s="4" t="s">
        <v>329</v>
      </c>
      <c r="M2" s="4" t="s">
        <v>7</v>
      </c>
      <c r="N2" s="4" t="s">
        <v>8</v>
      </c>
      <c r="O2" s="4" t="s">
        <v>9</v>
      </c>
      <c r="P2" s="4" t="s">
        <v>10</v>
      </c>
      <c r="Q2" s="4" t="s">
        <v>11</v>
      </c>
      <c r="R2" s="4" t="s">
        <v>12</v>
      </c>
      <c r="S2" s="20" t="s">
        <v>13</v>
      </c>
      <c r="T2" s="4" t="s">
        <v>14</v>
      </c>
      <c r="U2" s="4" t="s">
        <v>15</v>
      </c>
      <c r="V2" s="4" t="s">
        <v>16</v>
      </c>
    </row>
    <row r="3" spans="1:24">
      <c r="A3" s="17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6"/>
      <c r="G3" s="7"/>
      <c r="H3" s="7"/>
      <c r="I3" s="7"/>
      <c r="J3" s="7"/>
      <c r="K3" s="7"/>
      <c r="L3" s="7"/>
      <c r="M3" s="8">
        <f>48</f>
        <v>48</v>
      </c>
      <c r="N3" s="8">
        <f t="shared" ref="N3:N34" si="0">SUM(F3:L3)*24</f>
        <v>0</v>
      </c>
      <c r="O3" s="8">
        <f>IF(COUNTIF(PARAMETRES_REGIMES!$A$3:$A$100,$A3)&gt;0,MIN(M3,SUM(F3:L3)*24),MIN(M3,SUM(F3:K3)*24))</f>
        <v>0</v>
      </c>
      <c r="P3" s="9">
        <f>IF(COUNTIF(PARAMETRES_REGIMES!$A$3:$A$100,$A3)&gt;0,FLOOR(MAX(SUM(F3:L3)*24-M3,0),0.5),FLOOR(MAX(SUM(F3:K3)*24-M3,0),0.5))</f>
        <v>0</v>
      </c>
      <c r="Q3" s="9">
        <f>IF(COUNTIF(PARAMETRES_REGIMES!$A$3:$A$100,$A3)&gt;0,0,IF(ISNUMBER(L3),FLOOR(MAX(L3*24,0),0.5),0))</f>
        <v>0</v>
      </c>
      <c r="R3" s="8">
        <f t="shared" ref="R3:R34" si="1">COUNTIF(F3:L3,"ABS")</f>
        <v>0</v>
      </c>
      <c r="S3" s="8">
        <f t="shared" ref="S3:S34" si="2">COUNTIF(F3:L3,"Congé")</f>
        <v>0</v>
      </c>
      <c r="T3" s="8">
        <f t="shared" ref="T3:T34" si="3">COUNTIF(F3:L3,"Férié")</f>
        <v>0</v>
      </c>
      <c r="U3" s="8">
        <f t="shared" ref="U3:U34" si="4">O3+P3+Q3+(T3*8.5)</f>
        <v>0</v>
      </c>
      <c r="V3" s="10" t="str">
        <f t="shared" ref="V3:V34" si="5">IF(COUNTIF(F3:L3,"STC")&gt;0,"STC",IF(COUNTIF(F3:L3,"*!*")&gt;0,"À vérifier","OK"))</f>
        <v>OK</v>
      </c>
    </row>
    <row r="4" spans="1:24">
      <c r="A4" s="17" t="s">
        <v>23</v>
      </c>
      <c r="B4" s="5" t="s">
        <v>24</v>
      </c>
      <c r="C4" s="5" t="s">
        <v>25</v>
      </c>
      <c r="D4" s="5" t="s">
        <v>20</v>
      </c>
      <c r="E4" s="5" t="s">
        <v>21</v>
      </c>
      <c r="F4" s="6"/>
      <c r="G4" s="7"/>
      <c r="H4" s="7"/>
      <c r="I4" s="7"/>
      <c r="J4" s="7"/>
      <c r="K4" s="7"/>
      <c r="L4" s="7"/>
      <c r="M4" s="8">
        <f>48</f>
        <v>48</v>
      </c>
      <c r="N4" s="8">
        <f t="shared" si="0"/>
        <v>0</v>
      </c>
      <c r="O4" s="8">
        <f>IF(COUNTIF(PARAMETRES_REGIMES!$A$3:$A$100,$A4)&gt;0,MIN(M4,SUM(F4:L4)*24),MIN(M4,SUM(F4:K4)*24))</f>
        <v>0</v>
      </c>
      <c r="P4" s="9">
        <f>IF(COUNTIF(PARAMETRES_REGIMES!$A$3:$A$100,$A4)&gt;0,FLOOR(MAX(SUM(F4:L4)*24-M4,0),0.5),FLOOR(MAX(SUM(F4:K4)*24-M4,0),0.5))</f>
        <v>0</v>
      </c>
      <c r="Q4" s="9">
        <f>IF(COUNTIF(PARAMETRES_REGIMES!$A$3:$A$100,$A4)&gt;0,0,IF(ISNUMBER(L4),FLOOR(MAX(L4*24,0),0.5),0))</f>
        <v>0</v>
      </c>
      <c r="R4" s="8">
        <f t="shared" si="1"/>
        <v>0</v>
      </c>
      <c r="S4" s="8">
        <f t="shared" si="2"/>
        <v>0</v>
      </c>
      <c r="T4" s="8">
        <f t="shared" si="3"/>
        <v>0</v>
      </c>
      <c r="U4" s="8">
        <f t="shared" si="4"/>
        <v>0</v>
      </c>
      <c r="V4" s="10" t="str">
        <f t="shared" si="5"/>
        <v>OK</v>
      </c>
    </row>
    <row r="5" spans="1:24">
      <c r="A5" s="17" t="s">
        <v>26</v>
      </c>
      <c r="B5" s="5" t="s">
        <v>27</v>
      </c>
      <c r="C5" s="5" t="s">
        <v>28</v>
      </c>
      <c r="D5" s="5" t="s">
        <v>20</v>
      </c>
      <c r="E5" s="5" t="s">
        <v>21</v>
      </c>
      <c r="F5" s="6"/>
      <c r="G5" s="7"/>
      <c r="H5" s="7"/>
      <c r="I5" s="7"/>
      <c r="J5" s="7"/>
      <c r="K5" s="7"/>
      <c r="L5" s="7"/>
      <c r="M5" s="8">
        <f>48</f>
        <v>48</v>
      </c>
      <c r="N5" s="8">
        <f t="shared" si="0"/>
        <v>0</v>
      </c>
      <c r="O5" s="8">
        <f>IF(COUNTIF(PARAMETRES_REGIMES!$A$3:$A$100,$A5)&gt;0,MIN(M5,SUM(F5:L5)*24),MIN(M5,SUM(F5:K5)*24))</f>
        <v>0</v>
      </c>
      <c r="P5" s="9">
        <f>IF(COUNTIF(PARAMETRES_REGIMES!$A$3:$A$100,$A5)&gt;0,FLOOR(MAX(SUM(F5:L5)*24-M5,0),0.5),FLOOR(MAX(SUM(F5:K5)*24-M5,0),0.5))</f>
        <v>0</v>
      </c>
      <c r="Q5" s="9">
        <f>IF(COUNTIF(PARAMETRES_REGIMES!$A$3:$A$100,$A5)&gt;0,0,IF(ISNUMBER(L5),FLOOR(MAX(L5*24,0),0.5),0))</f>
        <v>0</v>
      </c>
      <c r="R5" s="8">
        <f t="shared" si="1"/>
        <v>0</v>
      </c>
      <c r="S5" s="8">
        <f t="shared" si="2"/>
        <v>0</v>
      </c>
      <c r="T5" s="8">
        <f t="shared" si="3"/>
        <v>0</v>
      </c>
      <c r="U5" s="8">
        <f t="shared" si="4"/>
        <v>0</v>
      </c>
      <c r="V5" s="10" t="str">
        <f t="shared" si="5"/>
        <v>OK</v>
      </c>
    </row>
    <row r="6" spans="1:24">
      <c r="A6" s="17">
        <v>124</v>
      </c>
      <c r="B6" s="5" t="s">
        <v>29</v>
      </c>
      <c r="C6" s="5" t="s">
        <v>30</v>
      </c>
      <c r="D6" s="5" t="s">
        <v>31</v>
      </c>
      <c r="E6" s="5" t="s">
        <v>21</v>
      </c>
      <c r="F6" s="6"/>
      <c r="G6" s="7"/>
      <c r="H6" s="7"/>
      <c r="I6" s="7"/>
      <c r="J6" s="7"/>
      <c r="K6" s="7"/>
      <c r="L6" s="7"/>
      <c r="M6" s="8">
        <f>48</f>
        <v>48</v>
      </c>
      <c r="N6" s="8">
        <f t="shared" si="0"/>
        <v>0</v>
      </c>
      <c r="O6" s="8">
        <f>IF(COUNTIF(PARAMETRES_REGIMES!$A$3:$A$100,$A6)&gt;0,MIN(M6,SUM(F6:L6)*24),MIN(M6,SUM(F6:K6)*24))</f>
        <v>0</v>
      </c>
      <c r="P6" s="9">
        <f>IF(COUNTIF(PARAMETRES_REGIMES!$A$3:$A$100,$A6)&gt;0,FLOOR(MAX(SUM(F6:L6)*24-M6,0),0.5),FLOOR(MAX(SUM(F6:K6)*24-M6,0),0.5))</f>
        <v>0</v>
      </c>
      <c r="Q6" s="9">
        <f>IF(COUNTIF(PARAMETRES_REGIMES!$A$3:$A$100,$A6)&gt;0,0,IF(ISNUMBER(L6),FLOOR(MAX(L6*24,0),0.5),0))</f>
        <v>0</v>
      </c>
      <c r="R6" s="8">
        <f t="shared" si="1"/>
        <v>0</v>
      </c>
      <c r="S6" s="8">
        <f t="shared" si="2"/>
        <v>0</v>
      </c>
      <c r="T6" s="8">
        <f t="shared" si="3"/>
        <v>0</v>
      </c>
      <c r="U6" s="8">
        <f t="shared" si="4"/>
        <v>0</v>
      </c>
      <c r="V6" s="10" t="str">
        <f t="shared" si="5"/>
        <v>OK</v>
      </c>
    </row>
    <row r="7" spans="1:24">
      <c r="A7" s="17" t="s">
        <v>32</v>
      </c>
      <c r="B7" s="5" t="s">
        <v>33</v>
      </c>
      <c r="C7" s="5" t="s">
        <v>34</v>
      </c>
      <c r="D7" s="5" t="s">
        <v>31</v>
      </c>
      <c r="E7" s="5" t="s">
        <v>21</v>
      </c>
      <c r="F7" s="6"/>
      <c r="G7" s="7"/>
      <c r="H7" s="7"/>
      <c r="I7" s="7"/>
      <c r="J7" s="7"/>
      <c r="K7" s="7"/>
      <c r="L7" s="7"/>
      <c r="M7" s="8">
        <f>48</f>
        <v>48</v>
      </c>
      <c r="N7" s="8">
        <f t="shared" si="0"/>
        <v>0</v>
      </c>
      <c r="O7" s="8">
        <f>IF(COUNTIF(PARAMETRES_REGIMES!$A$3:$A$100,$A7)&gt;0,MIN(M7,SUM(F7:L7)*24),MIN(M7,SUM(F7:K7)*24))</f>
        <v>0</v>
      </c>
      <c r="P7" s="9">
        <f>IF(COUNTIF(PARAMETRES_REGIMES!$A$3:$A$100,$A7)&gt;0,FLOOR(MAX(SUM(F7:L7)*24-M7,0),0.5),FLOOR(MAX(SUM(F7:K7)*24-M7,0),0.5))</f>
        <v>0</v>
      </c>
      <c r="Q7" s="9">
        <f>IF(COUNTIF(PARAMETRES_REGIMES!$A$3:$A$100,$A7)&gt;0,0,IF(ISNUMBER(L7),FLOOR(MAX(L7*24,0),0.5),0))</f>
        <v>0</v>
      </c>
      <c r="R7" s="8">
        <f t="shared" si="1"/>
        <v>0</v>
      </c>
      <c r="S7" s="8">
        <f t="shared" si="2"/>
        <v>0</v>
      </c>
      <c r="T7" s="8">
        <f t="shared" si="3"/>
        <v>0</v>
      </c>
      <c r="U7" s="8">
        <f t="shared" si="4"/>
        <v>0</v>
      </c>
      <c r="V7" s="10" t="str">
        <f t="shared" si="5"/>
        <v>OK</v>
      </c>
    </row>
    <row r="8" spans="1:24">
      <c r="A8" s="17" t="s">
        <v>35</v>
      </c>
      <c r="B8" s="5" t="s">
        <v>36</v>
      </c>
      <c r="C8" s="5" t="s">
        <v>37</v>
      </c>
      <c r="D8" s="5" t="s">
        <v>31</v>
      </c>
      <c r="E8" s="5" t="s">
        <v>21</v>
      </c>
      <c r="F8" s="6"/>
      <c r="G8" s="7"/>
      <c r="H8" s="7"/>
      <c r="I8" s="7"/>
      <c r="J8" s="7"/>
      <c r="K8" s="7"/>
      <c r="L8" s="7"/>
      <c r="M8" s="8">
        <f>48</f>
        <v>48</v>
      </c>
      <c r="N8" s="8">
        <f t="shared" si="0"/>
        <v>0</v>
      </c>
      <c r="O8" s="8">
        <f>IF(COUNTIF(PARAMETRES_REGIMES!$A$3:$A$100,$A8)&gt;0,MIN(M8,SUM(F8:L8)*24),MIN(M8,SUM(F8:K8)*24))</f>
        <v>0</v>
      </c>
      <c r="P8" s="9">
        <f>IF(COUNTIF(PARAMETRES_REGIMES!$A$3:$A$100,$A8)&gt;0,FLOOR(MAX(SUM(F8:L8)*24-M8,0),0.5),FLOOR(MAX(SUM(F8:K8)*24-M8,0),0.5))</f>
        <v>0</v>
      </c>
      <c r="Q8" s="9">
        <f>IF(COUNTIF(PARAMETRES_REGIMES!$A$3:$A$100,$A8)&gt;0,0,IF(ISNUMBER(L8),FLOOR(MAX(L8*24,0),0.5),0))</f>
        <v>0</v>
      </c>
      <c r="R8" s="8">
        <f t="shared" si="1"/>
        <v>0</v>
      </c>
      <c r="S8" s="8">
        <f t="shared" si="2"/>
        <v>0</v>
      </c>
      <c r="T8" s="8">
        <f t="shared" si="3"/>
        <v>0</v>
      </c>
      <c r="U8" s="8">
        <f t="shared" si="4"/>
        <v>0</v>
      </c>
      <c r="V8" s="10" t="str">
        <f t="shared" si="5"/>
        <v>OK</v>
      </c>
    </row>
    <row r="9" spans="1:24">
      <c r="A9" s="17" t="s">
        <v>38</v>
      </c>
      <c r="B9" s="5" t="s">
        <v>39</v>
      </c>
      <c r="C9" s="5" t="s">
        <v>40</v>
      </c>
      <c r="D9" s="5" t="s">
        <v>31</v>
      </c>
      <c r="E9" s="5" t="s">
        <v>21</v>
      </c>
      <c r="F9" s="6"/>
      <c r="G9" s="7"/>
      <c r="H9" s="7"/>
      <c r="I9" s="7"/>
      <c r="J9" s="7"/>
      <c r="K9" s="7"/>
      <c r="L9" s="7"/>
      <c r="M9" s="8">
        <f>48</f>
        <v>48</v>
      </c>
      <c r="N9" s="8">
        <f t="shared" si="0"/>
        <v>0</v>
      </c>
      <c r="O9" s="8">
        <f>IF(COUNTIF(PARAMETRES_REGIMES!$A$3:$A$100,$A9)&gt;0,MIN(M9,SUM(F9:L9)*24),MIN(M9,SUM(F9:K9)*24))</f>
        <v>0</v>
      </c>
      <c r="P9" s="9">
        <f>IF(COUNTIF(PARAMETRES_REGIMES!$A$3:$A$100,$A9)&gt;0,FLOOR(MAX(SUM(F9:L9)*24-M9,0),0.5),FLOOR(MAX(SUM(F9:K9)*24-M9,0),0.5))</f>
        <v>0</v>
      </c>
      <c r="Q9" s="9">
        <f>IF(COUNTIF(PARAMETRES_REGIMES!$A$3:$A$100,$A9)&gt;0,0,IF(ISNUMBER(L9),FLOOR(MAX(L9*24,0),0.5),0))</f>
        <v>0</v>
      </c>
      <c r="R9" s="8">
        <f t="shared" si="1"/>
        <v>0</v>
      </c>
      <c r="S9" s="8">
        <f t="shared" si="2"/>
        <v>0</v>
      </c>
      <c r="T9" s="8">
        <f t="shared" si="3"/>
        <v>0</v>
      </c>
      <c r="U9" s="8">
        <f t="shared" si="4"/>
        <v>0</v>
      </c>
      <c r="V9" s="10" t="str">
        <f t="shared" si="5"/>
        <v>OK</v>
      </c>
    </row>
    <row r="10" spans="1:24">
      <c r="A10" s="17" t="s">
        <v>41</v>
      </c>
      <c r="B10" s="5" t="s">
        <v>42</v>
      </c>
      <c r="C10" s="5" t="s">
        <v>43</v>
      </c>
      <c r="D10" s="5" t="s">
        <v>31</v>
      </c>
      <c r="E10" s="5" t="s">
        <v>21</v>
      </c>
      <c r="F10" s="6"/>
      <c r="G10" s="7"/>
      <c r="H10" s="7"/>
      <c r="I10" s="7"/>
      <c r="J10" s="7"/>
      <c r="K10" s="7"/>
      <c r="L10" s="7"/>
      <c r="M10" s="8">
        <f>48</f>
        <v>48</v>
      </c>
      <c r="N10" s="8">
        <f t="shared" si="0"/>
        <v>0</v>
      </c>
      <c r="O10" s="8">
        <f>IF(COUNTIF(PARAMETRES_REGIMES!$A$3:$A$100,$A10)&gt;0,MIN(M10,SUM(F10:L10)*24),MIN(M10,SUM(F10:K10)*24))</f>
        <v>0</v>
      </c>
      <c r="P10" s="9">
        <f>IF(COUNTIF(PARAMETRES_REGIMES!$A$3:$A$100,$A10)&gt;0,FLOOR(MAX(SUM(F10:L10)*24-M10,0),0.5),FLOOR(MAX(SUM(F10:K10)*24-M10,0),0.5))</f>
        <v>0</v>
      </c>
      <c r="Q10" s="9">
        <f>IF(COUNTIF(PARAMETRES_REGIMES!$A$3:$A$100,$A10)&gt;0,0,IF(ISNUMBER(L10),FLOOR(MAX(L10*24,0),0.5),0))</f>
        <v>0</v>
      </c>
      <c r="R10" s="8">
        <f t="shared" si="1"/>
        <v>0</v>
      </c>
      <c r="S10" s="8">
        <f t="shared" si="2"/>
        <v>0</v>
      </c>
      <c r="T10" s="8">
        <f t="shared" si="3"/>
        <v>0</v>
      </c>
      <c r="U10" s="8">
        <f t="shared" si="4"/>
        <v>0</v>
      </c>
      <c r="V10" s="10" t="str">
        <f t="shared" si="5"/>
        <v>OK</v>
      </c>
    </row>
    <row r="11" spans="1:24">
      <c r="A11" s="17" t="s">
        <v>44</v>
      </c>
      <c r="B11" s="5" t="s">
        <v>45</v>
      </c>
      <c r="C11" s="5" t="s">
        <v>46</v>
      </c>
      <c r="D11" s="5" t="s">
        <v>31</v>
      </c>
      <c r="E11" s="5" t="s">
        <v>21</v>
      </c>
      <c r="F11" s="6"/>
      <c r="G11" s="7"/>
      <c r="H11" s="7"/>
      <c r="I11" s="7"/>
      <c r="J11" s="7"/>
      <c r="K11" s="7"/>
      <c r="L11" s="7"/>
      <c r="M11" s="8">
        <f>48</f>
        <v>48</v>
      </c>
      <c r="N11" s="8">
        <f t="shared" si="0"/>
        <v>0</v>
      </c>
      <c r="O11" s="8">
        <f>IF(COUNTIF(PARAMETRES_REGIMES!$A$3:$A$100,$A11)&gt;0,MIN(M11,SUM(F11:L11)*24),MIN(M11,SUM(F11:K11)*24))</f>
        <v>0</v>
      </c>
      <c r="P11" s="9">
        <f>IF(COUNTIF(PARAMETRES_REGIMES!$A$3:$A$100,$A11)&gt;0,FLOOR(MAX(SUM(F11:L11)*24-M11,0),0.5),FLOOR(MAX(SUM(F11:K11)*24-M11,0),0.5))</f>
        <v>0</v>
      </c>
      <c r="Q11" s="9">
        <f>IF(COUNTIF(PARAMETRES_REGIMES!$A$3:$A$100,$A11)&gt;0,0,IF(ISNUMBER(L11),FLOOR(MAX(L11*24,0),0.5),0))</f>
        <v>0</v>
      </c>
      <c r="R11" s="8">
        <f t="shared" si="1"/>
        <v>0</v>
      </c>
      <c r="S11" s="8">
        <f t="shared" si="2"/>
        <v>0</v>
      </c>
      <c r="T11" s="8">
        <f t="shared" si="3"/>
        <v>0</v>
      </c>
      <c r="U11" s="8">
        <f t="shared" si="4"/>
        <v>0</v>
      </c>
      <c r="V11" s="10" t="str">
        <f t="shared" si="5"/>
        <v>OK</v>
      </c>
    </row>
    <row r="12" spans="1:24">
      <c r="A12" s="17" t="s">
        <v>47</v>
      </c>
      <c r="B12" s="5" t="s">
        <v>28</v>
      </c>
      <c r="C12" s="5" t="s">
        <v>48</v>
      </c>
      <c r="D12" s="5" t="s">
        <v>49</v>
      </c>
      <c r="E12" s="5" t="s">
        <v>21</v>
      </c>
      <c r="F12" s="6"/>
      <c r="G12" s="7"/>
      <c r="H12" s="7"/>
      <c r="I12" s="7"/>
      <c r="J12" s="7"/>
      <c r="K12" s="7"/>
      <c r="L12" s="7"/>
      <c r="M12" s="8">
        <f>48</f>
        <v>48</v>
      </c>
      <c r="N12" s="8">
        <f t="shared" si="0"/>
        <v>0</v>
      </c>
      <c r="O12" s="8">
        <f>IF(COUNTIF(PARAMETRES_REGIMES!$A$3:$A$100,$A12)&gt;0,MIN(M12,SUM(F12:L12)*24),MIN(M12,SUM(F12:K12)*24))</f>
        <v>0</v>
      </c>
      <c r="P12" s="9">
        <f>IF(COUNTIF(PARAMETRES_REGIMES!$A$3:$A$100,$A12)&gt;0,FLOOR(MAX(SUM(F12:L12)*24-M12,0),0.5),FLOOR(MAX(SUM(F12:K12)*24-M12,0),0.5))</f>
        <v>0</v>
      </c>
      <c r="Q12" s="9">
        <f>IF(COUNTIF(PARAMETRES_REGIMES!$A$3:$A$100,$A12)&gt;0,0,IF(ISNUMBER(L12),FLOOR(MAX(L12*24,0),0.5),0))</f>
        <v>0</v>
      </c>
      <c r="R12" s="8">
        <f t="shared" si="1"/>
        <v>0</v>
      </c>
      <c r="S12" s="8">
        <f t="shared" si="2"/>
        <v>0</v>
      </c>
      <c r="T12" s="8">
        <f t="shared" si="3"/>
        <v>0</v>
      </c>
      <c r="U12" s="8">
        <f t="shared" si="4"/>
        <v>0</v>
      </c>
      <c r="V12" s="10" t="str">
        <f t="shared" si="5"/>
        <v>OK</v>
      </c>
    </row>
    <row r="13" spans="1:24">
      <c r="A13" s="17">
        <v>132</v>
      </c>
      <c r="B13" s="5" t="s">
        <v>50</v>
      </c>
      <c r="C13" s="5" t="s">
        <v>51</v>
      </c>
      <c r="D13" s="5" t="s">
        <v>49</v>
      </c>
      <c r="E13" s="5" t="s">
        <v>21</v>
      </c>
      <c r="F13" s="6"/>
      <c r="G13" s="7"/>
      <c r="H13" s="7"/>
      <c r="I13" s="7"/>
      <c r="J13" s="7"/>
      <c r="K13" s="7"/>
      <c r="L13" s="7"/>
      <c r="M13" s="8">
        <f>48</f>
        <v>48</v>
      </c>
      <c r="N13" s="8">
        <f t="shared" si="0"/>
        <v>0</v>
      </c>
      <c r="O13" s="8">
        <f>IF(COUNTIF(PARAMETRES_REGIMES!$A$3:$A$100,$A13)&gt;0,MIN(M13,SUM(F13:L13)*24),MIN(M13,SUM(F13:K13)*24))</f>
        <v>0</v>
      </c>
      <c r="P13" s="9">
        <f>IF(COUNTIF(PARAMETRES_REGIMES!$A$3:$A$100,$A13)&gt;0,FLOOR(MAX(SUM(F13:L13)*24-M13,0),0.5),FLOOR(MAX(SUM(F13:K13)*24-M13,0),0.5))</f>
        <v>0</v>
      </c>
      <c r="Q13" s="9">
        <f>IF(COUNTIF(PARAMETRES_REGIMES!$A$3:$A$100,$A13)&gt;0,0,IF(ISNUMBER(L13),FLOOR(MAX(L13*24,0),0.5),0))</f>
        <v>0</v>
      </c>
      <c r="R13" s="8">
        <f t="shared" si="1"/>
        <v>0</v>
      </c>
      <c r="S13" s="8">
        <f t="shared" si="2"/>
        <v>0</v>
      </c>
      <c r="T13" s="8">
        <f t="shared" si="3"/>
        <v>0</v>
      </c>
      <c r="U13" s="8">
        <f t="shared" si="4"/>
        <v>0</v>
      </c>
      <c r="V13" s="10" t="str">
        <f t="shared" si="5"/>
        <v>OK</v>
      </c>
    </row>
    <row r="14" spans="1:24">
      <c r="A14" s="17">
        <v>174</v>
      </c>
      <c r="B14" s="5" t="s">
        <v>52</v>
      </c>
      <c r="C14" s="5" t="s">
        <v>53</v>
      </c>
      <c r="D14" s="5" t="s">
        <v>49</v>
      </c>
      <c r="E14" s="5" t="s">
        <v>21</v>
      </c>
      <c r="F14" s="6"/>
      <c r="G14" s="7"/>
      <c r="H14" s="7"/>
      <c r="I14" s="7"/>
      <c r="J14" s="7"/>
      <c r="K14" s="7"/>
      <c r="L14" s="7"/>
      <c r="M14" s="8">
        <f>48</f>
        <v>48</v>
      </c>
      <c r="N14" s="8">
        <f t="shared" si="0"/>
        <v>0</v>
      </c>
      <c r="O14" s="8">
        <f>IF(COUNTIF(PARAMETRES_REGIMES!$A$3:$A$100,$A14)&gt;0,MIN(M14,SUM(F14:L14)*24),MIN(M14,SUM(F14:K14)*24))</f>
        <v>0</v>
      </c>
      <c r="P14" s="9">
        <f>IF(COUNTIF(PARAMETRES_REGIMES!$A$3:$A$100,$A14)&gt;0,FLOOR(MAX(SUM(F14:L14)*24-M14,0),0.5),FLOOR(MAX(SUM(F14:K14)*24-M14,0),0.5))</f>
        <v>0</v>
      </c>
      <c r="Q14" s="9">
        <f>IF(COUNTIF(PARAMETRES_REGIMES!$A$3:$A$100,$A14)&gt;0,0,IF(ISNUMBER(L14),FLOOR(MAX(L14*24,0),0.5),0))</f>
        <v>0</v>
      </c>
      <c r="R14" s="8">
        <f t="shared" si="1"/>
        <v>0</v>
      </c>
      <c r="S14" s="8">
        <f t="shared" si="2"/>
        <v>0</v>
      </c>
      <c r="T14" s="8">
        <f t="shared" si="3"/>
        <v>0</v>
      </c>
      <c r="U14" s="8">
        <f t="shared" si="4"/>
        <v>0</v>
      </c>
      <c r="V14" s="10" t="str">
        <f t="shared" si="5"/>
        <v>OK</v>
      </c>
    </row>
    <row r="15" spans="1:24">
      <c r="A15" s="17" t="s">
        <v>54</v>
      </c>
      <c r="B15" s="5" t="s">
        <v>55</v>
      </c>
      <c r="C15" s="5" t="s">
        <v>56</v>
      </c>
      <c r="D15" s="5" t="s">
        <v>49</v>
      </c>
      <c r="E15" s="5" t="s">
        <v>21</v>
      </c>
      <c r="F15" s="6"/>
      <c r="G15" s="7"/>
      <c r="H15" s="7"/>
      <c r="I15" s="7"/>
      <c r="J15" s="7"/>
      <c r="K15" s="7"/>
      <c r="L15" s="7"/>
      <c r="M15" s="8">
        <f>48</f>
        <v>48</v>
      </c>
      <c r="N15" s="8">
        <f t="shared" si="0"/>
        <v>0</v>
      </c>
      <c r="O15" s="8">
        <f>IF(COUNTIF(PARAMETRES_REGIMES!$A$3:$A$100,$A15)&gt;0,MIN(M15,SUM(F15:L15)*24),MIN(M15,SUM(F15:K15)*24))</f>
        <v>0</v>
      </c>
      <c r="P15" s="9">
        <f>IF(COUNTIF(PARAMETRES_REGIMES!$A$3:$A$100,$A15)&gt;0,FLOOR(MAX(SUM(F15:L15)*24-M15,0),0.5),FLOOR(MAX(SUM(F15:K15)*24-M15,0),0.5))</f>
        <v>0</v>
      </c>
      <c r="Q15" s="9">
        <f>IF(COUNTIF(PARAMETRES_REGIMES!$A$3:$A$100,$A15)&gt;0,0,IF(ISNUMBER(L15),FLOOR(MAX(L15*24,0),0.5),0))</f>
        <v>0</v>
      </c>
      <c r="R15" s="8">
        <f t="shared" si="1"/>
        <v>0</v>
      </c>
      <c r="S15" s="8">
        <f t="shared" si="2"/>
        <v>0</v>
      </c>
      <c r="T15" s="8">
        <f t="shared" si="3"/>
        <v>0</v>
      </c>
      <c r="U15" s="8">
        <f t="shared" si="4"/>
        <v>0</v>
      </c>
      <c r="V15" s="10" t="str">
        <f t="shared" si="5"/>
        <v>OK</v>
      </c>
    </row>
    <row r="16" spans="1:24">
      <c r="A16" s="17" t="s">
        <v>57</v>
      </c>
      <c r="B16" s="5" t="s">
        <v>58</v>
      </c>
      <c r="C16" s="5" t="s">
        <v>59</v>
      </c>
      <c r="D16" s="5" t="s">
        <v>49</v>
      </c>
      <c r="E16" s="5" t="s">
        <v>21</v>
      </c>
      <c r="F16" s="6"/>
      <c r="G16" s="7"/>
      <c r="H16" s="7"/>
      <c r="I16" s="7"/>
      <c r="J16" s="7"/>
      <c r="K16" s="7"/>
      <c r="L16" s="7"/>
      <c r="M16" s="8">
        <f>48</f>
        <v>48</v>
      </c>
      <c r="N16" s="8">
        <f t="shared" si="0"/>
        <v>0</v>
      </c>
      <c r="O16" s="8">
        <f>IF(COUNTIF(PARAMETRES_REGIMES!$A$3:$A$100,$A16)&gt;0,MIN(M16,SUM(F16:L16)*24),MIN(M16,SUM(F16:K16)*24))</f>
        <v>0</v>
      </c>
      <c r="P16" s="9">
        <f>IF(COUNTIF(PARAMETRES_REGIMES!$A$3:$A$100,$A16)&gt;0,FLOOR(MAX(SUM(F16:L16)*24-M16,0),0.5),FLOOR(MAX(SUM(F16:K16)*24-M16,0),0.5))</f>
        <v>0</v>
      </c>
      <c r="Q16" s="9">
        <f>IF(COUNTIF(PARAMETRES_REGIMES!$A$3:$A$100,$A16)&gt;0,0,IF(ISNUMBER(L16),FLOOR(MAX(L16*24,0),0.5),0))</f>
        <v>0</v>
      </c>
      <c r="R16" s="8">
        <f t="shared" si="1"/>
        <v>0</v>
      </c>
      <c r="S16" s="8">
        <f t="shared" si="2"/>
        <v>0</v>
      </c>
      <c r="T16" s="8">
        <f t="shared" si="3"/>
        <v>0</v>
      </c>
      <c r="U16" s="8">
        <f t="shared" si="4"/>
        <v>0</v>
      </c>
      <c r="V16" s="10" t="str">
        <f t="shared" si="5"/>
        <v>OK</v>
      </c>
    </row>
    <row r="17" spans="1:22">
      <c r="A17" s="17" t="s">
        <v>60</v>
      </c>
      <c r="B17" s="5" t="s">
        <v>58</v>
      </c>
      <c r="C17" s="5" t="s">
        <v>61</v>
      </c>
      <c r="D17" s="5" t="s">
        <v>49</v>
      </c>
      <c r="E17" s="5" t="s">
        <v>21</v>
      </c>
      <c r="F17" s="6"/>
      <c r="G17" s="7"/>
      <c r="H17" s="7"/>
      <c r="I17" s="7"/>
      <c r="J17" s="7"/>
      <c r="K17" s="7"/>
      <c r="L17" s="7"/>
      <c r="M17" s="8">
        <f>48</f>
        <v>48</v>
      </c>
      <c r="N17" s="8">
        <f t="shared" si="0"/>
        <v>0</v>
      </c>
      <c r="O17" s="8">
        <f>IF(COUNTIF(PARAMETRES_REGIMES!$A$3:$A$100,$A17)&gt;0,MIN(M17,SUM(F17:L17)*24),MIN(M17,SUM(F17:K17)*24))</f>
        <v>0</v>
      </c>
      <c r="P17" s="9">
        <f>IF(COUNTIF(PARAMETRES_REGIMES!$A$3:$A$100,$A17)&gt;0,FLOOR(MAX(SUM(F17:L17)*24-M17,0),0.5),FLOOR(MAX(SUM(F17:K17)*24-M17,0),0.5))</f>
        <v>0</v>
      </c>
      <c r="Q17" s="9">
        <f>IF(COUNTIF(PARAMETRES_REGIMES!$A$3:$A$100,$A17)&gt;0,0,IF(ISNUMBER(L17),FLOOR(MAX(L17*24,0),0.5),0))</f>
        <v>0</v>
      </c>
      <c r="R17" s="8">
        <f t="shared" si="1"/>
        <v>0</v>
      </c>
      <c r="S17" s="8">
        <f t="shared" si="2"/>
        <v>0</v>
      </c>
      <c r="T17" s="8">
        <f t="shared" si="3"/>
        <v>0</v>
      </c>
      <c r="U17" s="8">
        <f t="shared" si="4"/>
        <v>0</v>
      </c>
      <c r="V17" s="10" t="str">
        <f t="shared" si="5"/>
        <v>OK</v>
      </c>
    </row>
    <row r="18" spans="1:22">
      <c r="A18" s="17">
        <v>158</v>
      </c>
      <c r="B18" s="5" t="s">
        <v>62</v>
      </c>
      <c r="C18" s="5" t="s">
        <v>63</v>
      </c>
      <c r="D18" s="5" t="s">
        <v>49</v>
      </c>
      <c r="E18" s="5" t="s">
        <v>21</v>
      </c>
      <c r="F18" s="6"/>
      <c r="G18" s="7"/>
      <c r="H18" s="7"/>
      <c r="I18" s="7"/>
      <c r="J18" s="7"/>
      <c r="K18" s="7"/>
      <c r="L18" s="7"/>
      <c r="M18" s="8">
        <f>48</f>
        <v>48</v>
      </c>
      <c r="N18" s="8">
        <f t="shared" si="0"/>
        <v>0</v>
      </c>
      <c r="O18" s="8">
        <f>IF(COUNTIF(PARAMETRES_REGIMES!$A$3:$A$100,$A18)&gt;0,MIN(M18,SUM(F18:L18)*24),MIN(M18,SUM(F18:K18)*24))</f>
        <v>0</v>
      </c>
      <c r="P18" s="9">
        <f>IF(COUNTIF(PARAMETRES_REGIMES!$A$3:$A$100,$A18)&gt;0,FLOOR(MAX(SUM(F18:L18)*24-M18,0),0.5),FLOOR(MAX(SUM(F18:K18)*24-M18,0),0.5))</f>
        <v>0</v>
      </c>
      <c r="Q18" s="9">
        <f>IF(COUNTIF(PARAMETRES_REGIMES!$A$3:$A$100,$A18)&gt;0,0,IF(ISNUMBER(L18),FLOOR(MAX(L18*24,0),0.5),0))</f>
        <v>0</v>
      </c>
      <c r="R18" s="8">
        <f t="shared" si="1"/>
        <v>0</v>
      </c>
      <c r="S18" s="8">
        <f t="shared" si="2"/>
        <v>0</v>
      </c>
      <c r="T18" s="8">
        <f t="shared" si="3"/>
        <v>0</v>
      </c>
      <c r="U18" s="8">
        <f t="shared" si="4"/>
        <v>0</v>
      </c>
      <c r="V18" s="10" t="str">
        <f t="shared" si="5"/>
        <v>OK</v>
      </c>
    </row>
    <row r="19" spans="1:22">
      <c r="A19" s="17" t="s">
        <v>64</v>
      </c>
      <c r="B19" s="5" t="s">
        <v>65</v>
      </c>
      <c r="C19" s="5" t="s">
        <v>66</v>
      </c>
      <c r="D19" s="5" t="s">
        <v>49</v>
      </c>
      <c r="E19" s="5" t="s">
        <v>21</v>
      </c>
      <c r="F19" s="6"/>
      <c r="G19" s="7"/>
      <c r="H19" s="7"/>
      <c r="I19" s="7"/>
      <c r="J19" s="7"/>
      <c r="K19" s="7"/>
      <c r="L19" s="7"/>
      <c r="M19" s="8">
        <f>48</f>
        <v>48</v>
      </c>
      <c r="N19" s="8">
        <f t="shared" si="0"/>
        <v>0</v>
      </c>
      <c r="O19" s="8">
        <f>IF(COUNTIF(PARAMETRES_REGIMES!$A$3:$A$100,$A19)&gt;0,MIN(M19,SUM(F19:L19)*24),MIN(M19,SUM(F19:K19)*24))</f>
        <v>0</v>
      </c>
      <c r="P19" s="9">
        <f>IF(COUNTIF(PARAMETRES_REGIMES!$A$3:$A$100,$A19)&gt;0,FLOOR(MAX(SUM(F19:L19)*24-M19,0),0.5),FLOOR(MAX(SUM(F19:K19)*24-M19,0),0.5))</f>
        <v>0</v>
      </c>
      <c r="Q19" s="9">
        <f>IF(COUNTIF(PARAMETRES_REGIMES!$A$3:$A$100,$A19)&gt;0,0,IF(ISNUMBER(L19),FLOOR(MAX(L19*24,0),0.5),0))</f>
        <v>0</v>
      </c>
      <c r="R19" s="8">
        <f t="shared" si="1"/>
        <v>0</v>
      </c>
      <c r="S19" s="8">
        <f t="shared" si="2"/>
        <v>0</v>
      </c>
      <c r="T19" s="8">
        <f t="shared" si="3"/>
        <v>0</v>
      </c>
      <c r="U19" s="8">
        <f t="shared" si="4"/>
        <v>0</v>
      </c>
      <c r="V19" s="10" t="str">
        <f t="shared" si="5"/>
        <v>OK</v>
      </c>
    </row>
    <row r="20" spans="1:22">
      <c r="A20" s="17" t="s">
        <v>67</v>
      </c>
      <c r="B20" s="5" t="s">
        <v>68</v>
      </c>
      <c r="C20" s="5" t="s">
        <v>25</v>
      </c>
      <c r="D20" s="5" t="s">
        <v>69</v>
      </c>
      <c r="E20" s="5" t="s">
        <v>21</v>
      </c>
      <c r="F20" s="6"/>
      <c r="G20" s="7"/>
      <c r="H20" s="7"/>
      <c r="I20" s="7"/>
      <c r="J20" s="7"/>
      <c r="K20" s="7"/>
      <c r="L20" s="7"/>
      <c r="M20" s="8">
        <f>48</f>
        <v>48</v>
      </c>
      <c r="N20" s="8">
        <f t="shared" si="0"/>
        <v>0</v>
      </c>
      <c r="O20" s="8">
        <f>IF(COUNTIF(PARAMETRES_REGIMES!$A$3:$A$100,$A20)&gt;0,MIN(M20,SUM(F20:L20)*24),MIN(M20,SUM(F20:K20)*24))</f>
        <v>0</v>
      </c>
      <c r="P20" s="9">
        <f>IF(COUNTIF(PARAMETRES_REGIMES!$A$3:$A$100,$A20)&gt;0,FLOOR(MAX(SUM(F20:L20)*24-M20,0),0.5),FLOOR(MAX(SUM(F20:K20)*24-M20,0),0.5))</f>
        <v>0</v>
      </c>
      <c r="Q20" s="9">
        <f>IF(COUNTIF(PARAMETRES_REGIMES!$A$3:$A$100,$A20)&gt;0,0,IF(ISNUMBER(L20),FLOOR(MAX(L20*24,0),0.5),0))</f>
        <v>0</v>
      </c>
      <c r="R20" s="8">
        <f t="shared" si="1"/>
        <v>0</v>
      </c>
      <c r="S20" s="8">
        <f t="shared" si="2"/>
        <v>0</v>
      </c>
      <c r="T20" s="8">
        <f t="shared" si="3"/>
        <v>0</v>
      </c>
      <c r="U20" s="8">
        <f t="shared" si="4"/>
        <v>0</v>
      </c>
      <c r="V20" s="10" t="str">
        <f t="shared" si="5"/>
        <v>OK</v>
      </c>
    </row>
    <row r="21" spans="1:22">
      <c r="A21" s="17" t="s">
        <v>70</v>
      </c>
      <c r="B21" s="5" t="s">
        <v>71</v>
      </c>
      <c r="C21" s="5" t="s">
        <v>72</v>
      </c>
      <c r="D21" s="5" t="s">
        <v>69</v>
      </c>
      <c r="E21" s="5" t="s">
        <v>21</v>
      </c>
      <c r="F21" s="6"/>
      <c r="G21" s="7"/>
      <c r="H21" s="7"/>
      <c r="I21" s="7"/>
      <c r="J21" s="7"/>
      <c r="K21" s="7"/>
      <c r="L21" s="7"/>
      <c r="M21" s="8">
        <f>48</f>
        <v>48</v>
      </c>
      <c r="N21" s="8">
        <f t="shared" si="0"/>
        <v>0</v>
      </c>
      <c r="O21" s="8">
        <f>IF(COUNTIF(PARAMETRES_REGIMES!$A$3:$A$100,$A21)&gt;0,MIN(M21,SUM(F21:L21)*24),MIN(M21,SUM(F21:K21)*24))</f>
        <v>0</v>
      </c>
      <c r="P21" s="9">
        <f>IF(COUNTIF(PARAMETRES_REGIMES!$A$3:$A$100,$A21)&gt;0,FLOOR(MAX(SUM(F21:L21)*24-M21,0),0.5),FLOOR(MAX(SUM(F21:K21)*24-M21,0),0.5))</f>
        <v>0</v>
      </c>
      <c r="Q21" s="9">
        <f>IF(COUNTIF(PARAMETRES_REGIMES!$A$3:$A$100,$A21)&gt;0,0,IF(ISNUMBER(L21),FLOOR(MAX(L21*24,0),0.5),0))</f>
        <v>0</v>
      </c>
      <c r="R21" s="8">
        <f t="shared" si="1"/>
        <v>0</v>
      </c>
      <c r="S21" s="8">
        <f t="shared" si="2"/>
        <v>0</v>
      </c>
      <c r="T21" s="8">
        <f t="shared" si="3"/>
        <v>0</v>
      </c>
      <c r="U21" s="8">
        <f t="shared" si="4"/>
        <v>0</v>
      </c>
      <c r="V21" s="10" t="str">
        <f t="shared" si="5"/>
        <v>OK</v>
      </c>
    </row>
    <row r="22" spans="1:22">
      <c r="A22" s="17" t="s">
        <v>73</v>
      </c>
      <c r="B22" s="5" t="s">
        <v>74</v>
      </c>
      <c r="C22" s="5" t="s">
        <v>75</v>
      </c>
      <c r="D22" s="5" t="s">
        <v>69</v>
      </c>
      <c r="E22" s="5" t="s">
        <v>21</v>
      </c>
      <c r="F22" s="6"/>
      <c r="G22" s="7"/>
      <c r="H22" s="7"/>
      <c r="I22" s="7"/>
      <c r="J22" s="7"/>
      <c r="K22" s="7"/>
      <c r="L22" s="7"/>
      <c r="M22" s="8">
        <f>48</f>
        <v>48</v>
      </c>
      <c r="N22" s="8">
        <f t="shared" si="0"/>
        <v>0</v>
      </c>
      <c r="O22" s="8">
        <f>IF(COUNTIF(PARAMETRES_REGIMES!$A$3:$A$100,$A22)&gt;0,MIN(M22,SUM(F22:L22)*24),MIN(M22,SUM(F22:K22)*24))</f>
        <v>0</v>
      </c>
      <c r="P22" s="9">
        <f>IF(COUNTIF(PARAMETRES_REGIMES!$A$3:$A$100,$A22)&gt;0,FLOOR(MAX(SUM(F22:L22)*24-M22,0),0.5),FLOOR(MAX(SUM(F22:K22)*24-M22,0),0.5))</f>
        <v>0</v>
      </c>
      <c r="Q22" s="9">
        <f>IF(COUNTIF(PARAMETRES_REGIMES!$A$3:$A$100,$A22)&gt;0,0,IF(ISNUMBER(L22),FLOOR(MAX(L22*24,0),0.5),0))</f>
        <v>0</v>
      </c>
      <c r="R22" s="8">
        <f t="shared" si="1"/>
        <v>0</v>
      </c>
      <c r="S22" s="8">
        <f t="shared" si="2"/>
        <v>0</v>
      </c>
      <c r="T22" s="8">
        <f t="shared" si="3"/>
        <v>0</v>
      </c>
      <c r="U22" s="8">
        <f t="shared" si="4"/>
        <v>0</v>
      </c>
      <c r="V22" s="10" t="str">
        <f t="shared" si="5"/>
        <v>OK</v>
      </c>
    </row>
    <row r="23" spans="1:22">
      <c r="A23" s="17">
        <v>97</v>
      </c>
      <c r="B23" s="5" t="s">
        <v>76</v>
      </c>
      <c r="C23" s="5" t="s">
        <v>77</v>
      </c>
      <c r="D23" s="5" t="s">
        <v>69</v>
      </c>
      <c r="E23" s="5" t="s">
        <v>21</v>
      </c>
      <c r="F23" s="6"/>
      <c r="G23" s="7"/>
      <c r="H23" s="7"/>
      <c r="I23" s="7"/>
      <c r="J23" s="7"/>
      <c r="K23" s="7"/>
      <c r="L23" s="7"/>
      <c r="M23" s="8">
        <f>48</f>
        <v>48</v>
      </c>
      <c r="N23" s="8">
        <f t="shared" si="0"/>
        <v>0</v>
      </c>
      <c r="O23" s="8">
        <f>IF(COUNTIF(PARAMETRES_REGIMES!$A$3:$A$100,$A23)&gt;0,MIN(M23,SUM(F23:L23)*24),MIN(M23,SUM(F23:K23)*24))</f>
        <v>0</v>
      </c>
      <c r="P23" s="9">
        <f>IF(COUNTIF(PARAMETRES_REGIMES!$A$3:$A$100,$A23)&gt;0,FLOOR(MAX(SUM(F23:L23)*24-M23,0),0.5),FLOOR(MAX(SUM(F23:K23)*24-M23,0),0.5))</f>
        <v>0</v>
      </c>
      <c r="Q23" s="9">
        <f>IF(COUNTIF(PARAMETRES_REGIMES!$A$3:$A$100,$A23)&gt;0,0,IF(ISNUMBER(L23),FLOOR(MAX(L23*24,0),0.5),0))</f>
        <v>0</v>
      </c>
      <c r="R23" s="8">
        <f t="shared" si="1"/>
        <v>0</v>
      </c>
      <c r="S23" s="8">
        <f t="shared" si="2"/>
        <v>0</v>
      </c>
      <c r="T23" s="8">
        <f t="shared" si="3"/>
        <v>0</v>
      </c>
      <c r="U23" s="8">
        <f t="shared" si="4"/>
        <v>0</v>
      </c>
      <c r="V23" s="10" t="str">
        <f t="shared" si="5"/>
        <v>OK</v>
      </c>
    </row>
    <row r="24" spans="1:22">
      <c r="A24" s="17" t="s">
        <v>78</v>
      </c>
      <c r="B24" s="5" t="s">
        <v>79</v>
      </c>
      <c r="C24" s="5" t="s">
        <v>80</v>
      </c>
      <c r="D24" s="5" t="s">
        <v>69</v>
      </c>
      <c r="E24" s="5" t="s">
        <v>21</v>
      </c>
      <c r="F24" s="6"/>
      <c r="G24" s="7"/>
      <c r="H24" s="7"/>
      <c r="I24" s="7"/>
      <c r="J24" s="7"/>
      <c r="K24" s="7"/>
      <c r="L24" s="7"/>
      <c r="M24" s="8">
        <f>48</f>
        <v>48</v>
      </c>
      <c r="N24" s="8">
        <f t="shared" si="0"/>
        <v>0</v>
      </c>
      <c r="O24" s="8">
        <f>IF(COUNTIF(PARAMETRES_REGIMES!$A$3:$A$100,$A24)&gt;0,MIN(M24,SUM(F24:L24)*24),MIN(M24,SUM(F24:K24)*24))</f>
        <v>0</v>
      </c>
      <c r="P24" s="9">
        <f>IF(COUNTIF(PARAMETRES_REGIMES!$A$3:$A$100,$A24)&gt;0,FLOOR(MAX(SUM(F24:L24)*24-M24,0),0.5),FLOOR(MAX(SUM(F24:K24)*24-M24,0),0.5))</f>
        <v>0</v>
      </c>
      <c r="Q24" s="9">
        <f>IF(COUNTIF(PARAMETRES_REGIMES!$A$3:$A$100,$A24)&gt;0,0,IF(ISNUMBER(L24),FLOOR(MAX(L24*24,0),0.5),0))</f>
        <v>0</v>
      </c>
      <c r="R24" s="8">
        <f t="shared" si="1"/>
        <v>0</v>
      </c>
      <c r="S24" s="8">
        <f t="shared" si="2"/>
        <v>0</v>
      </c>
      <c r="T24" s="8">
        <f t="shared" si="3"/>
        <v>0</v>
      </c>
      <c r="U24" s="8">
        <f t="shared" si="4"/>
        <v>0</v>
      </c>
      <c r="V24" s="10" t="str">
        <f t="shared" si="5"/>
        <v>OK</v>
      </c>
    </row>
    <row r="25" spans="1:22">
      <c r="A25" s="17" t="s">
        <v>81</v>
      </c>
      <c r="B25" s="5" t="s">
        <v>82</v>
      </c>
      <c r="C25" s="5" t="s">
        <v>83</v>
      </c>
      <c r="D25" s="5" t="s">
        <v>69</v>
      </c>
      <c r="E25" s="5" t="s">
        <v>21</v>
      </c>
      <c r="F25" s="6"/>
      <c r="G25" s="7"/>
      <c r="H25" s="7"/>
      <c r="I25" s="7"/>
      <c r="J25" s="7"/>
      <c r="K25" s="7"/>
      <c r="L25" s="7"/>
      <c r="M25" s="8">
        <f>48</f>
        <v>48</v>
      </c>
      <c r="N25" s="8">
        <f t="shared" si="0"/>
        <v>0</v>
      </c>
      <c r="O25" s="8">
        <f>IF(COUNTIF(PARAMETRES_REGIMES!$A$3:$A$100,$A25)&gt;0,MIN(M25,SUM(F25:L25)*24),MIN(M25,SUM(F25:K25)*24))</f>
        <v>0</v>
      </c>
      <c r="P25" s="9">
        <f>IF(COUNTIF(PARAMETRES_REGIMES!$A$3:$A$100,$A25)&gt;0,FLOOR(MAX(SUM(F25:L25)*24-M25,0),0.5),FLOOR(MAX(SUM(F25:K25)*24-M25,0),0.5))</f>
        <v>0</v>
      </c>
      <c r="Q25" s="9">
        <f>IF(COUNTIF(PARAMETRES_REGIMES!$A$3:$A$100,$A25)&gt;0,0,IF(ISNUMBER(L25),FLOOR(MAX(L25*24,0),0.5),0))</f>
        <v>0</v>
      </c>
      <c r="R25" s="8">
        <f t="shared" si="1"/>
        <v>0</v>
      </c>
      <c r="S25" s="8">
        <f t="shared" si="2"/>
        <v>0</v>
      </c>
      <c r="T25" s="8">
        <f t="shared" si="3"/>
        <v>0</v>
      </c>
      <c r="U25" s="8">
        <f t="shared" si="4"/>
        <v>0</v>
      </c>
      <c r="V25" s="10" t="str">
        <f t="shared" si="5"/>
        <v>OK</v>
      </c>
    </row>
    <row r="26" spans="1:22">
      <c r="A26" s="17" t="s">
        <v>84</v>
      </c>
      <c r="B26" s="5" t="s">
        <v>85</v>
      </c>
      <c r="C26" s="5" t="s">
        <v>86</v>
      </c>
      <c r="D26" s="5" t="s">
        <v>87</v>
      </c>
      <c r="E26" s="5" t="s">
        <v>21</v>
      </c>
      <c r="F26" s="6"/>
      <c r="G26" s="7"/>
      <c r="H26" s="7"/>
      <c r="I26" s="7"/>
      <c r="J26" s="7"/>
      <c r="K26" s="7"/>
      <c r="L26" s="7"/>
      <c r="M26" s="8">
        <f>48</f>
        <v>48</v>
      </c>
      <c r="N26" s="8">
        <f t="shared" si="0"/>
        <v>0</v>
      </c>
      <c r="O26" s="8">
        <f>IF(COUNTIF(PARAMETRES_REGIMES!$A$3:$A$100,$A26)&gt;0,MIN(M26,SUM(F26:L26)*24),MIN(M26,SUM(F26:K26)*24))</f>
        <v>0</v>
      </c>
      <c r="P26" s="9">
        <f>IF(COUNTIF(PARAMETRES_REGIMES!$A$3:$A$100,$A26)&gt;0,FLOOR(MAX(SUM(F26:L26)*24-M26,0),0.5),FLOOR(MAX(SUM(F26:K26)*24-M26,0),0.5))</f>
        <v>0</v>
      </c>
      <c r="Q26" s="9">
        <f>IF(COUNTIF(PARAMETRES_REGIMES!$A$3:$A$100,$A26)&gt;0,0,IF(ISNUMBER(L26),FLOOR(MAX(L26*24,0),0.5),0))</f>
        <v>0</v>
      </c>
      <c r="R26" s="8">
        <f t="shared" si="1"/>
        <v>0</v>
      </c>
      <c r="S26" s="8">
        <f t="shared" si="2"/>
        <v>0</v>
      </c>
      <c r="T26" s="8">
        <f t="shared" si="3"/>
        <v>0</v>
      </c>
      <c r="U26" s="8">
        <f t="shared" si="4"/>
        <v>0</v>
      </c>
      <c r="V26" s="10" t="str">
        <f t="shared" si="5"/>
        <v>OK</v>
      </c>
    </row>
    <row r="27" spans="1:22">
      <c r="A27" s="17">
        <v>249</v>
      </c>
      <c r="B27" s="5" t="s">
        <v>88</v>
      </c>
      <c r="C27" s="5" t="s">
        <v>89</v>
      </c>
      <c r="D27" s="5" t="s">
        <v>87</v>
      </c>
      <c r="E27" s="5" t="s">
        <v>21</v>
      </c>
      <c r="F27" s="6"/>
      <c r="G27" s="7"/>
      <c r="H27" s="7"/>
      <c r="I27" s="7"/>
      <c r="J27" s="7"/>
      <c r="K27" s="7"/>
      <c r="L27" s="7"/>
      <c r="M27" s="8">
        <f>48</f>
        <v>48</v>
      </c>
      <c r="N27" s="8">
        <f t="shared" si="0"/>
        <v>0</v>
      </c>
      <c r="O27" s="8">
        <f>IF(COUNTIF(PARAMETRES_REGIMES!$A$3:$A$100,$A27)&gt;0,MIN(M27,SUM(F27:L27)*24),MIN(M27,SUM(F27:K27)*24))</f>
        <v>0</v>
      </c>
      <c r="P27" s="9">
        <f>IF(COUNTIF(PARAMETRES_REGIMES!$A$3:$A$100,$A27)&gt;0,FLOOR(MAX(SUM(F27:L27)*24-M27,0),0.5),FLOOR(MAX(SUM(F27:K27)*24-M27,0),0.5))</f>
        <v>0</v>
      </c>
      <c r="Q27" s="9">
        <f>IF(COUNTIF(PARAMETRES_REGIMES!$A$3:$A$100,$A27)&gt;0,0,IF(ISNUMBER(L27),FLOOR(MAX(L27*24,0),0.5),0))</f>
        <v>0</v>
      </c>
      <c r="R27" s="8">
        <f t="shared" si="1"/>
        <v>0</v>
      </c>
      <c r="S27" s="8">
        <f t="shared" si="2"/>
        <v>0</v>
      </c>
      <c r="T27" s="8">
        <f t="shared" si="3"/>
        <v>0</v>
      </c>
      <c r="U27" s="8">
        <f t="shared" si="4"/>
        <v>0</v>
      </c>
      <c r="V27" s="10" t="str">
        <f t="shared" si="5"/>
        <v>OK</v>
      </c>
    </row>
    <row r="28" spans="1:22">
      <c r="A28" s="17">
        <v>135</v>
      </c>
      <c r="B28" s="5" t="s">
        <v>90</v>
      </c>
      <c r="C28" s="5" t="s">
        <v>91</v>
      </c>
      <c r="D28" s="5" t="s">
        <v>92</v>
      </c>
      <c r="E28" s="5" t="s">
        <v>21</v>
      </c>
      <c r="F28" s="6"/>
      <c r="G28" s="7"/>
      <c r="H28" s="7"/>
      <c r="I28" s="7"/>
      <c r="J28" s="7"/>
      <c r="K28" s="7"/>
      <c r="L28" s="7"/>
      <c r="M28" s="8">
        <f>48</f>
        <v>48</v>
      </c>
      <c r="N28" s="8">
        <f t="shared" si="0"/>
        <v>0</v>
      </c>
      <c r="O28" s="8">
        <f>IF(COUNTIF(PARAMETRES_REGIMES!$A$3:$A$100,$A28)&gt;0,MIN(M28,SUM(F28:L28)*24),MIN(M28,SUM(F28:K28)*24))</f>
        <v>0</v>
      </c>
      <c r="P28" s="9">
        <f>IF(COUNTIF(PARAMETRES_REGIMES!$A$3:$A$100,$A28)&gt;0,FLOOR(MAX(SUM(F28:L28)*24-M28,0),0.5),FLOOR(MAX(SUM(F28:K28)*24-M28,0),0.5))</f>
        <v>0</v>
      </c>
      <c r="Q28" s="9">
        <f>IF(COUNTIF(PARAMETRES_REGIMES!$A$3:$A$100,$A28)&gt;0,0,IF(ISNUMBER(L28),FLOOR(MAX(L28*24,0),0.5),0))</f>
        <v>0</v>
      </c>
      <c r="R28" s="8">
        <f t="shared" si="1"/>
        <v>0</v>
      </c>
      <c r="S28" s="8">
        <f t="shared" si="2"/>
        <v>0</v>
      </c>
      <c r="T28" s="8">
        <f t="shared" si="3"/>
        <v>0</v>
      </c>
      <c r="U28" s="8">
        <f t="shared" si="4"/>
        <v>0</v>
      </c>
      <c r="V28" s="10" t="str">
        <f t="shared" si="5"/>
        <v>OK</v>
      </c>
    </row>
    <row r="29" spans="1:22">
      <c r="A29" s="17" t="s">
        <v>93</v>
      </c>
      <c r="B29" s="5" t="s">
        <v>94</v>
      </c>
      <c r="C29" s="5" t="s">
        <v>95</v>
      </c>
      <c r="D29" s="5" t="s">
        <v>92</v>
      </c>
      <c r="E29" s="5" t="s">
        <v>21</v>
      </c>
      <c r="F29" s="6"/>
      <c r="G29" s="7"/>
      <c r="H29" s="7"/>
      <c r="I29" s="7"/>
      <c r="J29" s="7"/>
      <c r="K29" s="7"/>
      <c r="L29" s="7"/>
      <c r="M29" s="8">
        <f>48</f>
        <v>48</v>
      </c>
      <c r="N29" s="8">
        <f t="shared" si="0"/>
        <v>0</v>
      </c>
      <c r="O29" s="8">
        <f>IF(COUNTIF(PARAMETRES_REGIMES!$A$3:$A$100,$A29)&gt;0,MIN(M29,SUM(F29:L29)*24),MIN(M29,SUM(F29:K29)*24))</f>
        <v>0</v>
      </c>
      <c r="P29" s="9">
        <f>IF(COUNTIF(PARAMETRES_REGIMES!$A$3:$A$100,$A29)&gt;0,FLOOR(MAX(SUM(F29:L29)*24-M29,0),0.5),FLOOR(MAX(SUM(F29:K29)*24-M29,0),0.5))</f>
        <v>0</v>
      </c>
      <c r="Q29" s="9">
        <f>IF(COUNTIF(PARAMETRES_REGIMES!$A$3:$A$100,$A29)&gt;0,0,IF(ISNUMBER(L29),FLOOR(MAX(L29*24,0),0.5),0))</f>
        <v>0</v>
      </c>
      <c r="R29" s="8">
        <f t="shared" si="1"/>
        <v>0</v>
      </c>
      <c r="S29" s="8">
        <f t="shared" si="2"/>
        <v>0</v>
      </c>
      <c r="T29" s="8">
        <f t="shared" si="3"/>
        <v>0</v>
      </c>
      <c r="U29" s="8">
        <f t="shared" si="4"/>
        <v>0</v>
      </c>
      <c r="V29" s="10" t="str">
        <f t="shared" si="5"/>
        <v>OK</v>
      </c>
    </row>
    <row r="30" spans="1:22">
      <c r="A30" s="17">
        <v>248</v>
      </c>
      <c r="B30" s="5" t="s">
        <v>96</v>
      </c>
      <c r="C30" s="5" t="s">
        <v>97</v>
      </c>
      <c r="D30" s="5" t="s">
        <v>92</v>
      </c>
      <c r="E30" s="5" t="s">
        <v>21</v>
      </c>
      <c r="F30" s="6"/>
      <c r="G30" s="7"/>
      <c r="H30" s="7"/>
      <c r="I30" s="7"/>
      <c r="J30" s="7"/>
      <c r="K30" s="7"/>
      <c r="L30" s="7"/>
      <c r="M30" s="8">
        <f>48</f>
        <v>48</v>
      </c>
      <c r="N30" s="8">
        <f t="shared" si="0"/>
        <v>0</v>
      </c>
      <c r="O30" s="8">
        <f>IF(COUNTIF(PARAMETRES_REGIMES!$A$3:$A$100,$A30)&gt;0,MIN(M30,SUM(F30:L30)*24),MIN(M30,SUM(F30:K30)*24))</f>
        <v>0</v>
      </c>
      <c r="P30" s="9">
        <f>IF(COUNTIF(PARAMETRES_REGIMES!$A$3:$A$100,$A30)&gt;0,FLOOR(MAX(SUM(F30:L30)*24-M30,0),0.5),FLOOR(MAX(SUM(F30:K30)*24-M30,0),0.5))</f>
        <v>0</v>
      </c>
      <c r="Q30" s="9">
        <f>IF(COUNTIF(PARAMETRES_REGIMES!$A$3:$A$100,$A30)&gt;0,0,IF(ISNUMBER(L30),FLOOR(MAX(L30*24,0),0.5),0))</f>
        <v>0</v>
      </c>
      <c r="R30" s="8">
        <f t="shared" si="1"/>
        <v>0</v>
      </c>
      <c r="S30" s="8">
        <f t="shared" si="2"/>
        <v>0</v>
      </c>
      <c r="T30" s="8">
        <f t="shared" si="3"/>
        <v>0</v>
      </c>
      <c r="U30" s="8">
        <f t="shared" si="4"/>
        <v>0</v>
      </c>
      <c r="V30" s="10" t="str">
        <f t="shared" si="5"/>
        <v>OK</v>
      </c>
    </row>
    <row r="31" spans="1:22">
      <c r="A31" s="17">
        <v>71</v>
      </c>
      <c r="B31" s="5" t="s">
        <v>98</v>
      </c>
      <c r="C31" s="5" t="s">
        <v>99</v>
      </c>
      <c r="D31" s="5" t="s">
        <v>92</v>
      </c>
      <c r="E31" s="5" t="s">
        <v>21</v>
      </c>
      <c r="F31" s="6"/>
      <c r="G31" s="7"/>
      <c r="H31" s="7"/>
      <c r="I31" s="7"/>
      <c r="J31" s="7"/>
      <c r="K31" s="7"/>
      <c r="L31" s="7"/>
      <c r="M31" s="8">
        <f>48</f>
        <v>48</v>
      </c>
      <c r="N31" s="8">
        <f t="shared" si="0"/>
        <v>0</v>
      </c>
      <c r="O31" s="8">
        <f>IF(COUNTIF(PARAMETRES_REGIMES!$A$3:$A$100,$A31)&gt;0,MIN(M31,SUM(F31:L31)*24),MIN(M31,SUM(F31:K31)*24))</f>
        <v>0</v>
      </c>
      <c r="P31" s="9">
        <f>IF(COUNTIF(PARAMETRES_REGIMES!$A$3:$A$100,$A31)&gt;0,FLOOR(MAX(SUM(F31:L31)*24-M31,0),0.5),FLOOR(MAX(SUM(F31:K31)*24-M31,0),0.5))</f>
        <v>0</v>
      </c>
      <c r="Q31" s="9">
        <f>IF(COUNTIF(PARAMETRES_REGIMES!$A$3:$A$100,$A31)&gt;0,0,IF(ISNUMBER(L31),FLOOR(MAX(L31*24,0),0.5),0))</f>
        <v>0</v>
      </c>
      <c r="R31" s="8">
        <f t="shared" si="1"/>
        <v>0</v>
      </c>
      <c r="S31" s="8">
        <f t="shared" si="2"/>
        <v>0</v>
      </c>
      <c r="T31" s="8">
        <f t="shared" si="3"/>
        <v>0</v>
      </c>
      <c r="U31" s="8">
        <f t="shared" si="4"/>
        <v>0</v>
      </c>
      <c r="V31" s="10" t="str">
        <f t="shared" si="5"/>
        <v>OK</v>
      </c>
    </row>
    <row r="32" spans="1:22">
      <c r="A32" s="17">
        <v>227</v>
      </c>
      <c r="B32" s="5" t="s">
        <v>100</v>
      </c>
      <c r="C32" s="5" t="s">
        <v>101</v>
      </c>
      <c r="D32" s="5" t="s">
        <v>92</v>
      </c>
      <c r="E32" s="5" t="s">
        <v>21</v>
      </c>
      <c r="F32" s="6"/>
      <c r="G32" s="7"/>
      <c r="H32" s="7"/>
      <c r="I32" s="7"/>
      <c r="J32" s="7"/>
      <c r="K32" s="7"/>
      <c r="L32" s="7"/>
      <c r="M32" s="8">
        <f>48</f>
        <v>48</v>
      </c>
      <c r="N32" s="8">
        <f t="shared" si="0"/>
        <v>0</v>
      </c>
      <c r="O32" s="8">
        <f>IF(COUNTIF(PARAMETRES_REGIMES!$A$3:$A$100,$A32)&gt;0,MIN(M32,SUM(F32:L32)*24),MIN(M32,SUM(F32:K32)*24))</f>
        <v>0</v>
      </c>
      <c r="P32" s="9">
        <f>IF(COUNTIF(PARAMETRES_REGIMES!$A$3:$A$100,$A32)&gt;0,FLOOR(MAX(SUM(F32:L32)*24-M32,0),0.5),FLOOR(MAX(SUM(F32:K32)*24-M32,0),0.5))</f>
        <v>0</v>
      </c>
      <c r="Q32" s="9">
        <f>IF(COUNTIF(PARAMETRES_REGIMES!$A$3:$A$100,$A32)&gt;0,0,IF(ISNUMBER(L32),FLOOR(MAX(L32*24,0),0.5),0))</f>
        <v>0</v>
      </c>
      <c r="R32" s="8">
        <f t="shared" si="1"/>
        <v>0</v>
      </c>
      <c r="S32" s="8">
        <f t="shared" si="2"/>
        <v>0</v>
      </c>
      <c r="T32" s="8">
        <f t="shared" si="3"/>
        <v>0</v>
      </c>
      <c r="U32" s="8">
        <f t="shared" si="4"/>
        <v>0</v>
      </c>
      <c r="V32" s="10" t="str">
        <f t="shared" si="5"/>
        <v>OK</v>
      </c>
    </row>
    <row r="33" spans="1:22">
      <c r="A33" s="17">
        <v>251</v>
      </c>
      <c r="B33" s="5" t="s">
        <v>102</v>
      </c>
      <c r="C33" s="5" t="s">
        <v>103</v>
      </c>
      <c r="D33" s="5" t="s">
        <v>92</v>
      </c>
      <c r="E33" s="5" t="s">
        <v>21</v>
      </c>
      <c r="F33" s="6"/>
      <c r="G33" s="7"/>
      <c r="H33" s="7"/>
      <c r="I33" s="7"/>
      <c r="J33" s="7"/>
      <c r="K33" s="7"/>
      <c r="L33" s="7"/>
      <c r="M33" s="8">
        <f>48</f>
        <v>48</v>
      </c>
      <c r="N33" s="8">
        <f t="shared" si="0"/>
        <v>0</v>
      </c>
      <c r="O33" s="8">
        <f>IF(COUNTIF(PARAMETRES_REGIMES!$A$3:$A$100,$A33)&gt;0,MIN(M33,SUM(F33:L33)*24),MIN(M33,SUM(F33:K33)*24))</f>
        <v>0</v>
      </c>
      <c r="P33" s="9">
        <f>IF(COUNTIF(PARAMETRES_REGIMES!$A$3:$A$100,$A33)&gt;0,FLOOR(MAX(SUM(F33:L33)*24-M33,0),0.5),FLOOR(MAX(SUM(F33:K33)*24-M33,0),0.5))</f>
        <v>0</v>
      </c>
      <c r="Q33" s="9">
        <f>IF(COUNTIF(PARAMETRES_REGIMES!$A$3:$A$100,$A33)&gt;0,0,IF(ISNUMBER(L33),FLOOR(MAX(L33*24,0),0.5),0))</f>
        <v>0</v>
      </c>
      <c r="R33" s="8">
        <f t="shared" si="1"/>
        <v>0</v>
      </c>
      <c r="S33" s="8">
        <f t="shared" si="2"/>
        <v>0</v>
      </c>
      <c r="T33" s="8">
        <f t="shared" si="3"/>
        <v>0</v>
      </c>
      <c r="U33" s="8">
        <f t="shared" si="4"/>
        <v>0</v>
      </c>
      <c r="V33" s="10" t="str">
        <f t="shared" si="5"/>
        <v>OK</v>
      </c>
    </row>
    <row r="34" spans="1:22">
      <c r="A34" s="17">
        <v>70</v>
      </c>
      <c r="B34" s="5" t="s">
        <v>104</v>
      </c>
      <c r="C34" s="5" t="s">
        <v>105</v>
      </c>
      <c r="D34" s="5" t="s">
        <v>92</v>
      </c>
      <c r="E34" s="5" t="s">
        <v>21</v>
      </c>
      <c r="F34" s="6"/>
      <c r="G34" s="7"/>
      <c r="H34" s="7"/>
      <c r="I34" s="7"/>
      <c r="J34" s="7"/>
      <c r="K34" s="7"/>
      <c r="L34" s="7"/>
      <c r="M34" s="8">
        <f>48</f>
        <v>48</v>
      </c>
      <c r="N34" s="8">
        <f t="shared" si="0"/>
        <v>0</v>
      </c>
      <c r="O34" s="8">
        <f>IF(COUNTIF(PARAMETRES_REGIMES!$A$3:$A$100,$A34)&gt;0,MIN(M34,SUM(F34:L34)*24),MIN(M34,SUM(F34:K34)*24))</f>
        <v>0</v>
      </c>
      <c r="P34" s="9">
        <f>IF(COUNTIF(PARAMETRES_REGIMES!$A$3:$A$100,$A34)&gt;0,FLOOR(MAX(SUM(F34:L34)*24-M34,0),0.5),FLOOR(MAX(SUM(F34:K34)*24-M34,0),0.5))</f>
        <v>0</v>
      </c>
      <c r="Q34" s="9">
        <f>IF(COUNTIF(PARAMETRES_REGIMES!$A$3:$A$100,$A34)&gt;0,0,IF(ISNUMBER(L34),FLOOR(MAX(L34*24,0),0.5),0))</f>
        <v>0</v>
      </c>
      <c r="R34" s="8">
        <f t="shared" si="1"/>
        <v>0</v>
      </c>
      <c r="S34" s="8">
        <f t="shared" si="2"/>
        <v>0</v>
      </c>
      <c r="T34" s="8">
        <f t="shared" si="3"/>
        <v>0</v>
      </c>
      <c r="U34" s="8">
        <f t="shared" si="4"/>
        <v>0</v>
      </c>
      <c r="V34" s="10" t="str">
        <f t="shared" si="5"/>
        <v>OK</v>
      </c>
    </row>
    <row r="35" spans="1:22">
      <c r="A35" s="17">
        <v>50</v>
      </c>
      <c r="B35" s="5" t="s">
        <v>106</v>
      </c>
      <c r="C35" s="5" t="s">
        <v>107</v>
      </c>
      <c r="D35" s="5" t="s">
        <v>92</v>
      </c>
      <c r="E35" s="5" t="s">
        <v>21</v>
      </c>
      <c r="F35" s="6"/>
      <c r="G35" s="7"/>
      <c r="H35" s="7"/>
      <c r="I35" s="7"/>
      <c r="J35" s="7"/>
      <c r="K35" s="7"/>
      <c r="L35" s="7"/>
      <c r="M35" s="8">
        <f>48</f>
        <v>48</v>
      </c>
      <c r="N35" s="8">
        <f t="shared" ref="N35:N66" si="6">SUM(F35:L35)*24</f>
        <v>0</v>
      </c>
      <c r="O35" s="8">
        <f>IF(COUNTIF(PARAMETRES_REGIMES!$A$3:$A$100,$A35)&gt;0,MIN(M35,SUM(F35:L35)*24),MIN(M35,SUM(F35:K35)*24))</f>
        <v>0</v>
      </c>
      <c r="P35" s="9">
        <f>IF(COUNTIF(PARAMETRES_REGIMES!$A$3:$A$100,$A35)&gt;0,FLOOR(MAX(SUM(F35:L35)*24-M35,0),0.5),FLOOR(MAX(SUM(F35:K35)*24-M35,0),0.5))</f>
        <v>0</v>
      </c>
      <c r="Q35" s="9">
        <f>IF(COUNTIF(PARAMETRES_REGIMES!$A$3:$A$100,$A35)&gt;0,0,IF(ISNUMBER(L35),FLOOR(MAX(L35*24,0),0.5),0))</f>
        <v>0</v>
      </c>
      <c r="R35" s="8">
        <f t="shared" ref="R35:R66" si="7">COUNTIF(F35:L35,"ABS")</f>
        <v>0</v>
      </c>
      <c r="S35" s="8">
        <f t="shared" ref="S35:S66" si="8">COUNTIF(F35:L35,"Congé")</f>
        <v>0</v>
      </c>
      <c r="T35" s="8">
        <f t="shared" ref="T35:T66" si="9">COUNTIF(F35:L35,"Férié")</f>
        <v>0</v>
      </c>
      <c r="U35" s="8">
        <f t="shared" ref="U35:U66" si="10">O35+P35+Q35+(T35*8.5)</f>
        <v>0</v>
      </c>
      <c r="V35" s="10" t="str">
        <f t="shared" ref="V35:V66" si="11">IF(COUNTIF(F35:L35,"STC")&gt;0,"STC",IF(COUNTIF(F35:L35,"*!*")&gt;0,"À vérifier","OK"))</f>
        <v>OK</v>
      </c>
    </row>
    <row r="36" spans="1:22">
      <c r="A36" s="17">
        <v>250</v>
      </c>
      <c r="B36" s="5" t="s">
        <v>108</v>
      </c>
      <c r="C36" s="5" t="s">
        <v>66</v>
      </c>
      <c r="D36" s="5" t="s">
        <v>92</v>
      </c>
      <c r="E36" s="5" t="s">
        <v>21</v>
      </c>
      <c r="F36" s="6"/>
      <c r="G36" s="7"/>
      <c r="H36" s="7"/>
      <c r="I36" s="7"/>
      <c r="J36" s="7"/>
      <c r="K36" s="7"/>
      <c r="L36" s="7"/>
      <c r="M36" s="8">
        <f>48</f>
        <v>48</v>
      </c>
      <c r="N36" s="8">
        <f t="shared" si="6"/>
        <v>0</v>
      </c>
      <c r="O36" s="8">
        <f>IF(COUNTIF(PARAMETRES_REGIMES!$A$3:$A$100,$A36)&gt;0,MIN(M36,SUM(F36:L36)*24),MIN(M36,SUM(F36:K36)*24))</f>
        <v>0</v>
      </c>
      <c r="P36" s="9">
        <f>IF(COUNTIF(PARAMETRES_REGIMES!$A$3:$A$100,$A36)&gt;0,FLOOR(MAX(SUM(F36:L36)*24-M36,0),0.5),FLOOR(MAX(SUM(F36:K36)*24-M36,0),0.5))</f>
        <v>0</v>
      </c>
      <c r="Q36" s="9">
        <f>IF(COUNTIF(PARAMETRES_REGIMES!$A$3:$A$100,$A36)&gt;0,0,IF(ISNUMBER(L36),FLOOR(MAX(L36*24,0),0.5),0))</f>
        <v>0</v>
      </c>
      <c r="R36" s="8">
        <f t="shared" si="7"/>
        <v>0</v>
      </c>
      <c r="S36" s="8">
        <f t="shared" si="8"/>
        <v>0</v>
      </c>
      <c r="T36" s="8">
        <f t="shared" si="9"/>
        <v>0</v>
      </c>
      <c r="U36" s="8">
        <f t="shared" si="10"/>
        <v>0</v>
      </c>
      <c r="V36" s="10" t="str">
        <f t="shared" si="11"/>
        <v>OK</v>
      </c>
    </row>
    <row r="37" spans="1:22">
      <c r="A37" s="17" t="s">
        <v>109</v>
      </c>
      <c r="B37" s="5" t="s">
        <v>110</v>
      </c>
      <c r="C37" s="5" t="s">
        <v>111</v>
      </c>
      <c r="D37" s="5" t="s">
        <v>92</v>
      </c>
      <c r="E37" s="5" t="s">
        <v>21</v>
      </c>
      <c r="F37" s="6"/>
      <c r="G37" s="7"/>
      <c r="H37" s="7"/>
      <c r="I37" s="7"/>
      <c r="J37" s="7"/>
      <c r="K37" s="7"/>
      <c r="L37" s="7"/>
      <c r="M37" s="8">
        <f>48</f>
        <v>48</v>
      </c>
      <c r="N37" s="8">
        <f t="shared" si="6"/>
        <v>0</v>
      </c>
      <c r="O37" s="8">
        <f>IF(COUNTIF(PARAMETRES_REGIMES!$A$3:$A$100,$A37)&gt;0,MIN(M37,SUM(F37:L37)*24),MIN(M37,SUM(F37:K37)*24))</f>
        <v>0</v>
      </c>
      <c r="P37" s="9">
        <f>IF(COUNTIF(PARAMETRES_REGIMES!$A$3:$A$100,$A37)&gt;0,FLOOR(MAX(SUM(F37:L37)*24-M37,0),0.5),FLOOR(MAX(SUM(F37:K37)*24-M37,0),0.5))</f>
        <v>0</v>
      </c>
      <c r="Q37" s="9">
        <f>IF(COUNTIF(PARAMETRES_REGIMES!$A$3:$A$100,$A37)&gt;0,0,IF(ISNUMBER(L37),FLOOR(MAX(L37*24,0),0.5),0))</f>
        <v>0</v>
      </c>
      <c r="R37" s="8">
        <f t="shared" si="7"/>
        <v>0</v>
      </c>
      <c r="S37" s="8">
        <f t="shared" si="8"/>
        <v>0</v>
      </c>
      <c r="T37" s="8">
        <f t="shared" si="9"/>
        <v>0</v>
      </c>
      <c r="U37" s="8">
        <f t="shared" si="10"/>
        <v>0</v>
      </c>
      <c r="V37" s="10" t="str">
        <f t="shared" si="11"/>
        <v>OK</v>
      </c>
    </row>
    <row r="38" spans="1:22">
      <c r="A38" s="17">
        <v>223</v>
      </c>
      <c r="B38" s="5" t="s">
        <v>112</v>
      </c>
      <c r="C38" s="5" t="s">
        <v>113</v>
      </c>
      <c r="D38" s="5" t="s">
        <v>92</v>
      </c>
      <c r="E38" s="5" t="s">
        <v>21</v>
      </c>
      <c r="F38" s="6"/>
      <c r="G38" s="7"/>
      <c r="H38" s="7"/>
      <c r="I38" s="7"/>
      <c r="J38" s="7"/>
      <c r="K38" s="7"/>
      <c r="L38" s="7"/>
      <c r="M38" s="8">
        <f>48</f>
        <v>48</v>
      </c>
      <c r="N38" s="8">
        <f t="shared" si="6"/>
        <v>0</v>
      </c>
      <c r="O38" s="8">
        <f>IF(COUNTIF(PARAMETRES_REGIMES!$A$3:$A$100,$A38)&gt;0,MIN(M38,SUM(F38:L38)*24),MIN(M38,SUM(F38:K38)*24))</f>
        <v>0</v>
      </c>
      <c r="P38" s="9">
        <f>IF(COUNTIF(PARAMETRES_REGIMES!$A$3:$A$100,$A38)&gt;0,FLOOR(MAX(SUM(F38:L38)*24-M38,0),0.5),FLOOR(MAX(SUM(F38:K38)*24-M38,0),0.5))</f>
        <v>0</v>
      </c>
      <c r="Q38" s="9">
        <f>IF(COUNTIF(PARAMETRES_REGIMES!$A$3:$A$100,$A38)&gt;0,0,IF(ISNUMBER(L38),FLOOR(MAX(L38*24,0),0.5),0))</f>
        <v>0</v>
      </c>
      <c r="R38" s="8">
        <f t="shared" si="7"/>
        <v>0</v>
      </c>
      <c r="S38" s="8">
        <f t="shared" si="8"/>
        <v>0</v>
      </c>
      <c r="T38" s="8">
        <f t="shared" si="9"/>
        <v>0</v>
      </c>
      <c r="U38" s="8">
        <f t="shared" si="10"/>
        <v>0</v>
      </c>
      <c r="V38" s="10" t="str">
        <f t="shared" si="11"/>
        <v>OK</v>
      </c>
    </row>
    <row r="39" spans="1:22">
      <c r="A39" s="17" t="s">
        <v>114</v>
      </c>
      <c r="B39" s="5" t="s">
        <v>115</v>
      </c>
      <c r="C39" s="5" t="s">
        <v>116</v>
      </c>
      <c r="D39" s="5" t="s">
        <v>92</v>
      </c>
      <c r="E39" s="5" t="s">
        <v>21</v>
      </c>
      <c r="F39" s="6"/>
      <c r="G39" s="7"/>
      <c r="H39" s="7"/>
      <c r="I39" s="7"/>
      <c r="J39" s="7"/>
      <c r="K39" s="7"/>
      <c r="L39" s="7"/>
      <c r="M39" s="8">
        <f>48</f>
        <v>48</v>
      </c>
      <c r="N39" s="8">
        <f t="shared" si="6"/>
        <v>0</v>
      </c>
      <c r="O39" s="8">
        <f>IF(COUNTIF(PARAMETRES_REGIMES!$A$3:$A$100,$A39)&gt;0,MIN(M39,SUM(F39:L39)*24),MIN(M39,SUM(F39:K39)*24))</f>
        <v>0</v>
      </c>
      <c r="P39" s="9">
        <f>IF(COUNTIF(PARAMETRES_REGIMES!$A$3:$A$100,$A39)&gt;0,FLOOR(MAX(SUM(F39:L39)*24-M39,0),0.5),FLOOR(MAX(SUM(F39:K39)*24-M39,0),0.5))</f>
        <v>0</v>
      </c>
      <c r="Q39" s="9">
        <f>IF(COUNTIF(PARAMETRES_REGIMES!$A$3:$A$100,$A39)&gt;0,0,IF(ISNUMBER(L39),FLOOR(MAX(L39*24,0),0.5),0))</f>
        <v>0</v>
      </c>
      <c r="R39" s="8">
        <f t="shared" si="7"/>
        <v>0</v>
      </c>
      <c r="S39" s="8">
        <f t="shared" si="8"/>
        <v>0</v>
      </c>
      <c r="T39" s="8">
        <f t="shared" si="9"/>
        <v>0</v>
      </c>
      <c r="U39" s="8">
        <f t="shared" si="10"/>
        <v>0</v>
      </c>
      <c r="V39" s="10" t="str">
        <f t="shared" si="11"/>
        <v>OK</v>
      </c>
    </row>
    <row r="40" spans="1:22">
      <c r="A40" s="17" t="s">
        <v>117</v>
      </c>
      <c r="B40" s="5" t="s">
        <v>118</v>
      </c>
      <c r="C40" s="5" t="s">
        <v>119</v>
      </c>
      <c r="D40" s="5" t="s">
        <v>92</v>
      </c>
      <c r="E40" s="5" t="s">
        <v>21</v>
      </c>
      <c r="F40" s="6"/>
      <c r="G40" s="7"/>
      <c r="H40" s="7"/>
      <c r="I40" s="7"/>
      <c r="J40" s="7"/>
      <c r="K40" s="7"/>
      <c r="L40" s="7"/>
      <c r="M40" s="8">
        <f>48</f>
        <v>48</v>
      </c>
      <c r="N40" s="8">
        <f t="shared" si="6"/>
        <v>0</v>
      </c>
      <c r="O40" s="8">
        <f>IF(COUNTIF(PARAMETRES_REGIMES!$A$3:$A$100,$A40)&gt;0,MIN(M40,SUM(F40:L40)*24),MIN(M40,SUM(F40:K40)*24))</f>
        <v>0</v>
      </c>
      <c r="P40" s="9">
        <f>IF(COUNTIF(PARAMETRES_REGIMES!$A$3:$A$100,$A40)&gt;0,FLOOR(MAX(SUM(F40:L40)*24-M40,0),0.5),FLOOR(MAX(SUM(F40:K40)*24-M40,0),0.5))</f>
        <v>0</v>
      </c>
      <c r="Q40" s="9">
        <f>IF(COUNTIF(PARAMETRES_REGIMES!$A$3:$A$100,$A40)&gt;0,0,IF(ISNUMBER(L40),FLOOR(MAX(L40*24,0),0.5),0))</f>
        <v>0</v>
      </c>
      <c r="R40" s="8">
        <f t="shared" si="7"/>
        <v>0</v>
      </c>
      <c r="S40" s="8">
        <f t="shared" si="8"/>
        <v>0</v>
      </c>
      <c r="T40" s="8">
        <f t="shared" si="9"/>
        <v>0</v>
      </c>
      <c r="U40" s="8">
        <f t="shared" si="10"/>
        <v>0</v>
      </c>
      <c r="V40" s="10" t="str">
        <f t="shared" si="11"/>
        <v>OK</v>
      </c>
    </row>
    <row r="41" spans="1:22">
      <c r="A41" s="17" t="s">
        <v>120</v>
      </c>
      <c r="B41" s="5" t="s">
        <v>121</v>
      </c>
      <c r="C41" s="5" t="s">
        <v>122</v>
      </c>
      <c r="D41" s="5" t="s">
        <v>31</v>
      </c>
      <c r="E41" s="5" t="s">
        <v>123</v>
      </c>
      <c r="F41" s="6"/>
      <c r="G41" s="7"/>
      <c r="H41" s="7"/>
      <c r="I41" s="7"/>
      <c r="J41" s="7"/>
      <c r="K41" s="7"/>
      <c r="L41" s="7"/>
      <c r="M41" s="8">
        <f>48</f>
        <v>48</v>
      </c>
      <c r="N41" s="8">
        <f t="shared" si="6"/>
        <v>0</v>
      </c>
      <c r="O41" s="8">
        <f>IF(COUNTIF(PARAMETRES_REGIMES!$A$3:$A$100,$A41)&gt;0,MIN(M41,SUM(F41:L41)*24),MIN(M41,SUM(F41:K41)*24))</f>
        <v>0</v>
      </c>
      <c r="P41" s="9">
        <f>IF(COUNTIF(PARAMETRES_REGIMES!$A$3:$A$100,$A41)&gt;0,FLOOR(MAX(SUM(F41:L41)*24-M41,0),0.5),FLOOR(MAX(SUM(F41:K41)*24-M41,0),0.5))</f>
        <v>0</v>
      </c>
      <c r="Q41" s="9">
        <f>IF(COUNTIF(PARAMETRES_REGIMES!$A$3:$A$100,$A41)&gt;0,0,IF(ISNUMBER(L41),FLOOR(MAX(L41*24,0),0.5),0))</f>
        <v>0</v>
      </c>
      <c r="R41" s="8">
        <f t="shared" si="7"/>
        <v>0</v>
      </c>
      <c r="S41" s="8">
        <f t="shared" si="8"/>
        <v>0</v>
      </c>
      <c r="T41" s="8">
        <f t="shared" si="9"/>
        <v>0</v>
      </c>
      <c r="U41" s="8">
        <f t="shared" si="10"/>
        <v>0</v>
      </c>
      <c r="V41" s="10" t="str">
        <f t="shared" si="11"/>
        <v>OK</v>
      </c>
    </row>
    <row r="42" spans="1:22">
      <c r="A42" s="17" t="s">
        <v>124</v>
      </c>
      <c r="B42" s="5" t="s">
        <v>68</v>
      </c>
      <c r="C42" s="5" t="s">
        <v>125</v>
      </c>
      <c r="D42" s="5" t="s">
        <v>31</v>
      </c>
      <c r="E42" s="5" t="s">
        <v>123</v>
      </c>
      <c r="F42" s="6"/>
      <c r="G42" s="7"/>
      <c r="H42" s="7"/>
      <c r="I42" s="7"/>
      <c r="J42" s="7"/>
      <c r="K42" s="7"/>
      <c r="L42" s="7"/>
      <c r="M42" s="8">
        <f>48</f>
        <v>48</v>
      </c>
      <c r="N42" s="8">
        <f t="shared" si="6"/>
        <v>0</v>
      </c>
      <c r="O42" s="8">
        <f>IF(COUNTIF(PARAMETRES_REGIMES!$A$3:$A$100,$A42)&gt;0,MIN(M42,SUM(F42:L42)*24),MIN(M42,SUM(F42:K42)*24))</f>
        <v>0</v>
      </c>
      <c r="P42" s="9">
        <f>IF(COUNTIF(PARAMETRES_REGIMES!$A$3:$A$100,$A42)&gt;0,FLOOR(MAX(SUM(F42:L42)*24-M42,0),0.5),FLOOR(MAX(SUM(F42:K42)*24-M42,0),0.5))</f>
        <v>0</v>
      </c>
      <c r="Q42" s="9">
        <f>IF(COUNTIF(PARAMETRES_REGIMES!$A$3:$A$100,$A42)&gt;0,0,IF(ISNUMBER(L42),FLOOR(MAX(L42*24,0),0.5),0))</f>
        <v>0</v>
      </c>
      <c r="R42" s="8">
        <f t="shared" si="7"/>
        <v>0</v>
      </c>
      <c r="S42" s="8">
        <f t="shared" si="8"/>
        <v>0</v>
      </c>
      <c r="T42" s="8">
        <f t="shared" si="9"/>
        <v>0</v>
      </c>
      <c r="U42" s="8">
        <f t="shared" si="10"/>
        <v>0</v>
      </c>
      <c r="V42" s="10" t="str">
        <f t="shared" si="11"/>
        <v>OK</v>
      </c>
    </row>
    <row r="43" spans="1:22">
      <c r="A43" s="17" t="s">
        <v>126</v>
      </c>
      <c r="B43" s="5" t="s">
        <v>127</v>
      </c>
      <c r="C43" s="5" t="s">
        <v>128</v>
      </c>
      <c r="D43" s="5" t="s">
        <v>31</v>
      </c>
      <c r="E43" s="5" t="s">
        <v>123</v>
      </c>
      <c r="F43" s="6"/>
      <c r="G43" s="7"/>
      <c r="H43" s="7"/>
      <c r="I43" s="7"/>
      <c r="J43" s="7"/>
      <c r="K43" s="7"/>
      <c r="L43" s="7"/>
      <c r="M43" s="8">
        <f>48</f>
        <v>48</v>
      </c>
      <c r="N43" s="8">
        <f t="shared" si="6"/>
        <v>0</v>
      </c>
      <c r="O43" s="8">
        <f>IF(COUNTIF(PARAMETRES_REGIMES!$A$3:$A$100,$A43)&gt;0,MIN(M43,SUM(F43:L43)*24),MIN(M43,SUM(F43:K43)*24))</f>
        <v>0</v>
      </c>
      <c r="P43" s="9">
        <f>IF(COUNTIF(PARAMETRES_REGIMES!$A$3:$A$100,$A43)&gt;0,FLOOR(MAX(SUM(F43:L43)*24-M43,0),0.5),FLOOR(MAX(SUM(F43:K43)*24-M43,0),0.5))</f>
        <v>0</v>
      </c>
      <c r="Q43" s="9">
        <f>IF(COUNTIF(PARAMETRES_REGIMES!$A$3:$A$100,$A43)&gt;0,0,IF(ISNUMBER(L43),FLOOR(MAX(L43*24,0),0.5),0))</f>
        <v>0</v>
      </c>
      <c r="R43" s="8">
        <f t="shared" si="7"/>
        <v>0</v>
      </c>
      <c r="S43" s="8">
        <f t="shared" si="8"/>
        <v>0</v>
      </c>
      <c r="T43" s="8">
        <f t="shared" si="9"/>
        <v>0</v>
      </c>
      <c r="U43" s="8">
        <f t="shared" si="10"/>
        <v>0</v>
      </c>
      <c r="V43" s="10" t="str">
        <f t="shared" si="11"/>
        <v>OK</v>
      </c>
    </row>
    <row r="44" spans="1:22">
      <c r="A44" s="17">
        <v>53</v>
      </c>
      <c r="B44" s="5" t="s">
        <v>129</v>
      </c>
      <c r="C44" s="5" t="s">
        <v>130</v>
      </c>
      <c r="D44" s="5" t="s">
        <v>31</v>
      </c>
      <c r="E44" s="5" t="s">
        <v>123</v>
      </c>
      <c r="F44" s="6"/>
      <c r="G44" s="7"/>
      <c r="H44" s="7"/>
      <c r="I44" s="7"/>
      <c r="J44" s="7"/>
      <c r="K44" s="7"/>
      <c r="L44" s="7"/>
      <c r="M44" s="8">
        <f>48</f>
        <v>48</v>
      </c>
      <c r="N44" s="8">
        <f t="shared" si="6"/>
        <v>0</v>
      </c>
      <c r="O44" s="8">
        <f>IF(COUNTIF(PARAMETRES_REGIMES!$A$3:$A$100,$A44)&gt;0,MIN(M44,SUM(F44:L44)*24),MIN(M44,SUM(F44:K44)*24))</f>
        <v>0</v>
      </c>
      <c r="P44" s="9">
        <f>IF(COUNTIF(PARAMETRES_REGIMES!$A$3:$A$100,$A44)&gt;0,FLOOR(MAX(SUM(F44:L44)*24-M44,0),0.5),FLOOR(MAX(SUM(F44:K44)*24-M44,0),0.5))</f>
        <v>0</v>
      </c>
      <c r="Q44" s="9">
        <f>IF(COUNTIF(PARAMETRES_REGIMES!$A$3:$A$100,$A44)&gt;0,0,IF(ISNUMBER(L44),FLOOR(MAX(L44*24,0),0.5),0))</f>
        <v>0</v>
      </c>
      <c r="R44" s="8">
        <f t="shared" si="7"/>
        <v>0</v>
      </c>
      <c r="S44" s="8">
        <f t="shared" si="8"/>
        <v>0</v>
      </c>
      <c r="T44" s="8">
        <f t="shared" si="9"/>
        <v>0</v>
      </c>
      <c r="U44" s="8">
        <f t="shared" si="10"/>
        <v>0</v>
      </c>
      <c r="V44" s="10" t="str">
        <f t="shared" si="11"/>
        <v>OK</v>
      </c>
    </row>
    <row r="45" spans="1:22">
      <c r="A45" s="17" t="s">
        <v>131</v>
      </c>
      <c r="B45" s="5" t="s">
        <v>132</v>
      </c>
      <c r="C45" s="5" t="s">
        <v>133</v>
      </c>
      <c r="D45" s="5" t="s">
        <v>31</v>
      </c>
      <c r="E45" s="5" t="s">
        <v>123</v>
      </c>
      <c r="F45" s="6"/>
      <c r="G45" s="7"/>
      <c r="H45" s="7"/>
      <c r="I45" s="7"/>
      <c r="J45" s="7"/>
      <c r="K45" s="7"/>
      <c r="L45" s="7"/>
      <c r="M45" s="8">
        <f>48</f>
        <v>48</v>
      </c>
      <c r="N45" s="8">
        <f t="shared" si="6"/>
        <v>0</v>
      </c>
      <c r="O45" s="8">
        <f>IF(COUNTIF(PARAMETRES_REGIMES!$A$3:$A$100,$A45)&gt;0,MIN(M45,SUM(F45:L45)*24),MIN(M45,SUM(F45:K45)*24))</f>
        <v>0</v>
      </c>
      <c r="P45" s="9">
        <f>IF(COUNTIF(PARAMETRES_REGIMES!$A$3:$A$100,$A45)&gt;0,FLOOR(MAX(SUM(F45:L45)*24-M45,0),0.5),FLOOR(MAX(SUM(F45:K45)*24-M45,0),0.5))</f>
        <v>0</v>
      </c>
      <c r="Q45" s="9">
        <f>IF(COUNTIF(PARAMETRES_REGIMES!$A$3:$A$100,$A45)&gt;0,0,IF(ISNUMBER(L45),FLOOR(MAX(L45*24,0),0.5),0))</f>
        <v>0</v>
      </c>
      <c r="R45" s="8">
        <f t="shared" si="7"/>
        <v>0</v>
      </c>
      <c r="S45" s="8">
        <f t="shared" si="8"/>
        <v>0</v>
      </c>
      <c r="T45" s="8">
        <f t="shared" si="9"/>
        <v>0</v>
      </c>
      <c r="U45" s="8">
        <f t="shared" si="10"/>
        <v>0</v>
      </c>
      <c r="V45" s="10" t="str">
        <f t="shared" si="11"/>
        <v>OK</v>
      </c>
    </row>
    <row r="46" spans="1:22">
      <c r="A46" s="17" t="s">
        <v>134</v>
      </c>
      <c r="B46" s="5" t="s">
        <v>135</v>
      </c>
      <c r="C46" s="5" t="s">
        <v>136</v>
      </c>
      <c r="D46" s="5" t="s">
        <v>31</v>
      </c>
      <c r="E46" s="5" t="s">
        <v>123</v>
      </c>
      <c r="F46" s="6"/>
      <c r="G46" s="7"/>
      <c r="H46" s="7"/>
      <c r="I46" s="7"/>
      <c r="J46" s="7"/>
      <c r="K46" s="7"/>
      <c r="L46" s="7"/>
      <c r="M46" s="8">
        <f>48</f>
        <v>48</v>
      </c>
      <c r="N46" s="8">
        <f t="shared" si="6"/>
        <v>0</v>
      </c>
      <c r="O46" s="8">
        <f>IF(COUNTIF(PARAMETRES_REGIMES!$A$3:$A$100,$A46)&gt;0,MIN(M46,SUM(F46:L46)*24),MIN(M46,SUM(F46:K46)*24))</f>
        <v>0</v>
      </c>
      <c r="P46" s="9">
        <f>IF(COUNTIF(PARAMETRES_REGIMES!$A$3:$A$100,$A46)&gt;0,FLOOR(MAX(SUM(F46:L46)*24-M46,0),0.5),FLOOR(MAX(SUM(F46:K46)*24-M46,0),0.5))</f>
        <v>0</v>
      </c>
      <c r="Q46" s="9">
        <f>IF(COUNTIF(PARAMETRES_REGIMES!$A$3:$A$100,$A46)&gt;0,0,IF(ISNUMBER(L46),FLOOR(MAX(L46*24,0),0.5),0))</f>
        <v>0</v>
      </c>
      <c r="R46" s="8">
        <f t="shared" si="7"/>
        <v>0</v>
      </c>
      <c r="S46" s="8">
        <f t="shared" si="8"/>
        <v>0</v>
      </c>
      <c r="T46" s="8">
        <f t="shared" si="9"/>
        <v>0</v>
      </c>
      <c r="U46" s="8">
        <f t="shared" si="10"/>
        <v>0</v>
      </c>
      <c r="V46" s="10" t="str">
        <f t="shared" si="11"/>
        <v>OK</v>
      </c>
    </row>
    <row r="47" spans="1:22">
      <c r="A47" s="17" t="s">
        <v>137</v>
      </c>
      <c r="B47" s="5" t="s">
        <v>138</v>
      </c>
      <c r="C47" s="5" t="s">
        <v>139</v>
      </c>
      <c r="D47" s="5" t="s">
        <v>31</v>
      </c>
      <c r="E47" s="5" t="s">
        <v>123</v>
      </c>
      <c r="F47" s="6"/>
      <c r="G47" s="7"/>
      <c r="H47" s="7"/>
      <c r="I47" s="7"/>
      <c r="J47" s="7"/>
      <c r="K47" s="7"/>
      <c r="L47" s="7"/>
      <c r="M47" s="8">
        <f>48</f>
        <v>48</v>
      </c>
      <c r="N47" s="8">
        <f t="shared" si="6"/>
        <v>0</v>
      </c>
      <c r="O47" s="8">
        <f>IF(COUNTIF(PARAMETRES_REGIMES!$A$3:$A$100,$A47)&gt;0,MIN(M47,SUM(F47:L47)*24),MIN(M47,SUM(F47:K47)*24))</f>
        <v>0</v>
      </c>
      <c r="P47" s="9">
        <f>IF(COUNTIF(PARAMETRES_REGIMES!$A$3:$A$100,$A47)&gt;0,FLOOR(MAX(SUM(F47:L47)*24-M47,0),0.5),FLOOR(MAX(SUM(F47:K47)*24-M47,0),0.5))</f>
        <v>0</v>
      </c>
      <c r="Q47" s="9">
        <f>IF(COUNTIF(PARAMETRES_REGIMES!$A$3:$A$100,$A47)&gt;0,0,IF(ISNUMBER(L47),FLOOR(MAX(L47*24,0),0.5),0))</f>
        <v>0</v>
      </c>
      <c r="R47" s="8">
        <f t="shared" si="7"/>
        <v>0</v>
      </c>
      <c r="S47" s="8">
        <f t="shared" si="8"/>
        <v>0</v>
      </c>
      <c r="T47" s="8">
        <f t="shared" si="9"/>
        <v>0</v>
      </c>
      <c r="U47" s="8">
        <f t="shared" si="10"/>
        <v>0</v>
      </c>
      <c r="V47" s="10" t="str">
        <f t="shared" si="11"/>
        <v>OK</v>
      </c>
    </row>
    <row r="48" spans="1:22">
      <c r="A48" s="17" t="s">
        <v>140</v>
      </c>
      <c r="B48" s="5" t="s">
        <v>141</v>
      </c>
      <c r="C48" s="5" t="s">
        <v>142</v>
      </c>
      <c r="D48" s="5" t="s">
        <v>31</v>
      </c>
      <c r="E48" s="5" t="s">
        <v>123</v>
      </c>
      <c r="F48" s="6"/>
      <c r="G48" s="7"/>
      <c r="H48" s="7"/>
      <c r="I48" s="7"/>
      <c r="J48" s="7"/>
      <c r="K48" s="7"/>
      <c r="L48" s="7"/>
      <c r="M48" s="8">
        <f>48</f>
        <v>48</v>
      </c>
      <c r="N48" s="8">
        <f t="shared" si="6"/>
        <v>0</v>
      </c>
      <c r="O48" s="8">
        <f>IF(COUNTIF(PARAMETRES_REGIMES!$A$3:$A$100,$A48)&gt;0,MIN(M48,SUM(F48:L48)*24),MIN(M48,SUM(F48:K48)*24))</f>
        <v>0</v>
      </c>
      <c r="P48" s="9">
        <f>IF(COUNTIF(PARAMETRES_REGIMES!$A$3:$A$100,$A48)&gt;0,FLOOR(MAX(SUM(F48:L48)*24-M48,0),0.5),FLOOR(MAX(SUM(F48:K48)*24-M48,0),0.5))</f>
        <v>0</v>
      </c>
      <c r="Q48" s="9">
        <f>IF(COUNTIF(PARAMETRES_REGIMES!$A$3:$A$100,$A48)&gt;0,0,IF(ISNUMBER(L48),FLOOR(MAX(L48*24,0),0.5),0))</f>
        <v>0</v>
      </c>
      <c r="R48" s="8">
        <f t="shared" si="7"/>
        <v>0</v>
      </c>
      <c r="S48" s="8">
        <f t="shared" si="8"/>
        <v>0</v>
      </c>
      <c r="T48" s="8">
        <f t="shared" si="9"/>
        <v>0</v>
      </c>
      <c r="U48" s="8">
        <f t="shared" si="10"/>
        <v>0</v>
      </c>
      <c r="V48" s="10" t="str">
        <f t="shared" si="11"/>
        <v>OK</v>
      </c>
    </row>
    <row r="49" spans="1:22">
      <c r="A49" s="17" t="s">
        <v>143</v>
      </c>
      <c r="B49" s="5" t="s">
        <v>144</v>
      </c>
      <c r="C49" s="5" t="s">
        <v>145</v>
      </c>
      <c r="D49" s="5" t="s">
        <v>31</v>
      </c>
      <c r="E49" s="5" t="s">
        <v>123</v>
      </c>
      <c r="F49" s="6"/>
      <c r="G49" s="7"/>
      <c r="H49" s="7"/>
      <c r="I49" s="7"/>
      <c r="J49" s="7"/>
      <c r="K49" s="7"/>
      <c r="L49" s="7"/>
      <c r="M49" s="8">
        <f>48</f>
        <v>48</v>
      </c>
      <c r="N49" s="8">
        <f t="shared" si="6"/>
        <v>0</v>
      </c>
      <c r="O49" s="8">
        <f>IF(COUNTIF(PARAMETRES_REGIMES!$A$3:$A$100,$A49)&gt;0,MIN(M49,SUM(F49:L49)*24),MIN(M49,SUM(F49:K49)*24))</f>
        <v>0</v>
      </c>
      <c r="P49" s="9">
        <f>IF(COUNTIF(PARAMETRES_REGIMES!$A$3:$A$100,$A49)&gt;0,FLOOR(MAX(SUM(F49:L49)*24-M49,0),0.5),FLOOR(MAX(SUM(F49:K49)*24-M49,0),0.5))</f>
        <v>0</v>
      </c>
      <c r="Q49" s="9">
        <f>IF(COUNTIF(PARAMETRES_REGIMES!$A$3:$A$100,$A49)&gt;0,0,IF(ISNUMBER(L49),FLOOR(MAX(L49*24,0),0.5),0))</f>
        <v>0</v>
      </c>
      <c r="R49" s="8">
        <f t="shared" si="7"/>
        <v>0</v>
      </c>
      <c r="S49" s="8">
        <f t="shared" si="8"/>
        <v>0</v>
      </c>
      <c r="T49" s="8">
        <f t="shared" si="9"/>
        <v>0</v>
      </c>
      <c r="U49" s="8">
        <f t="shared" si="10"/>
        <v>0</v>
      </c>
      <c r="V49" s="10" t="str">
        <f t="shared" si="11"/>
        <v>OK</v>
      </c>
    </row>
    <row r="50" spans="1:22">
      <c r="A50" s="17" t="s">
        <v>146</v>
      </c>
      <c r="B50" s="5" t="s">
        <v>147</v>
      </c>
      <c r="C50" s="5" t="s">
        <v>148</v>
      </c>
      <c r="D50" s="5" t="s">
        <v>31</v>
      </c>
      <c r="E50" s="5" t="s">
        <v>123</v>
      </c>
      <c r="F50" s="6"/>
      <c r="G50" s="7"/>
      <c r="H50" s="7"/>
      <c r="I50" s="7"/>
      <c r="J50" s="7"/>
      <c r="K50" s="7"/>
      <c r="L50" s="7"/>
      <c r="M50" s="8">
        <f>48</f>
        <v>48</v>
      </c>
      <c r="N50" s="8">
        <f t="shared" si="6"/>
        <v>0</v>
      </c>
      <c r="O50" s="8">
        <f>IF(COUNTIF(PARAMETRES_REGIMES!$A$3:$A$100,$A50)&gt;0,MIN(M50,SUM(F50:L50)*24),MIN(M50,SUM(F50:K50)*24))</f>
        <v>0</v>
      </c>
      <c r="P50" s="9">
        <f>IF(COUNTIF(PARAMETRES_REGIMES!$A$3:$A$100,$A50)&gt;0,FLOOR(MAX(SUM(F50:L50)*24-M50,0),0.5),FLOOR(MAX(SUM(F50:K50)*24-M50,0),0.5))</f>
        <v>0</v>
      </c>
      <c r="Q50" s="9">
        <f>IF(COUNTIF(PARAMETRES_REGIMES!$A$3:$A$100,$A50)&gt;0,0,IF(ISNUMBER(L50),FLOOR(MAX(L50*24,0),0.5),0))</f>
        <v>0</v>
      </c>
      <c r="R50" s="8">
        <f t="shared" si="7"/>
        <v>0</v>
      </c>
      <c r="S50" s="8">
        <f t="shared" si="8"/>
        <v>0</v>
      </c>
      <c r="T50" s="8">
        <f t="shared" si="9"/>
        <v>0</v>
      </c>
      <c r="U50" s="8">
        <f t="shared" si="10"/>
        <v>0</v>
      </c>
      <c r="V50" s="10" t="str">
        <f t="shared" si="11"/>
        <v>OK</v>
      </c>
    </row>
    <row r="51" spans="1:22">
      <c r="A51" s="17" t="s">
        <v>149</v>
      </c>
      <c r="B51" s="5" t="s">
        <v>150</v>
      </c>
      <c r="C51" s="5" t="s">
        <v>151</v>
      </c>
      <c r="D51" s="5" t="s">
        <v>31</v>
      </c>
      <c r="E51" s="5" t="s">
        <v>123</v>
      </c>
      <c r="F51" s="6"/>
      <c r="G51" s="7"/>
      <c r="H51" s="7"/>
      <c r="I51" s="7"/>
      <c r="J51" s="7"/>
      <c r="K51" s="7"/>
      <c r="L51" s="7"/>
      <c r="M51" s="8">
        <f>48</f>
        <v>48</v>
      </c>
      <c r="N51" s="8">
        <f t="shared" si="6"/>
        <v>0</v>
      </c>
      <c r="O51" s="8">
        <f>IF(COUNTIF(PARAMETRES_REGIMES!$A$3:$A$100,$A51)&gt;0,MIN(M51,SUM(F51:L51)*24),MIN(M51,SUM(F51:K51)*24))</f>
        <v>0</v>
      </c>
      <c r="P51" s="9">
        <f>IF(COUNTIF(PARAMETRES_REGIMES!$A$3:$A$100,$A51)&gt;0,FLOOR(MAX(SUM(F51:L51)*24-M51,0),0.5),FLOOR(MAX(SUM(F51:K51)*24-M51,0),0.5))</f>
        <v>0</v>
      </c>
      <c r="Q51" s="9">
        <f>IF(COUNTIF(PARAMETRES_REGIMES!$A$3:$A$100,$A51)&gt;0,0,IF(ISNUMBER(L51),FLOOR(MAX(L51*24,0),0.5),0))</f>
        <v>0</v>
      </c>
      <c r="R51" s="8">
        <f t="shared" si="7"/>
        <v>0</v>
      </c>
      <c r="S51" s="8">
        <f t="shared" si="8"/>
        <v>0</v>
      </c>
      <c r="T51" s="8">
        <f t="shared" si="9"/>
        <v>0</v>
      </c>
      <c r="U51" s="8">
        <f t="shared" si="10"/>
        <v>0</v>
      </c>
      <c r="V51" s="10" t="str">
        <f t="shared" si="11"/>
        <v>OK</v>
      </c>
    </row>
    <row r="52" spans="1:22">
      <c r="A52" s="17" t="s">
        <v>114</v>
      </c>
      <c r="B52" s="5" t="s">
        <v>150</v>
      </c>
      <c r="C52" s="5" t="s">
        <v>152</v>
      </c>
      <c r="D52" s="5" t="s">
        <v>31</v>
      </c>
      <c r="E52" s="5" t="s">
        <v>123</v>
      </c>
      <c r="F52" s="6"/>
      <c r="G52" s="7"/>
      <c r="H52" s="7"/>
      <c r="I52" s="7"/>
      <c r="J52" s="7"/>
      <c r="K52" s="7"/>
      <c r="L52" s="7"/>
      <c r="M52" s="8">
        <f>48</f>
        <v>48</v>
      </c>
      <c r="N52" s="8">
        <f t="shared" si="6"/>
        <v>0</v>
      </c>
      <c r="O52" s="8">
        <f>IF(COUNTIF(PARAMETRES_REGIMES!$A$3:$A$100,$A52)&gt;0,MIN(M52,SUM(F52:L52)*24),MIN(M52,SUM(F52:K52)*24))</f>
        <v>0</v>
      </c>
      <c r="P52" s="9">
        <f>IF(COUNTIF(PARAMETRES_REGIMES!$A$3:$A$100,$A52)&gt;0,FLOOR(MAX(SUM(F52:L52)*24-M52,0),0.5),FLOOR(MAX(SUM(F52:K52)*24-M52,0),0.5))</f>
        <v>0</v>
      </c>
      <c r="Q52" s="9">
        <f>IF(COUNTIF(PARAMETRES_REGIMES!$A$3:$A$100,$A52)&gt;0,0,IF(ISNUMBER(L52),FLOOR(MAX(L52*24,0),0.5),0))</f>
        <v>0</v>
      </c>
      <c r="R52" s="8">
        <f t="shared" si="7"/>
        <v>0</v>
      </c>
      <c r="S52" s="8">
        <f t="shared" si="8"/>
        <v>0</v>
      </c>
      <c r="T52" s="8">
        <f t="shared" si="9"/>
        <v>0</v>
      </c>
      <c r="U52" s="8">
        <f t="shared" si="10"/>
        <v>0</v>
      </c>
      <c r="V52" s="10" t="str">
        <f t="shared" si="11"/>
        <v>OK</v>
      </c>
    </row>
    <row r="53" spans="1:22">
      <c r="A53" s="17">
        <v>177</v>
      </c>
      <c r="B53" s="5" t="s">
        <v>153</v>
      </c>
      <c r="C53" s="5" t="s">
        <v>154</v>
      </c>
      <c r="D53" s="5" t="s">
        <v>31</v>
      </c>
      <c r="E53" s="5" t="s">
        <v>123</v>
      </c>
      <c r="F53" s="6"/>
      <c r="G53" s="7"/>
      <c r="H53" s="7"/>
      <c r="I53" s="7"/>
      <c r="J53" s="7"/>
      <c r="K53" s="7"/>
      <c r="L53" s="7"/>
      <c r="M53" s="8">
        <f>48</f>
        <v>48</v>
      </c>
      <c r="N53" s="8">
        <f t="shared" si="6"/>
        <v>0</v>
      </c>
      <c r="O53" s="8">
        <f>IF(COUNTIF(PARAMETRES_REGIMES!$A$3:$A$100,$A53)&gt;0,MIN(M53,SUM(F53:L53)*24),MIN(M53,SUM(F53:K53)*24))</f>
        <v>0</v>
      </c>
      <c r="P53" s="9">
        <f>IF(COUNTIF(PARAMETRES_REGIMES!$A$3:$A$100,$A53)&gt;0,FLOOR(MAX(SUM(F53:L53)*24-M53,0),0.5),FLOOR(MAX(SUM(F53:K53)*24-M53,0),0.5))</f>
        <v>0</v>
      </c>
      <c r="Q53" s="9">
        <f>IF(COUNTIF(PARAMETRES_REGIMES!$A$3:$A$100,$A53)&gt;0,0,IF(ISNUMBER(L53),FLOOR(MAX(L53*24,0),0.5),0))</f>
        <v>0</v>
      </c>
      <c r="R53" s="8">
        <f t="shared" si="7"/>
        <v>0</v>
      </c>
      <c r="S53" s="8">
        <f t="shared" si="8"/>
        <v>0</v>
      </c>
      <c r="T53" s="8">
        <f t="shared" si="9"/>
        <v>0</v>
      </c>
      <c r="U53" s="8">
        <f t="shared" si="10"/>
        <v>0</v>
      </c>
      <c r="V53" s="10" t="str">
        <f t="shared" si="11"/>
        <v>OK</v>
      </c>
    </row>
    <row r="54" spans="1:22">
      <c r="A54" s="17" t="s">
        <v>155</v>
      </c>
      <c r="B54" s="5" t="s">
        <v>156</v>
      </c>
      <c r="C54" s="5" t="s">
        <v>154</v>
      </c>
      <c r="D54" s="5" t="s">
        <v>31</v>
      </c>
      <c r="E54" s="5" t="s">
        <v>123</v>
      </c>
      <c r="F54" s="6"/>
      <c r="G54" s="7"/>
      <c r="H54" s="7"/>
      <c r="I54" s="7"/>
      <c r="J54" s="7"/>
      <c r="K54" s="7"/>
      <c r="L54" s="7"/>
      <c r="M54" s="8">
        <f>48</f>
        <v>48</v>
      </c>
      <c r="N54" s="8">
        <f t="shared" si="6"/>
        <v>0</v>
      </c>
      <c r="O54" s="8">
        <f>IF(COUNTIF(PARAMETRES_REGIMES!$A$3:$A$100,$A54)&gt;0,MIN(M54,SUM(F54:L54)*24),MIN(M54,SUM(F54:K54)*24))</f>
        <v>0</v>
      </c>
      <c r="P54" s="9">
        <f>IF(COUNTIF(PARAMETRES_REGIMES!$A$3:$A$100,$A54)&gt;0,FLOOR(MAX(SUM(F54:L54)*24-M54,0),0.5),FLOOR(MAX(SUM(F54:K54)*24-M54,0),0.5))</f>
        <v>0</v>
      </c>
      <c r="Q54" s="9">
        <f>IF(COUNTIF(PARAMETRES_REGIMES!$A$3:$A$100,$A54)&gt;0,0,IF(ISNUMBER(L54),FLOOR(MAX(L54*24,0),0.5),0))</f>
        <v>0</v>
      </c>
      <c r="R54" s="8">
        <f t="shared" si="7"/>
        <v>0</v>
      </c>
      <c r="S54" s="8">
        <f t="shared" si="8"/>
        <v>0</v>
      </c>
      <c r="T54" s="8">
        <f t="shared" si="9"/>
        <v>0</v>
      </c>
      <c r="U54" s="8">
        <f t="shared" si="10"/>
        <v>0</v>
      </c>
      <c r="V54" s="10" t="str">
        <f t="shared" si="11"/>
        <v>OK</v>
      </c>
    </row>
    <row r="55" spans="1:22">
      <c r="A55" s="17" t="s">
        <v>157</v>
      </c>
      <c r="B55" s="5" t="s">
        <v>158</v>
      </c>
      <c r="C55" s="5" t="s">
        <v>159</v>
      </c>
      <c r="D55" s="5" t="s">
        <v>31</v>
      </c>
      <c r="E55" s="5" t="s">
        <v>123</v>
      </c>
      <c r="F55" s="6"/>
      <c r="G55" s="7"/>
      <c r="H55" s="7"/>
      <c r="I55" s="7"/>
      <c r="J55" s="7"/>
      <c r="K55" s="7"/>
      <c r="L55" s="7"/>
      <c r="M55" s="8">
        <f>48</f>
        <v>48</v>
      </c>
      <c r="N55" s="8">
        <f t="shared" si="6"/>
        <v>0</v>
      </c>
      <c r="O55" s="8">
        <f>IF(COUNTIF(PARAMETRES_REGIMES!$A$3:$A$100,$A55)&gt;0,MIN(M55,SUM(F55:L55)*24),MIN(M55,SUM(F55:K55)*24))</f>
        <v>0</v>
      </c>
      <c r="P55" s="9">
        <f>IF(COUNTIF(PARAMETRES_REGIMES!$A$3:$A$100,$A55)&gt;0,FLOOR(MAX(SUM(F55:L55)*24-M55,0),0.5),FLOOR(MAX(SUM(F55:K55)*24-M55,0),0.5))</f>
        <v>0</v>
      </c>
      <c r="Q55" s="9">
        <f>IF(COUNTIF(PARAMETRES_REGIMES!$A$3:$A$100,$A55)&gt;0,0,IF(ISNUMBER(L55),FLOOR(MAX(L55*24,0),0.5),0))</f>
        <v>0</v>
      </c>
      <c r="R55" s="8">
        <f t="shared" si="7"/>
        <v>0</v>
      </c>
      <c r="S55" s="8">
        <f t="shared" si="8"/>
        <v>0</v>
      </c>
      <c r="T55" s="8">
        <f t="shared" si="9"/>
        <v>0</v>
      </c>
      <c r="U55" s="8">
        <f t="shared" si="10"/>
        <v>0</v>
      </c>
      <c r="V55" s="10" t="str">
        <f t="shared" si="11"/>
        <v>OK</v>
      </c>
    </row>
    <row r="56" spans="1:22">
      <c r="A56" s="17">
        <v>163</v>
      </c>
      <c r="B56" s="5" t="s">
        <v>160</v>
      </c>
      <c r="C56" s="5" t="s">
        <v>161</v>
      </c>
      <c r="D56" s="5" t="s">
        <v>31</v>
      </c>
      <c r="E56" s="5" t="s">
        <v>123</v>
      </c>
      <c r="F56" s="6"/>
      <c r="G56" s="7"/>
      <c r="H56" s="7"/>
      <c r="I56" s="7"/>
      <c r="J56" s="7"/>
      <c r="K56" s="7"/>
      <c r="L56" s="7"/>
      <c r="M56" s="8">
        <f>48</f>
        <v>48</v>
      </c>
      <c r="N56" s="8">
        <f t="shared" si="6"/>
        <v>0</v>
      </c>
      <c r="O56" s="8">
        <f>IF(COUNTIF(PARAMETRES_REGIMES!$A$3:$A$100,$A56)&gt;0,MIN(M56,SUM(F56:L56)*24),MIN(M56,SUM(F56:K56)*24))</f>
        <v>0</v>
      </c>
      <c r="P56" s="9">
        <f>IF(COUNTIF(PARAMETRES_REGIMES!$A$3:$A$100,$A56)&gt;0,FLOOR(MAX(SUM(F56:L56)*24-M56,0),0.5),FLOOR(MAX(SUM(F56:K56)*24-M56,0),0.5))</f>
        <v>0</v>
      </c>
      <c r="Q56" s="9">
        <f>IF(COUNTIF(PARAMETRES_REGIMES!$A$3:$A$100,$A56)&gt;0,0,IF(ISNUMBER(L56),FLOOR(MAX(L56*24,0),0.5),0))</f>
        <v>0</v>
      </c>
      <c r="R56" s="8">
        <f t="shared" si="7"/>
        <v>0</v>
      </c>
      <c r="S56" s="8">
        <f t="shared" si="8"/>
        <v>0</v>
      </c>
      <c r="T56" s="8">
        <f t="shared" si="9"/>
        <v>0</v>
      </c>
      <c r="U56" s="8">
        <f t="shared" si="10"/>
        <v>0</v>
      </c>
      <c r="V56" s="10" t="str">
        <f t="shared" si="11"/>
        <v>OK</v>
      </c>
    </row>
    <row r="57" spans="1:22">
      <c r="A57" s="17">
        <v>240</v>
      </c>
      <c r="B57" s="5" t="s">
        <v>162</v>
      </c>
      <c r="C57" s="5" t="s">
        <v>163</v>
      </c>
      <c r="D57" s="5" t="s">
        <v>31</v>
      </c>
      <c r="E57" s="5" t="s">
        <v>123</v>
      </c>
      <c r="F57" s="6"/>
      <c r="G57" s="7"/>
      <c r="H57" s="7"/>
      <c r="I57" s="7"/>
      <c r="J57" s="7"/>
      <c r="K57" s="7"/>
      <c r="L57" s="7"/>
      <c r="M57" s="8">
        <f>48</f>
        <v>48</v>
      </c>
      <c r="N57" s="8">
        <f t="shared" si="6"/>
        <v>0</v>
      </c>
      <c r="O57" s="8">
        <f>IF(COUNTIF(PARAMETRES_REGIMES!$A$3:$A$100,$A57)&gt;0,MIN(M57,SUM(F57:L57)*24),MIN(M57,SUM(F57:K57)*24))</f>
        <v>0</v>
      </c>
      <c r="P57" s="9">
        <f>IF(COUNTIF(PARAMETRES_REGIMES!$A$3:$A$100,$A57)&gt;0,FLOOR(MAX(SUM(F57:L57)*24-M57,0),0.5),FLOOR(MAX(SUM(F57:K57)*24-M57,0),0.5))</f>
        <v>0</v>
      </c>
      <c r="Q57" s="9">
        <f>IF(COUNTIF(PARAMETRES_REGIMES!$A$3:$A$100,$A57)&gt;0,0,IF(ISNUMBER(L57),FLOOR(MAX(L57*24,0),0.5),0))</f>
        <v>0</v>
      </c>
      <c r="R57" s="8">
        <f t="shared" si="7"/>
        <v>0</v>
      </c>
      <c r="S57" s="8">
        <f t="shared" si="8"/>
        <v>0</v>
      </c>
      <c r="T57" s="8">
        <f t="shared" si="9"/>
        <v>0</v>
      </c>
      <c r="U57" s="8">
        <f t="shared" si="10"/>
        <v>0</v>
      </c>
      <c r="V57" s="10" t="str">
        <f t="shared" si="11"/>
        <v>OK</v>
      </c>
    </row>
    <row r="58" spans="1:22">
      <c r="A58" s="17" t="s">
        <v>164</v>
      </c>
      <c r="B58" s="5" t="s">
        <v>165</v>
      </c>
      <c r="C58" s="5" t="s">
        <v>166</v>
      </c>
      <c r="D58" s="5" t="s">
        <v>31</v>
      </c>
      <c r="E58" s="5" t="s">
        <v>123</v>
      </c>
      <c r="F58" s="6"/>
      <c r="G58" s="7"/>
      <c r="H58" s="7"/>
      <c r="I58" s="7"/>
      <c r="J58" s="7"/>
      <c r="K58" s="7"/>
      <c r="L58" s="7"/>
      <c r="M58" s="8">
        <f>48</f>
        <v>48</v>
      </c>
      <c r="N58" s="8">
        <f t="shared" si="6"/>
        <v>0</v>
      </c>
      <c r="O58" s="8">
        <f>IF(COUNTIF(PARAMETRES_REGIMES!$A$3:$A$100,$A58)&gt;0,MIN(M58,SUM(F58:L58)*24),MIN(M58,SUM(F58:K58)*24))</f>
        <v>0</v>
      </c>
      <c r="P58" s="9">
        <f>IF(COUNTIF(PARAMETRES_REGIMES!$A$3:$A$100,$A58)&gt;0,FLOOR(MAX(SUM(F58:L58)*24-M58,0),0.5),FLOOR(MAX(SUM(F58:K58)*24-M58,0),0.5))</f>
        <v>0</v>
      </c>
      <c r="Q58" s="9">
        <f>IF(COUNTIF(PARAMETRES_REGIMES!$A$3:$A$100,$A58)&gt;0,0,IF(ISNUMBER(L58),FLOOR(MAX(L58*24,0),0.5),0))</f>
        <v>0</v>
      </c>
      <c r="R58" s="8">
        <f t="shared" si="7"/>
        <v>0</v>
      </c>
      <c r="S58" s="8">
        <f t="shared" si="8"/>
        <v>0</v>
      </c>
      <c r="T58" s="8">
        <f t="shared" si="9"/>
        <v>0</v>
      </c>
      <c r="U58" s="8">
        <f t="shared" si="10"/>
        <v>0</v>
      </c>
      <c r="V58" s="10" t="str">
        <f t="shared" si="11"/>
        <v>OK</v>
      </c>
    </row>
    <row r="59" spans="1:22">
      <c r="A59" s="17" t="s">
        <v>167</v>
      </c>
      <c r="B59" s="5" t="s">
        <v>168</v>
      </c>
      <c r="C59" s="5" t="s">
        <v>169</v>
      </c>
      <c r="D59" s="5" t="s">
        <v>31</v>
      </c>
      <c r="E59" s="5" t="s">
        <v>123</v>
      </c>
      <c r="F59" s="6"/>
      <c r="G59" s="7"/>
      <c r="H59" s="7"/>
      <c r="I59" s="7"/>
      <c r="J59" s="7"/>
      <c r="K59" s="7"/>
      <c r="L59" s="7"/>
      <c r="M59" s="8">
        <f>48</f>
        <v>48</v>
      </c>
      <c r="N59" s="8">
        <f t="shared" si="6"/>
        <v>0</v>
      </c>
      <c r="O59" s="8">
        <f>IF(COUNTIF(PARAMETRES_REGIMES!$A$3:$A$100,$A59)&gt;0,MIN(M59,SUM(F59:L59)*24),MIN(M59,SUM(F59:K59)*24))</f>
        <v>0</v>
      </c>
      <c r="P59" s="9">
        <f>IF(COUNTIF(PARAMETRES_REGIMES!$A$3:$A$100,$A59)&gt;0,FLOOR(MAX(SUM(F59:L59)*24-M59,0),0.5),FLOOR(MAX(SUM(F59:K59)*24-M59,0),0.5))</f>
        <v>0</v>
      </c>
      <c r="Q59" s="9">
        <f>IF(COUNTIF(PARAMETRES_REGIMES!$A$3:$A$100,$A59)&gt;0,0,IF(ISNUMBER(L59),FLOOR(MAX(L59*24,0),0.5),0))</f>
        <v>0</v>
      </c>
      <c r="R59" s="8">
        <f t="shared" si="7"/>
        <v>0</v>
      </c>
      <c r="S59" s="8">
        <f t="shared" si="8"/>
        <v>0</v>
      </c>
      <c r="T59" s="8">
        <f t="shared" si="9"/>
        <v>0</v>
      </c>
      <c r="U59" s="8">
        <f t="shared" si="10"/>
        <v>0</v>
      </c>
      <c r="V59" s="10" t="str">
        <f t="shared" si="11"/>
        <v>OK</v>
      </c>
    </row>
    <row r="60" spans="1:22">
      <c r="A60" s="17">
        <v>192</v>
      </c>
      <c r="B60" s="5" t="s">
        <v>170</v>
      </c>
      <c r="C60" s="5" t="s">
        <v>171</v>
      </c>
      <c r="D60" s="5" t="s">
        <v>31</v>
      </c>
      <c r="E60" s="5" t="s">
        <v>123</v>
      </c>
      <c r="F60" s="6"/>
      <c r="G60" s="7"/>
      <c r="H60" s="7"/>
      <c r="I60" s="7"/>
      <c r="J60" s="7"/>
      <c r="K60" s="7"/>
      <c r="L60" s="7"/>
      <c r="M60" s="8">
        <f>48</f>
        <v>48</v>
      </c>
      <c r="N60" s="8">
        <f t="shared" si="6"/>
        <v>0</v>
      </c>
      <c r="O60" s="8">
        <f>IF(COUNTIF(PARAMETRES_REGIMES!$A$3:$A$100,$A60)&gt;0,MIN(M60,SUM(F60:L60)*24),MIN(M60,SUM(F60:K60)*24))</f>
        <v>0</v>
      </c>
      <c r="P60" s="9">
        <f>IF(COUNTIF(PARAMETRES_REGIMES!$A$3:$A$100,$A60)&gt;0,FLOOR(MAX(SUM(F60:L60)*24-M60,0),0.5),FLOOR(MAX(SUM(F60:K60)*24-M60,0),0.5))</f>
        <v>0</v>
      </c>
      <c r="Q60" s="9">
        <f>IF(COUNTIF(PARAMETRES_REGIMES!$A$3:$A$100,$A60)&gt;0,0,IF(ISNUMBER(L60),FLOOR(MAX(L60*24,0),0.5),0))</f>
        <v>0</v>
      </c>
      <c r="R60" s="8">
        <f t="shared" si="7"/>
        <v>0</v>
      </c>
      <c r="S60" s="8">
        <f t="shared" si="8"/>
        <v>0</v>
      </c>
      <c r="T60" s="8">
        <f t="shared" si="9"/>
        <v>0</v>
      </c>
      <c r="U60" s="8">
        <f t="shared" si="10"/>
        <v>0</v>
      </c>
      <c r="V60" s="10" t="str">
        <f t="shared" si="11"/>
        <v>OK</v>
      </c>
    </row>
    <row r="61" spans="1:22">
      <c r="A61" s="17" t="s">
        <v>172</v>
      </c>
      <c r="B61" s="5" t="s">
        <v>173</v>
      </c>
      <c r="C61" s="5" t="s">
        <v>174</v>
      </c>
      <c r="D61" s="5" t="s">
        <v>31</v>
      </c>
      <c r="E61" s="5" t="s">
        <v>123</v>
      </c>
      <c r="F61" s="6"/>
      <c r="G61" s="7"/>
      <c r="H61" s="7"/>
      <c r="I61" s="7"/>
      <c r="J61" s="7"/>
      <c r="K61" s="7"/>
      <c r="L61" s="7"/>
      <c r="M61" s="8">
        <f>48</f>
        <v>48</v>
      </c>
      <c r="N61" s="8">
        <f t="shared" si="6"/>
        <v>0</v>
      </c>
      <c r="O61" s="8">
        <f>IF(COUNTIF(PARAMETRES_REGIMES!$A$3:$A$100,$A61)&gt;0,MIN(M61,SUM(F61:L61)*24),MIN(M61,SUM(F61:K61)*24))</f>
        <v>0</v>
      </c>
      <c r="P61" s="9">
        <f>IF(COUNTIF(PARAMETRES_REGIMES!$A$3:$A$100,$A61)&gt;0,FLOOR(MAX(SUM(F61:L61)*24-M61,0),0.5),FLOOR(MAX(SUM(F61:K61)*24-M61,0),0.5))</f>
        <v>0</v>
      </c>
      <c r="Q61" s="9">
        <f>IF(COUNTIF(PARAMETRES_REGIMES!$A$3:$A$100,$A61)&gt;0,0,IF(ISNUMBER(L61),FLOOR(MAX(L61*24,0),0.5),0))</f>
        <v>0</v>
      </c>
      <c r="R61" s="8">
        <f t="shared" si="7"/>
        <v>0</v>
      </c>
      <c r="S61" s="8">
        <f t="shared" si="8"/>
        <v>0</v>
      </c>
      <c r="T61" s="8">
        <f t="shared" si="9"/>
        <v>0</v>
      </c>
      <c r="U61" s="8">
        <f t="shared" si="10"/>
        <v>0</v>
      </c>
      <c r="V61" s="10" t="str">
        <f t="shared" si="11"/>
        <v>OK</v>
      </c>
    </row>
    <row r="62" spans="1:22">
      <c r="A62" s="17" t="s">
        <v>175</v>
      </c>
      <c r="B62" s="5" t="s">
        <v>176</v>
      </c>
      <c r="C62" s="5" t="s">
        <v>177</v>
      </c>
      <c r="D62" s="5" t="s">
        <v>31</v>
      </c>
      <c r="E62" s="5" t="s">
        <v>123</v>
      </c>
      <c r="F62" s="6"/>
      <c r="G62" s="7"/>
      <c r="H62" s="7"/>
      <c r="I62" s="7"/>
      <c r="J62" s="7"/>
      <c r="K62" s="7"/>
      <c r="L62" s="7"/>
      <c r="M62" s="8">
        <f>48</f>
        <v>48</v>
      </c>
      <c r="N62" s="8">
        <f t="shared" si="6"/>
        <v>0</v>
      </c>
      <c r="O62" s="8">
        <f>IF(COUNTIF(PARAMETRES_REGIMES!$A$3:$A$100,$A62)&gt;0,MIN(M62,SUM(F62:L62)*24),MIN(M62,SUM(F62:K62)*24))</f>
        <v>0</v>
      </c>
      <c r="P62" s="9">
        <f>IF(COUNTIF(PARAMETRES_REGIMES!$A$3:$A$100,$A62)&gt;0,FLOOR(MAX(SUM(F62:L62)*24-M62,0),0.5),FLOOR(MAX(SUM(F62:K62)*24-M62,0),0.5))</f>
        <v>0</v>
      </c>
      <c r="Q62" s="9">
        <f>IF(COUNTIF(PARAMETRES_REGIMES!$A$3:$A$100,$A62)&gt;0,0,IF(ISNUMBER(L62),FLOOR(MAX(L62*24,0),0.5),0))</f>
        <v>0</v>
      </c>
      <c r="R62" s="8">
        <f t="shared" si="7"/>
        <v>0</v>
      </c>
      <c r="S62" s="8">
        <f t="shared" si="8"/>
        <v>0</v>
      </c>
      <c r="T62" s="8">
        <f t="shared" si="9"/>
        <v>0</v>
      </c>
      <c r="U62" s="8">
        <f t="shared" si="10"/>
        <v>0</v>
      </c>
      <c r="V62" s="10" t="str">
        <f t="shared" si="11"/>
        <v>OK</v>
      </c>
    </row>
    <row r="63" spans="1:22">
      <c r="A63" s="17" t="s">
        <v>178</v>
      </c>
      <c r="B63" s="5" t="s">
        <v>179</v>
      </c>
      <c r="C63" s="5" t="s">
        <v>180</v>
      </c>
      <c r="D63" s="5" t="s">
        <v>31</v>
      </c>
      <c r="E63" s="5" t="s">
        <v>123</v>
      </c>
      <c r="F63" s="6"/>
      <c r="G63" s="7"/>
      <c r="H63" s="7"/>
      <c r="I63" s="7"/>
      <c r="J63" s="7"/>
      <c r="K63" s="7"/>
      <c r="L63" s="7"/>
      <c r="M63" s="8">
        <f>48</f>
        <v>48</v>
      </c>
      <c r="N63" s="8">
        <f t="shared" si="6"/>
        <v>0</v>
      </c>
      <c r="O63" s="8">
        <f>IF(COUNTIF(PARAMETRES_REGIMES!$A$3:$A$100,$A63)&gt;0,MIN(M63,SUM(F63:L63)*24),MIN(M63,SUM(F63:K63)*24))</f>
        <v>0</v>
      </c>
      <c r="P63" s="9">
        <f>IF(COUNTIF(PARAMETRES_REGIMES!$A$3:$A$100,$A63)&gt;0,FLOOR(MAX(SUM(F63:L63)*24-M63,0),0.5),FLOOR(MAX(SUM(F63:K63)*24-M63,0),0.5))</f>
        <v>0</v>
      </c>
      <c r="Q63" s="9">
        <f>IF(COUNTIF(PARAMETRES_REGIMES!$A$3:$A$100,$A63)&gt;0,0,IF(ISNUMBER(L63),FLOOR(MAX(L63*24,0),0.5),0))</f>
        <v>0</v>
      </c>
      <c r="R63" s="8">
        <f t="shared" si="7"/>
        <v>0</v>
      </c>
      <c r="S63" s="8">
        <f t="shared" si="8"/>
        <v>0</v>
      </c>
      <c r="T63" s="8">
        <f t="shared" si="9"/>
        <v>0</v>
      </c>
      <c r="U63" s="8">
        <f t="shared" si="10"/>
        <v>0</v>
      </c>
      <c r="V63" s="10" t="str">
        <f t="shared" si="11"/>
        <v>OK</v>
      </c>
    </row>
    <row r="64" spans="1:22">
      <c r="A64" s="17" t="s">
        <v>181</v>
      </c>
      <c r="B64" s="5" t="s">
        <v>182</v>
      </c>
      <c r="C64" s="5" t="s">
        <v>183</v>
      </c>
      <c r="D64" s="5" t="s">
        <v>31</v>
      </c>
      <c r="E64" s="5" t="s">
        <v>123</v>
      </c>
      <c r="F64" s="6"/>
      <c r="G64" s="7"/>
      <c r="H64" s="7"/>
      <c r="I64" s="7"/>
      <c r="J64" s="7"/>
      <c r="K64" s="7"/>
      <c r="L64" s="7"/>
      <c r="M64" s="8">
        <f>48</f>
        <v>48</v>
      </c>
      <c r="N64" s="8">
        <f t="shared" si="6"/>
        <v>0</v>
      </c>
      <c r="O64" s="8">
        <f>IF(COUNTIF(PARAMETRES_REGIMES!$A$3:$A$100,$A64)&gt;0,MIN(M64,SUM(F64:L64)*24),MIN(M64,SUM(F64:K64)*24))</f>
        <v>0</v>
      </c>
      <c r="P64" s="9">
        <f>IF(COUNTIF(PARAMETRES_REGIMES!$A$3:$A$100,$A64)&gt;0,FLOOR(MAX(SUM(F64:L64)*24-M64,0),0.5),FLOOR(MAX(SUM(F64:K64)*24-M64,0),0.5))</f>
        <v>0</v>
      </c>
      <c r="Q64" s="9">
        <f>IF(COUNTIF(PARAMETRES_REGIMES!$A$3:$A$100,$A64)&gt;0,0,IF(ISNUMBER(L64),FLOOR(MAX(L64*24,0),0.5),0))</f>
        <v>0</v>
      </c>
      <c r="R64" s="8">
        <f t="shared" si="7"/>
        <v>0</v>
      </c>
      <c r="S64" s="8">
        <f t="shared" si="8"/>
        <v>0</v>
      </c>
      <c r="T64" s="8">
        <f t="shared" si="9"/>
        <v>0</v>
      </c>
      <c r="U64" s="8">
        <f t="shared" si="10"/>
        <v>0</v>
      </c>
      <c r="V64" s="10" t="str">
        <f t="shared" si="11"/>
        <v>OK</v>
      </c>
    </row>
    <row r="65" spans="1:22">
      <c r="A65" s="17">
        <v>169</v>
      </c>
      <c r="B65" s="5" t="s">
        <v>184</v>
      </c>
      <c r="C65" s="5" t="s">
        <v>185</v>
      </c>
      <c r="D65" s="5" t="s">
        <v>31</v>
      </c>
      <c r="E65" s="5" t="s">
        <v>123</v>
      </c>
      <c r="F65" s="6"/>
      <c r="G65" s="7"/>
      <c r="H65" s="7"/>
      <c r="I65" s="7"/>
      <c r="J65" s="7"/>
      <c r="K65" s="7"/>
      <c r="L65" s="7"/>
      <c r="M65" s="8">
        <f>48</f>
        <v>48</v>
      </c>
      <c r="N65" s="8">
        <f t="shared" si="6"/>
        <v>0</v>
      </c>
      <c r="O65" s="8">
        <f>IF(COUNTIF(PARAMETRES_REGIMES!$A$3:$A$100,$A65)&gt;0,MIN(M65,SUM(F65:L65)*24),MIN(M65,SUM(F65:K65)*24))</f>
        <v>0</v>
      </c>
      <c r="P65" s="9">
        <f>IF(COUNTIF(PARAMETRES_REGIMES!$A$3:$A$100,$A65)&gt;0,FLOOR(MAX(SUM(F65:L65)*24-M65,0),0.5),FLOOR(MAX(SUM(F65:K65)*24-M65,0),0.5))</f>
        <v>0</v>
      </c>
      <c r="Q65" s="9">
        <f>IF(COUNTIF(PARAMETRES_REGIMES!$A$3:$A$100,$A65)&gt;0,0,IF(ISNUMBER(L65),FLOOR(MAX(L65*24,0),0.5),0))</f>
        <v>0</v>
      </c>
      <c r="R65" s="8">
        <f t="shared" si="7"/>
        <v>0</v>
      </c>
      <c r="S65" s="8">
        <f t="shared" si="8"/>
        <v>0</v>
      </c>
      <c r="T65" s="8">
        <f t="shared" si="9"/>
        <v>0</v>
      </c>
      <c r="U65" s="8">
        <f t="shared" si="10"/>
        <v>0</v>
      </c>
      <c r="V65" s="10" t="str">
        <f t="shared" si="11"/>
        <v>OK</v>
      </c>
    </row>
    <row r="66" spans="1:22">
      <c r="A66" s="17" t="s">
        <v>186</v>
      </c>
      <c r="B66" s="5" t="s">
        <v>187</v>
      </c>
      <c r="C66" s="5" t="s">
        <v>188</v>
      </c>
      <c r="D66" s="5" t="s">
        <v>31</v>
      </c>
      <c r="E66" s="5" t="s">
        <v>123</v>
      </c>
      <c r="F66" s="6"/>
      <c r="G66" s="7"/>
      <c r="H66" s="7"/>
      <c r="I66" s="7"/>
      <c r="J66" s="7"/>
      <c r="K66" s="7"/>
      <c r="L66" s="7"/>
      <c r="M66" s="8">
        <f>48</f>
        <v>48</v>
      </c>
      <c r="N66" s="8">
        <f t="shared" si="6"/>
        <v>0</v>
      </c>
      <c r="O66" s="8">
        <f>IF(COUNTIF(PARAMETRES_REGIMES!$A$3:$A$100,$A66)&gt;0,MIN(M66,SUM(F66:L66)*24),MIN(M66,SUM(F66:K66)*24))</f>
        <v>0</v>
      </c>
      <c r="P66" s="9">
        <f>IF(COUNTIF(PARAMETRES_REGIMES!$A$3:$A$100,$A66)&gt;0,FLOOR(MAX(SUM(F66:L66)*24-M66,0),0.5),FLOOR(MAX(SUM(F66:K66)*24-M66,0),0.5))</f>
        <v>0</v>
      </c>
      <c r="Q66" s="9">
        <f>IF(COUNTIF(PARAMETRES_REGIMES!$A$3:$A$100,$A66)&gt;0,0,IF(ISNUMBER(L66),FLOOR(MAX(L66*24,0),0.5),0))</f>
        <v>0</v>
      </c>
      <c r="R66" s="8">
        <f t="shared" si="7"/>
        <v>0</v>
      </c>
      <c r="S66" s="8">
        <f t="shared" si="8"/>
        <v>0</v>
      </c>
      <c r="T66" s="8">
        <f t="shared" si="9"/>
        <v>0</v>
      </c>
      <c r="U66" s="8">
        <f t="shared" si="10"/>
        <v>0</v>
      </c>
      <c r="V66" s="10" t="str">
        <f t="shared" si="11"/>
        <v>OK</v>
      </c>
    </row>
    <row r="67" spans="1:22">
      <c r="A67" s="17" t="s">
        <v>189</v>
      </c>
      <c r="B67" s="5" t="s">
        <v>190</v>
      </c>
      <c r="C67" s="5" t="s">
        <v>191</v>
      </c>
      <c r="D67" s="5" t="s">
        <v>31</v>
      </c>
      <c r="E67" s="5" t="s">
        <v>123</v>
      </c>
      <c r="F67" s="6"/>
      <c r="G67" s="7"/>
      <c r="H67" s="7"/>
      <c r="I67" s="7"/>
      <c r="J67" s="7"/>
      <c r="K67" s="7"/>
      <c r="L67" s="7"/>
      <c r="M67" s="8">
        <f>48</f>
        <v>48</v>
      </c>
      <c r="N67" s="8">
        <f t="shared" ref="N67:N98" si="12">SUM(F67:L67)*24</f>
        <v>0</v>
      </c>
      <c r="O67" s="8">
        <f>IF(COUNTIF(PARAMETRES_REGIMES!$A$3:$A$100,$A67)&gt;0,MIN(M67,SUM(F67:L67)*24),MIN(M67,SUM(F67:K67)*24))</f>
        <v>0</v>
      </c>
      <c r="P67" s="9">
        <f>IF(COUNTIF(PARAMETRES_REGIMES!$A$3:$A$100,$A67)&gt;0,FLOOR(MAX(SUM(F67:L67)*24-M67,0),0.5),FLOOR(MAX(SUM(F67:K67)*24-M67,0),0.5))</f>
        <v>0</v>
      </c>
      <c r="Q67" s="9">
        <f>IF(COUNTIF(PARAMETRES_REGIMES!$A$3:$A$100,$A67)&gt;0,0,IF(ISNUMBER(L67),FLOOR(MAX(L67*24,0),0.5),0))</f>
        <v>0</v>
      </c>
      <c r="R67" s="8">
        <f t="shared" ref="R67:R98" si="13">COUNTIF(F67:L67,"ABS")</f>
        <v>0</v>
      </c>
      <c r="S67" s="8">
        <f t="shared" ref="S67:S98" si="14">COUNTIF(F67:L67,"Congé")</f>
        <v>0</v>
      </c>
      <c r="T67" s="8">
        <f t="shared" ref="T67:T98" si="15">COUNTIF(F67:L67,"Férié")</f>
        <v>0</v>
      </c>
      <c r="U67" s="8">
        <f t="shared" ref="U67:U98" si="16">O67+P67+Q67+(T67*8.5)</f>
        <v>0</v>
      </c>
      <c r="V67" s="10" t="str">
        <f t="shared" ref="V67:V98" si="17">IF(COUNTIF(F67:L67,"STC")&gt;0,"STC",IF(COUNTIF(F67:L67,"*!*")&gt;0,"À vérifier","OK"))</f>
        <v>OK</v>
      </c>
    </row>
    <row r="68" spans="1:22">
      <c r="A68" s="17" t="s">
        <v>192</v>
      </c>
      <c r="B68" s="5" t="s">
        <v>193</v>
      </c>
      <c r="C68" s="5" t="s">
        <v>194</v>
      </c>
      <c r="D68" s="5" t="s">
        <v>31</v>
      </c>
      <c r="E68" s="5" t="s">
        <v>123</v>
      </c>
      <c r="F68" s="6"/>
      <c r="G68" s="7"/>
      <c r="H68" s="7"/>
      <c r="I68" s="7"/>
      <c r="J68" s="7"/>
      <c r="K68" s="7"/>
      <c r="L68" s="7"/>
      <c r="M68" s="8">
        <f>48</f>
        <v>48</v>
      </c>
      <c r="N68" s="8">
        <f t="shared" si="12"/>
        <v>0</v>
      </c>
      <c r="O68" s="8">
        <f>IF(COUNTIF(PARAMETRES_REGIMES!$A$3:$A$100,$A68)&gt;0,MIN(M68,SUM(F68:L68)*24),MIN(M68,SUM(F68:K68)*24))</f>
        <v>0</v>
      </c>
      <c r="P68" s="9">
        <f>IF(COUNTIF(PARAMETRES_REGIMES!$A$3:$A$100,$A68)&gt;0,FLOOR(MAX(SUM(F68:L68)*24-M68,0),0.5),FLOOR(MAX(SUM(F68:K68)*24-M68,0),0.5))</f>
        <v>0</v>
      </c>
      <c r="Q68" s="9">
        <f>IF(COUNTIF(PARAMETRES_REGIMES!$A$3:$A$100,$A68)&gt;0,0,IF(ISNUMBER(L68),FLOOR(MAX(L68*24,0),0.5),0))</f>
        <v>0</v>
      </c>
      <c r="R68" s="8">
        <f t="shared" si="13"/>
        <v>0</v>
      </c>
      <c r="S68" s="8">
        <f t="shared" si="14"/>
        <v>0</v>
      </c>
      <c r="T68" s="8">
        <f t="shared" si="15"/>
        <v>0</v>
      </c>
      <c r="U68" s="8">
        <f t="shared" si="16"/>
        <v>0</v>
      </c>
      <c r="V68" s="10" t="str">
        <f t="shared" si="17"/>
        <v>OK</v>
      </c>
    </row>
    <row r="69" spans="1:22">
      <c r="A69" s="17">
        <v>166</v>
      </c>
      <c r="B69" s="5" t="s">
        <v>195</v>
      </c>
      <c r="C69" s="5" t="s">
        <v>196</v>
      </c>
      <c r="D69" s="5" t="s">
        <v>31</v>
      </c>
      <c r="E69" s="5" t="s">
        <v>123</v>
      </c>
      <c r="F69" s="6"/>
      <c r="G69" s="7"/>
      <c r="H69" s="7"/>
      <c r="I69" s="7"/>
      <c r="J69" s="7"/>
      <c r="K69" s="7"/>
      <c r="L69" s="7"/>
      <c r="M69" s="8">
        <f>48</f>
        <v>48</v>
      </c>
      <c r="N69" s="8">
        <f t="shared" si="12"/>
        <v>0</v>
      </c>
      <c r="O69" s="8">
        <f>IF(COUNTIF(PARAMETRES_REGIMES!$A$3:$A$100,$A69)&gt;0,MIN(M69,SUM(F69:L69)*24),MIN(M69,SUM(F69:K69)*24))</f>
        <v>0</v>
      </c>
      <c r="P69" s="9">
        <f>IF(COUNTIF(PARAMETRES_REGIMES!$A$3:$A$100,$A69)&gt;0,FLOOR(MAX(SUM(F69:L69)*24-M69,0),0.5),FLOOR(MAX(SUM(F69:K69)*24-M69,0),0.5))</f>
        <v>0</v>
      </c>
      <c r="Q69" s="9">
        <f>IF(COUNTIF(PARAMETRES_REGIMES!$A$3:$A$100,$A69)&gt;0,0,IF(ISNUMBER(L69),FLOOR(MAX(L69*24,0),0.5),0))</f>
        <v>0</v>
      </c>
      <c r="R69" s="8">
        <f t="shared" si="13"/>
        <v>0</v>
      </c>
      <c r="S69" s="8">
        <f t="shared" si="14"/>
        <v>0</v>
      </c>
      <c r="T69" s="8">
        <f t="shared" si="15"/>
        <v>0</v>
      </c>
      <c r="U69" s="8">
        <f t="shared" si="16"/>
        <v>0</v>
      </c>
      <c r="V69" s="10" t="str">
        <f t="shared" si="17"/>
        <v>OK</v>
      </c>
    </row>
    <row r="70" spans="1:22">
      <c r="A70" s="17" t="s">
        <v>197</v>
      </c>
      <c r="B70" s="5" t="s">
        <v>195</v>
      </c>
      <c r="C70" s="5" t="s">
        <v>198</v>
      </c>
      <c r="D70" s="5" t="s">
        <v>31</v>
      </c>
      <c r="E70" s="5" t="s">
        <v>123</v>
      </c>
      <c r="F70" s="6"/>
      <c r="G70" s="7"/>
      <c r="H70" s="7"/>
      <c r="I70" s="7"/>
      <c r="J70" s="7"/>
      <c r="K70" s="7"/>
      <c r="L70" s="7"/>
      <c r="M70" s="8">
        <f>48</f>
        <v>48</v>
      </c>
      <c r="N70" s="8">
        <f t="shared" si="12"/>
        <v>0</v>
      </c>
      <c r="O70" s="8">
        <f>IF(COUNTIF(PARAMETRES_REGIMES!$A$3:$A$100,$A70)&gt;0,MIN(M70,SUM(F70:L70)*24),MIN(M70,SUM(F70:K70)*24))</f>
        <v>0</v>
      </c>
      <c r="P70" s="9">
        <f>IF(COUNTIF(PARAMETRES_REGIMES!$A$3:$A$100,$A70)&gt;0,FLOOR(MAX(SUM(F70:L70)*24-M70,0),0.5),FLOOR(MAX(SUM(F70:K70)*24-M70,0),0.5))</f>
        <v>0</v>
      </c>
      <c r="Q70" s="9">
        <f>IF(COUNTIF(PARAMETRES_REGIMES!$A$3:$A$100,$A70)&gt;0,0,IF(ISNUMBER(L70),FLOOR(MAX(L70*24,0),0.5),0))</f>
        <v>0</v>
      </c>
      <c r="R70" s="8">
        <f t="shared" si="13"/>
        <v>0</v>
      </c>
      <c r="S70" s="8">
        <f t="shared" si="14"/>
        <v>0</v>
      </c>
      <c r="T70" s="8">
        <f t="shared" si="15"/>
        <v>0</v>
      </c>
      <c r="U70" s="8">
        <f t="shared" si="16"/>
        <v>0</v>
      </c>
      <c r="V70" s="10" t="str">
        <f t="shared" si="17"/>
        <v>OK</v>
      </c>
    </row>
    <row r="71" spans="1:22">
      <c r="A71" s="17" t="s">
        <v>199</v>
      </c>
      <c r="B71" s="5" t="s">
        <v>195</v>
      </c>
      <c r="C71" s="5" t="s">
        <v>200</v>
      </c>
      <c r="D71" s="5" t="s">
        <v>31</v>
      </c>
      <c r="E71" s="5" t="s">
        <v>123</v>
      </c>
      <c r="F71" s="6"/>
      <c r="G71" s="7"/>
      <c r="H71" s="7"/>
      <c r="I71" s="7"/>
      <c r="J71" s="7"/>
      <c r="K71" s="7"/>
      <c r="L71" s="7"/>
      <c r="M71" s="8">
        <f>48</f>
        <v>48</v>
      </c>
      <c r="N71" s="8">
        <f t="shared" si="12"/>
        <v>0</v>
      </c>
      <c r="O71" s="8">
        <f>IF(COUNTIF(PARAMETRES_REGIMES!$A$3:$A$100,$A71)&gt;0,MIN(M71,SUM(F71:L71)*24),MIN(M71,SUM(F71:K71)*24))</f>
        <v>0</v>
      </c>
      <c r="P71" s="9">
        <f>IF(COUNTIF(PARAMETRES_REGIMES!$A$3:$A$100,$A71)&gt;0,FLOOR(MAX(SUM(F71:L71)*24-M71,0),0.5),FLOOR(MAX(SUM(F71:K71)*24-M71,0),0.5))</f>
        <v>0</v>
      </c>
      <c r="Q71" s="9">
        <f>IF(COUNTIF(PARAMETRES_REGIMES!$A$3:$A$100,$A71)&gt;0,0,IF(ISNUMBER(L71),FLOOR(MAX(L71*24,0),0.5),0))</f>
        <v>0</v>
      </c>
      <c r="R71" s="8">
        <f t="shared" si="13"/>
        <v>0</v>
      </c>
      <c r="S71" s="8">
        <f t="shared" si="14"/>
        <v>0</v>
      </c>
      <c r="T71" s="8">
        <f t="shared" si="15"/>
        <v>0</v>
      </c>
      <c r="U71" s="8">
        <f t="shared" si="16"/>
        <v>0</v>
      </c>
      <c r="V71" s="10" t="str">
        <f t="shared" si="17"/>
        <v>OK</v>
      </c>
    </row>
    <row r="72" spans="1:22">
      <c r="A72" s="17" t="s">
        <v>201</v>
      </c>
      <c r="B72" s="5" t="s">
        <v>195</v>
      </c>
      <c r="C72" s="5" t="s">
        <v>202</v>
      </c>
      <c r="D72" s="5" t="s">
        <v>31</v>
      </c>
      <c r="E72" s="5" t="s">
        <v>123</v>
      </c>
      <c r="F72" s="6"/>
      <c r="G72" s="7"/>
      <c r="H72" s="7"/>
      <c r="I72" s="7"/>
      <c r="J72" s="7"/>
      <c r="K72" s="7"/>
      <c r="L72" s="7"/>
      <c r="M72" s="8">
        <f>48</f>
        <v>48</v>
      </c>
      <c r="N72" s="8">
        <f t="shared" si="12"/>
        <v>0</v>
      </c>
      <c r="O72" s="8">
        <f>IF(COUNTIF(PARAMETRES_REGIMES!$A$3:$A$100,$A72)&gt;0,MIN(M72,SUM(F72:L72)*24),MIN(M72,SUM(F72:K72)*24))</f>
        <v>0</v>
      </c>
      <c r="P72" s="9">
        <f>IF(COUNTIF(PARAMETRES_REGIMES!$A$3:$A$100,$A72)&gt;0,FLOOR(MAX(SUM(F72:L72)*24-M72,0),0.5),FLOOR(MAX(SUM(F72:K72)*24-M72,0),0.5))</f>
        <v>0</v>
      </c>
      <c r="Q72" s="9">
        <f>IF(COUNTIF(PARAMETRES_REGIMES!$A$3:$A$100,$A72)&gt;0,0,IF(ISNUMBER(L72),FLOOR(MAX(L72*24,0),0.5),0))</f>
        <v>0</v>
      </c>
      <c r="R72" s="8">
        <f t="shared" si="13"/>
        <v>0</v>
      </c>
      <c r="S72" s="8">
        <f t="shared" si="14"/>
        <v>0</v>
      </c>
      <c r="T72" s="8">
        <f t="shared" si="15"/>
        <v>0</v>
      </c>
      <c r="U72" s="8">
        <f t="shared" si="16"/>
        <v>0</v>
      </c>
      <c r="V72" s="10" t="str">
        <f t="shared" si="17"/>
        <v>OK</v>
      </c>
    </row>
    <row r="73" spans="1:22">
      <c r="A73" s="17" t="s">
        <v>203</v>
      </c>
      <c r="B73" s="5" t="s">
        <v>204</v>
      </c>
      <c r="C73" s="5" t="s">
        <v>205</v>
      </c>
      <c r="D73" s="5" t="s">
        <v>31</v>
      </c>
      <c r="E73" s="5" t="s">
        <v>123</v>
      </c>
      <c r="F73" s="6"/>
      <c r="G73" s="7"/>
      <c r="H73" s="7"/>
      <c r="I73" s="7"/>
      <c r="J73" s="7"/>
      <c r="K73" s="7"/>
      <c r="L73" s="7"/>
      <c r="M73" s="8">
        <f>48</f>
        <v>48</v>
      </c>
      <c r="N73" s="8">
        <f t="shared" si="12"/>
        <v>0</v>
      </c>
      <c r="O73" s="8">
        <f>IF(COUNTIF(PARAMETRES_REGIMES!$A$3:$A$100,$A73)&gt;0,MIN(M73,SUM(F73:L73)*24),MIN(M73,SUM(F73:K73)*24))</f>
        <v>0</v>
      </c>
      <c r="P73" s="9">
        <f>IF(COUNTIF(PARAMETRES_REGIMES!$A$3:$A$100,$A73)&gt;0,FLOOR(MAX(SUM(F73:L73)*24-M73,0),0.5),FLOOR(MAX(SUM(F73:K73)*24-M73,0),0.5))</f>
        <v>0</v>
      </c>
      <c r="Q73" s="9">
        <f>IF(COUNTIF(PARAMETRES_REGIMES!$A$3:$A$100,$A73)&gt;0,0,IF(ISNUMBER(L73),FLOOR(MAX(L73*24,0),0.5),0))</f>
        <v>0</v>
      </c>
      <c r="R73" s="8">
        <f t="shared" si="13"/>
        <v>0</v>
      </c>
      <c r="S73" s="8">
        <f t="shared" si="14"/>
        <v>0</v>
      </c>
      <c r="T73" s="8">
        <f t="shared" si="15"/>
        <v>0</v>
      </c>
      <c r="U73" s="8">
        <f t="shared" si="16"/>
        <v>0</v>
      </c>
      <c r="V73" s="10" t="str">
        <f t="shared" si="17"/>
        <v>OK</v>
      </c>
    </row>
    <row r="74" spans="1:22">
      <c r="A74" s="17" t="s">
        <v>206</v>
      </c>
      <c r="B74" s="5" t="s">
        <v>207</v>
      </c>
      <c r="C74" s="5" t="s">
        <v>208</v>
      </c>
      <c r="D74" s="5" t="s">
        <v>31</v>
      </c>
      <c r="E74" s="5" t="s">
        <v>123</v>
      </c>
      <c r="F74" s="6"/>
      <c r="G74" s="7"/>
      <c r="H74" s="7"/>
      <c r="I74" s="7"/>
      <c r="J74" s="7"/>
      <c r="K74" s="7"/>
      <c r="L74" s="7"/>
      <c r="M74" s="8">
        <f>48</f>
        <v>48</v>
      </c>
      <c r="N74" s="8">
        <f t="shared" si="12"/>
        <v>0</v>
      </c>
      <c r="O74" s="8">
        <f>IF(COUNTIF(PARAMETRES_REGIMES!$A$3:$A$100,$A74)&gt;0,MIN(M74,SUM(F74:L74)*24),MIN(M74,SUM(F74:K74)*24))</f>
        <v>0</v>
      </c>
      <c r="P74" s="9">
        <f>IF(COUNTIF(PARAMETRES_REGIMES!$A$3:$A$100,$A74)&gt;0,FLOOR(MAX(SUM(F74:L74)*24-M74,0),0.5),FLOOR(MAX(SUM(F74:K74)*24-M74,0),0.5))</f>
        <v>0</v>
      </c>
      <c r="Q74" s="9">
        <f>IF(COUNTIF(PARAMETRES_REGIMES!$A$3:$A$100,$A74)&gt;0,0,IF(ISNUMBER(L74),FLOOR(MAX(L74*24,0),0.5),0))</f>
        <v>0</v>
      </c>
      <c r="R74" s="8">
        <f t="shared" si="13"/>
        <v>0</v>
      </c>
      <c r="S74" s="8">
        <f t="shared" si="14"/>
        <v>0</v>
      </c>
      <c r="T74" s="8">
        <f t="shared" si="15"/>
        <v>0</v>
      </c>
      <c r="U74" s="8">
        <f t="shared" si="16"/>
        <v>0</v>
      </c>
      <c r="V74" s="10" t="str">
        <f t="shared" si="17"/>
        <v>OK</v>
      </c>
    </row>
    <row r="75" spans="1:22">
      <c r="A75" s="17" t="s">
        <v>209</v>
      </c>
      <c r="B75" s="5" t="s">
        <v>210</v>
      </c>
      <c r="C75" s="5" t="s">
        <v>211</v>
      </c>
      <c r="D75" s="5" t="s">
        <v>31</v>
      </c>
      <c r="E75" s="5" t="s">
        <v>123</v>
      </c>
      <c r="F75" s="6"/>
      <c r="G75" s="7"/>
      <c r="H75" s="7"/>
      <c r="I75" s="7"/>
      <c r="J75" s="7"/>
      <c r="K75" s="7"/>
      <c r="L75" s="7"/>
      <c r="M75" s="8">
        <f>48</f>
        <v>48</v>
      </c>
      <c r="N75" s="8">
        <f t="shared" si="12"/>
        <v>0</v>
      </c>
      <c r="O75" s="8">
        <f>IF(COUNTIF(PARAMETRES_REGIMES!$A$3:$A$100,$A75)&gt;0,MIN(M75,SUM(F75:L75)*24),MIN(M75,SUM(F75:K75)*24))</f>
        <v>0</v>
      </c>
      <c r="P75" s="9">
        <f>IF(COUNTIF(PARAMETRES_REGIMES!$A$3:$A$100,$A75)&gt;0,FLOOR(MAX(SUM(F75:L75)*24-M75,0),0.5),FLOOR(MAX(SUM(F75:K75)*24-M75,0),0.5))</f>
        <v>0</v>
      </c>
      <c r="Q75" s="9">
        <f>IF(COUNTIF(PARAMETRES_REGIMES!$A$3:$A$100,$A75)&gt;0,0,IF(ISNUMBER(L75),FLOOR(MAX(L75*24,0),0.5),0))</f>
        <v>0</v>
      </c>
      <c r="R75" s="8">
        <f t="shared" si="13"/>
        <v>0</v>
      </c>
      <c r="S75" s="8">
        <f t="shared" si="14"/>
        <v>0</v>
      </c>
      <c r="T75" s="8">
        <f t="shared" si="15"/>
        <v>0</v>
      </c>
      <c r="U75" s="8">
        <f t="shared" si="16"/>
        <v>0</v>
      </c>
      <c r="V75" s="10" t="str">
        <f t="shared" si="17"/>
        <v>OK</v>
      </c>
    </row>
    <row r="76" spans="1:22">
      <c r="A76" s="17">
        <v>244</v>
      </c>
      <c r="B76" s="5" t="s">
        <v>212</v>
      </c>
      <c r="C76" s="5" t="s">
        <v>163</v>
      </c>
      <c r="D76" s="5" t="s">
        <v>31</v>
      </c>
      <c r="E76" s="5" t="s">
        <v>123</v>
      </c>
      <c r="F76" s="6"/>
      <c r="G76" s="7"/>
      <c r="H76" s="7"/>
      <c r="I76" s="7"/>
      <c r="J76" s="7"/>
      <c r="K76" s="7"/>
      <c r="L76" s="7"/>
      <c r="M76" s="8">
        <f>48</f>
        <v>48</v>
      </c>
      <c r="N76" s="8">
        <f t="shared" si="12"/>
        <v>0</v>
      </c>
      <c r="O76" s="8">
        <f>IF(COUNTIF(PARAMETRES_REGIMES!$A$3:$A$100,$A76)&gt;0,MIN(M76,SUM(F76:L76)*24),MIN(M76,SUM(F76:K76)*24))</f>
        <v>0</v>
      </c>
      <c r="P76" s="9">
        <f>IF(COUNTIF(PARAMETRES_REGIMES!$A$3:$A$100,$A76)&gt;0,FLOOR(MAX(SUM(F76:L76)*24-M76,0),0.5),FLOOR(MAX(SUM(F76:K76)*24-M76,0),0.5))</f>
        <v>0</v>
      </c>
      <c r="Q76" s="9">
        <f>IF(COUNTIF(PARAMETRES_REGIMES!$A$3:$A$100,$A76)&gt;0,0,IF(ISNUMBER(L76),FLOOR(MAX(L76*24,0),0.5),0))</f>
        <v>0</v>
      </c>
      <c r="R76" s="8">
        <f t="shared" si="13"/>
        <v>0</v>
      </c>
      <c r="S76" s="8">
        <f t="shared" si="14"/>
        <v>0</v>
      </c>
      <c r="T76" s="8">
        <f t="shared" si="15"/>
        <v>0</v>
      </c>
      <c r="U76" s="8">
        <f t="shared" si="16"/>
        <v>0</v>
      </c>
      <c r="V76" s="10" t="str">
        <f t="shared" si="17"/>
        <v>OK</v>
      </c>
    </row>
    <row r="77" spans="1:22">
      <c r="A77" s="17" t="s">
        <v>213</v>
      </c>
      <c r="B77" s="5" t="s">
        <v>214</v>
      </c>
      <c r="C77" s="5" t="s">
        <v>61</v>
      </c>
      <c r="D77" s="5" t="s">
        <v>31</v>
      </c>
      <c r="E77" s="5" t="s">
        <v>123</v>
      </c>
      <c r="F77" s="6"/>
      <c r="G77" s="7"/>
      <c r="H77" s="7"/>
      <c r="I77" s="7"/>
      <c r="J77" s="7"/>
      <c r="K77" s="7"/>
      <c r="L77" s="7"/>
      <c r="M77" s="8">
        <f>48</f>
        <v>48</v>
      </c>
      <c r="N77" s="8">
        <f t="shared" si="12"/>
        <v>0</v>
      </c>
      <c r="O77" s="8">
        <f>IF(COUNTIF(PARAMETRES_REGIMES!$A$3:$A$100,$A77)&gt;0,MIN(M77,SUM(F77:L77)*24),MIN(M77,SUM(F77:K77)*24))</f>
        <v>0</v>
      </c>
      <c r="P77" s="9">
        <f>IF(COUNTIF(PARAMETRES_REGIMES!$A$3:$A$100,$A77)&gt;0,FLOOR(MAX(SUM(F77:L77)*24-M77,0),0.5),FLOOR(MAX(SUM(F77:K77)*24-M77,0),0.5))</f>
        <v>0</v>
      </c>
      <c r="Q77" s="9">
        <f>IF(COUNTIF(PARAMETRES_REGIMES!$A$3:$A$100,$A77)&gt;0,0,IF(ISNUMBER(L77),FLOOR(MAX(L77*24,0),0.5),0))</f>
        <v>0</v>
      </c>
      <c r="R77" s="8">
        <f t="shared" si="13"/>
        <v>0</v>
      </c>
      <c r="S77" s="8">
        <f t="shared" si="14"/>
        <v>0</v>
      </c>
      <c r="T77" s="8">
        <f t="shared" si="15"/>
        <v>0</v>
      </c>
      <c r="U77" s="8">
        <f t="shared" si="16"/>
        <v>0</v>
      </c>
      <c r="V77" s="10" t="str">
        <f t="shared" si="17"/>
        <v>OK</v>
      </c>
    </row>
    <row r="78" spans="1:22">
      <c r="A78" s="17">
        <v>183</v>
      </c>
      <c r="B78" s="5" t="s">
        <v>215</v>
      </c>
      <c r="C78" s="5" t="s">
        <v>216</v>
      </c>
      <c r="D78" s="5" t="s">
        <v>31</v>
      </c>
      <c r="E78" s="5" t="s">
        <v>123</v>
      </c>
      <c r="F78" s="6"/>
      <c r="G78" s="7"/>
      <c r="H78" s="7"/>
      <c r="I78" s="7"/>
      <c r="J78" s="7"/>
      <c r="K78" s="7"/>
      <c r="L78" s="7"/>
      <c r="M78" s="8">
        <f>48</f>
        <v>48</v>
      </c>
      <c r="N78" s="8">
        <f t="shared" si="12"/>
        <v>0</v>
      </c>
      <c r="O78" s="8">
        <f>IF(COUNTIF(PARAMETRES_REGIMES!$A$3:$A$100,$A78)&gt;0,MIN(M78,SUM(F78:L78)*24),MIN(M78,SUM(F78:K78)*24))</f>
        <v>0</v>
      </c>
      <c r="P78" s="9">
        <f>IF(COUNTIF(PARAMETRES_REGIMES!$A$3:$A$100,$A78)&gt;0,FLOOR(MAX(SUM(F78:L78)*24-M78,0),0.5),FLOOR(MAX(SUM(F78:K78)*24-M78,0),0.5))</f>
        <v>0</v>
      </c>
      <c r="Q78" s="9">
        <f>IF(COUNTIF(PARAMETRES_REGIMES!$A$3:$A$100,$A78)&gt;0,0,IF(ISNUMBER(L78),FLOOR(MAX(L78*24,0),0.5),0))</f>
        <v>0</v>
      </c>
      <c r="R78" s="8">
        <f t="shared" si="13"/>
        <v>0</v>
      </c>
      <c r="S78" s="8">
        <f t="shared" si="14"/>
        <v>0</v>
      </c>
      <c r="T78" s="8">
        <f t="shared" si="15"/>
        <v>0</v>
      </c>
      <c r="U78" s="8">
        <f t="shared" si="16"/>
        <v>0</v>
      </c>
      <c r="V78" s="10" t="str">
        <f t="shared" si="17"/>
        <v>OK</v>
      </c>
    </row>
    <row r="79" spans="1:22">
      <c r="A79" s="17">
        <v>234</v>
      </c>
      <c r="B79" s="5" t="s">
        <v>217</v>
      </c>
      <c r="C79" s="5" t="s">
        <v>218</v>
      </c>
      <c r="D79" s="5" t="s">
        <v>31</v>
      </c>
      <c r="E79" s="5" t="s">
        <v>123</v>
      </c>
      <c r="F79" s="6"/>
      <c r="G79" s="7"/>
      <c r="H79" s="7"/>
      <c r="I79" s="7"/>
      <c r="J79" s="7"/>
      <c r="K79" s="7"/>
      <c r="L79" s="7"/>
      <c r="M79" s="8">
        <f>48</f>
        <v>48</v>
      </c>
      <c r="N79" s="8">
        <f t="shared" si="12"/>
        <v>0</v>
      </c>
      <c r="O79" s="8">
        <f>IF(COUNTIF(PARAMETRES_REGIMES!$A$3:$A$100,$A79)&gt;0,MIN(M79,SUM(F79:L79)*24),MIN(M79,SUM(F79:K79)*24))</f>
        <v>0</v>
      </c>
      <c r="P79" s="9">
        <f>IF(COUNTIF(PARAMETRES_REGIMES!$A$3:$A$100,$A79)&gt;0,FLOOR(MAX(SUM(F79:L79)*24-M79,0),0.5),FLOOR(MAX(SUM(F79:K79)*24-M79,0),0.5))</f>
        <v>0</v>
      </c>
      <c r="Q79" s="9">
        <f>IF(COUNTIF(PARAMETRES_REGIMES!$A$3:$A$100,$A79)&gt;0,0,IF(ISNUMBER(L79),FLOOR(MAX(L79*24,0),0.5),0))</f>
        <v>0</v>
      </c>
      <c r="R79" s="8">
        <f t="shared" si="13"/>
        <v>0</v>
      </c>
      <c r="S79" s="8">
        <f t="shared" si="14"/>
        <v>0</v>
      </c>
      <c r="T79" s="8">
        <f t="shared" si="15"/>
        <v>0</v>
      </c>
      <c r="U79" s="8">
        <f t="shared" si="16"/>
        <v>0</v>
      </c>
      <c r="V79" s="10" t="str">
        <f t="shared" si="17"/>
        <v>OK</v>
      </c>
    </row>
    <row r="80" spans="1:22">
      <c r="A80" s="17" t="s">
        <v>219</v>
      </c>
      <c r="B80" s="5" t="s">
        <v>220</v>
      </c>
      <c r="C80" s="5" t="s">
        <v>221</v>
      </c>
      <c r="D80" s="5" t="s">
        <v>31</v>
      </c>
      <c r="E80" s="5" t="s">
        <v>123</v>
      </c>
      <c r="F80" s="6"/>
      <c r="G80" s="7"/>
      <c r="H80" s="7"/>
      <c r="I80" s="7"/>
      <c r="J80" s="7"/>
      <c r="K80" s="7"/>
      <c r="L80" s="7"/>
      <c r="M80" s="8">
        <f>48</f>
        <v>48</v>
      </c>
      <c r="N80" s="8">
        <f t="shared" si="12"/>
        <v>0</v>
      </c>
      <c r="O80" s="8">
        <f>IF(COUNTIF(PARAMETRES_REGIMES!$A$3:$A$100,$A80)&gt;0,MIN(M80,SUM(F80:L80)*24),MIN(M80,SUM(F80:K80)*24))</f>
        <v>0</v>
      </c>
      <c r="P80" s="9">
        <f>IF(COUNTIF(PARAMETRES_REGIMES!$A$3:$A$100,$A80)&gt;0,FLOOR(MAX(SUM(F80:L80)*24-M80,0),0.5),FLOOR(MAX(SUM(F80:K80)*24-M80,0),0.5))</f>
        <v>0</v>
      </c>
      <c r="Q80" s="9">
        <f>IF(COUNTIF(PARAMETRES_REGIMES!$A$3:$A$100,$A80)&gt;0,0,IF(ISNUMBER(L80),FLOOR(MAX(L80*24,0),0.5),0))</f>
        <v>0</v>
      </c>
      <c r="R80" s="8">
        <f t="shared" si="13"/>
        <v>0</v>
      </c>
      <c r="S80" s="8">
        <f t="shared" si="14"/>
        <v>0</v>
      </c>
      <c r="T80" s="8">
        <f t="shared" si="15"/>
        <v>0</v>
      </c>
      <c r="U80" s="8">
        <f t="shared" si="16"/>
        <v>0</v>
      </c>
      <c r="V80" s="10" t="str">
        <f t="shared" si="17"/>
        <v>OK</v>
      </c>
    </row>
    <row r="81" spans="1:22">
      <c r="A81" s="17" t="s">
        <v>222</v>
      </c>
      <c r="B81" s="5" t="s">
        <v>223</v>
      </c>
      <c r="C81" s="5" t="s">
        <v>19</v>
      </c>
      <c r="D81" s="5" t="s">
        <v>31</v>
      </c>
      <c r="E81" s="5" t="s">
        <v>123</v>
      </c>
      <c r="F81" s="6"/>
      <c r="G81" s="7"/>
      <c r="H81" s="7"/>
      <c r="I81" s="7"/>
      <c r="J81" s="7"/>
      <c r="K81" s="7"/>
      <c r="L81" s="7"/>
      <c r="M81" s="8">
        <f>48</f>
        <v>48</v>
      </c>
      <c r="N81" s="8">
        <f t="shared" si="12"/>
        <v>0</v>
      </c>
      <c r="O81" s="8">
        <f>IF(COUNTIF(PARAMETRES_REGIMES!$A$3:$A$100,$A81)&gt;0,MIN(M81,SUM(F81:L81)*24),MIN(M81,SUM(F81:K81)*24))</f>
        <v>0</v>
      </c>
      <c r="P81" s="9">
        <f>IF(COUNTIF(PARAMETRES_REGIMES!$A$3:$A$100,$A81)&gt;0,FLOOR(MAX(SUM(F81:L81)*24-M81,0),0.5),FLOOR(MAX(SUM(F81:K81)*24-M81,0),0.5))</f>
        <v>0</v>
      </c>
      <c r="Q81" s="9">
        <f>IF(COUNTIF(PARAMETRES_REGIMES!$A$3:$A$100,$A81)&gt;0,0,IF(ISNUMBER(L81),FLOOR(MAX(L81*24,0),0.5),0))</f>
        <v>0</v>
      </c>
      <c r="R81" s="8">
        <f t="shared" si="13"/>
        <v>0</v>
      </c>
      <c r="S81" s="8">
        <f t="shared" si="14"/>
        <v>0</v>
      </c>
      <c r="T81" s="8">
        <f t="shared" si="15"/>
        <v>0</v>
      </c>
      <c r="U81" s="8">
        <f t="shared" si="16"/>
        <v>0</v>
      </c>
      <c r="V81" s="10" t="str">
        <f t="shared" si="17"/>
        <v>OK</v>
      </c>
    </row>
    <row r="82" spans="1:22">
      <c r="A82" s="17">
        <v>118</v>
      </c>
      <c r="B82" s="5" t="s">
        <v>224</v>
      </c>
      <c r="C82" s="5" t="s">
        <v>225</v>
      </c>
      <c r="D82" s="5" t="s">
        <v>31</v>
      </c>
      <c r="E82" s="5" t="s">
        <v>123</v>
      </c>
      <c r="F82" s="6"/>
      <c r="G82" s="7"/>
      <c r="H82" s="7"/>
      <c r="I82" s="7"/>
      <c r="J82" s="7"/>
      <c r="K82" s="7"/>
      <c r="L82" s="7"/>
      <c r="M82" s="8">
        <f>48</f>
        <v>48</v>
      </c>
      <c r="N82" s="8">
        <f t="shared" si="12"/>
        <v>0</v>
      </c>
      <c r="O82" s="8">
        <f>IF(COUNTIF(PARAMETRES_REGIMES!$A$3:$A$100,$A82)&gt;0,MIN(M82,SUM(F82:L82)*24),MIN(M82,SUM(F82:K82)*24))</f>
        <v>0</v>
      </c>
      <c r="P82" s="9">
        <f>IF(COUNTIF(PARAMETRES_REGIMES!$A$3:$A$100,$A82)&gt;0,FLOOR(MAX(SUM(F82:L82)*24-M82,0),0.5),FLOOR(MAX(SUM(F82:K82)*24-M82,0),0.5))</f>
        <v>0</v>
      </c>
      <c r="Q82" s="9">
        <f>IF(COUNTIF(PARAMETRES_REGIMES!$A$3:$A$100,$A82)&gt;0,0,IF(ISNUMBER(L82),FLOOR(MAX(L82*24,0),0.5),0))</f>
        <v>0</v>
      </c>
      <c r="R82" s="8">
        <f t="shared" si="13"/>
        <v>0</v>
      </c>
      <c r="S82" s="8">
        <f t="shared" si="14"/>
        <v>0</v>
      </c>
      <c r="T82" s="8">
        <f t="shared" si="15"/>
        <v>0</v>
      </c>
      <c r="U82" s="8">
        <f t="shared" si="16"/>
        <v>0</v>
      </c>
      <c r="V82" s="10" t="str">
        <f t="shared" si="17"/>
        <v>OK</v>
      </c>
    </row>
    <row r="83" spans="1:22">
      <c r="A83" s="17">
        <v>199</v>
      </c>
      <c r="B83" s="5" t="s">
        <v>226</v>
      </c>
      <c r="C83" s="5" t="s">
        <v>227</v>
      </c>
      <c r="D83" s="5" t="s">
        <v>31</v>
      </c>
      <c r="E83" s="5" t="s">
        <v>123</v>
      </c>
      <c r="F83" s="6"/>
      <c r="G83" s="7"/>
      <c r="H83" s="7"/>
      <c r="I83" s="7"/>
      <c r="J83" s="7"/>
      <c r="K83" s="7"/>
      <c r="L83" s="7"/>
      <c r="M83" s="8">
        <f>48</f>
        <v>48</v>
      </c>
      <c r="N83" s="8">
        <f t="shared" si="12"/>
        <v>0</v>
      </c>
      <c r="O83" s="8">
        <f>IF(COUNTIF(PARAMETRES_REGIMES!$A$3:$A$100,$A83)&gt;0,MIN(M83,SUM(F83:L83)*24),MIN(M83,SUM(F83:K83)*24))</f>
        <v>0</v>
      </c>
      <c r="P83" s="9">
        <f>IF(COUNTIF(PARAMETRES_REGIMES!$A$3:$A$100,$A83)&gt;0,FLOOR(MAX(SUM(F83:L83)*24-M83,0),0.5),FLOOR(MAX(SUM(F83:K83)*24-M83,0),0.5))</f>
        <v>0</v>
      </c>
      <c r="Q83" s="9">
        <f>IF(COUNTIF(PARAMETRES_REGIMES!$A$3:$A$100,$A83)&gt;0,0,IF(ISNUMBER(L83),FLOOR(MAX(L83*24,0),0.5),0))</f>
        <v>0</v>
      </c>
      <c r="R83" s="8">
        <f t="shared" si="13"/>
        <v>0</v>
      </c>
      <c r="S83" s="8">
        <f t="shared" si="14"/>
        <v>0</v>
      </c>
      <c r="T83" s="8">
        <f t="shared" si="15"/>
        <v>0</v>
      </c>
      <c r="U83" s="8">
        <f t="shared" si="16"/>
        <v>0</v>
      </c>
      <c r="V83" s="10" t="str">
        <f t="shared" si="17"/>
        <v>OK</v>
      </c>
    </row>
    <row r="84" spans="1:22">
      <c r="A84" s="17" t="s">
        <v>228</v>
      </c>
      <c r="B84" s="5" t="s">
        <v>226</v>
      </c>
      <c r="C84" s="5" t="s">
        <v>229</v>
      </c>
      <c r="D84" s="5" t="s">
        <v>31</v>
      </c>
      <c r="E84" s="5" t="s">
        <v>123</v>
      </c>
      <c r="F84" s="6"/>
      <c r="G84" s="7"/>
      <c r="H84" s="7"/>
      <c r="I84" s="7"/>
      <c r="J84" s="7"/>
      <c r="K84" s="7"/>
      <c r="L84" s="7"/>
      <c r="M84" s="8">
        <f>48</f>
        <v>48</v>
      </c>
      <c r="N84" s="8">
        <f t="shared" si="12"/>
        <v>0</v>
      </c>
      <c r="O84" s="8">
        <f>IF(COUNTIF(PARAMETRES_REGIMES!$A$3:$A$100,$A84)&gt;0,MIN(M84,SUM(F84:L84)*24),MIN(M84,SUM(F84:K84)*24))</f>
        <v>0</v>
      </c>
      <c r="P84" s="9">
        <f>IF(COUNTIF(PARAMETRES_REGIMES!$A$3:$A$100,$A84)&gt;0,FLOOR(MAX(SUM(F84:L84)*24-M84,0),0.5),FLOOR(MAX(SUM(F84:K84)*24-M84,0),0.5))</f>
        <v>0</v>
      </c>
      <c r="Q84" s="9">
        <f>IF(COUNTIF(PARAMETRES_REGIMES!$A$3:$A$100,$A84)&gt;0,0,IF(ISNUMBER(L84),FLOOR(MAX(L84*24,0),0.5),0))</f>
        <v>0</v>
      </c>
      <c r="R84" s="8">
        <f t="shared" si="13"/>
        <v>0</v>
      </c>
      <c r="S84" s="8">
        <f t="shared" si="14"/>
        <v>0</v>
      </c>
      <c r="T84" s="8">
        <f t="shared" si="15"/>
        <v>0</v>
      </c>
      <c r="U84" s="8">
        <f t="shared" si="16"/>
        <v>0</v>
      </c>
      <c r="V84" s="10" t="str">
        <f t="shared" si="17"/>
        <v>OK</v>
      </c>
    </row>
    <row r="85" spans="1:22">
      <c r="A85" s="17">
        <v>243</v>
      </c>
      <c r="B85" s="5" t="s">
        <v>230</v>
      </c>
      <c r="C85" s="5" t="s">
        <v>205</v>
      </c>
      <c r="D85" s="5" t="s">
        <v>31</v>
      </c>
      <c r="E85" s="5" t="s">
        <v>123</v>
      </c>
      <c r="F85" s="6"/>
      <c r="G85" s="7"/>
      <c r="H85" s="7"/>
      <c r="I85" s="7"/>
      <c r="J85" s="7"/>
      <c r="K85" s="7"/>
      <c r="L85" s="7"/>
      <c r="M85" s="8">
        <f>48</f>
        <v>48</v>
      </c>
      <c r="N85" s="8">
        <f t="shared" si="12"/>
        <v>0</v>
      </c>
      <c r="O85" s="8">
        <f>IF(COUNTIF(PARAMETRES_REGIMES!$A$3:$A$100,$A85)&gt;0,MIN(M85,SUM(F85:L85)*24),MIN(M85,SUM(F85:K85)*24))</f>
        <v>0</v>
      </c>
      <c r="P85" s="9">
        <f>IF(COUNTIF(PARAMETRES_REGIMES!$A$3:$A$100,$A85)&gt;0,FLOOR(MAX(SUM(F85:L85)*24-M85,0),0.5),FLOOR(MAX(SUM(F85:K85)*24-M85,0),0.5))</f>
        <v>0</v>
      </c>
      <c r="Q85" s="9">
        <f>IF(COUNTIF(PARAMETRES_REGIMES!$A$3:$A$100,$A85)&gt;0,0,IF(ISNUMBER(L85),FLOOR(MAX(L85*24,0),0.5),0))</f>
        <v>0</v>
      </c>
      <c r="R85" s="8">
        <f t="shared" si="13"/>
        <v>0</v>
      </c>
      <c r="S85" s="8">
        <f t="shared" si="14"/>
        <v>0</v>
      </c>
      <c r="T85" s="8">
        <f t="shared" si="15"/>
        <v>0</v>
      </c>
      <c r="U85" s="8">
        <f t="shared" si="16"/>
        <v>0</v>
      </c>
      <c r="V85" s="10" t="str">
        <f t="shared" si="17"/>
        <v>OK</v>
      </c>
    </row>
    <row r="86" spans="1:22">
      <c r="A86" s="17" t="s">
        <v>231</v>
      </c>
      <c r="B86" s="5" t="s">
        <v>232</v>
      </c>
      <c r="C86" s="5" t="s">
        <v>233</v>
      </c>
      <c r="D86" s="5" t="s">
        <v>31</v>
      </c>
      <c r="E86" s="5" t="s">
        <v>123</v>
      </c>
      <c r="F86" s="6"/>
      <c r="G86" s="7"/>
      <c r="H86" s="7"/>
      <c r="I86" s="7"/>
      <c r="J86" s="7"/>
      <c r="K86" s="7"/>
      <c r="L86" s="7"/>
      <c r="M86" s="8">
        <f>48</f>
        <v>48</v>
      </c>
      <c r="N86" s="8">
        <f t="shared" si="12"/>
        <v>0</v>
      </c>
      <c r="O86" s="8">
        <f>IF(COUNTIF(PARAMETRES_REGIMES!$A$3:$A$100,$A86)&gt;0,MIN(M86,SUM(F86:L86)*24),MIN(M86,SUM(F86:K86)*24))</f>
        <v>0</v>
      </c>
      <c r="P86" s="9">
        <f>IF(COUNTIF(PARAMETRES_REGIMES!$A$3:$A$100,$A86)&gt;0,FLOOR(MAX(SUM(F86:L86)*24-M86,0),0.5),FLOOR(MAX(SUM(F86:K86)*24-M86,0),0.5))</f>
        <v>0</v>
      </c>
      <c r="Q86" s="9">
        <f>IF(COUNTIF(PARAMETRES_REGIMES!$A$3:$A$100,$A86)&gt;0,0,IF(ISNUMBER(L86),FLOOR(MAX(L86*24,0),0.5),0))</f>
        <v>0</v>
      </c>
      <c r="R86" s="8">
        <f t="shared" si="13"/>
        <v>0</v>
      </c>
      <c r="S86" s="8">
        <f t="shared" si="14"/>
        <v>0</v>
      </c>
      <c r="T86" s="8">
        <f t="shared" si="15"/>
        <v>0</v>
      </c>
      <c r="U86" s="8">
        <f t="shared" si="16"/>
        <v>0</v>
      </c>
      <c r="V86" s="10" t="str">
        <f t="shared" si="17"/>
        <v>OK</v>
      </c>
    </row>
    <row r="87" spans="1:22">
      <c r="A87" s="17">
        <v>96</v>
      </c>
      <c r="B87" s="5" t="s">
        <v>232</v>
      </c>
      <c r="C87" s="5" t="s">
        <v>234</v>
      </c>
      <c r="D87" s="5" t="s">
        <v>31</v>
      </c>
      <c r="E87" s="5" t="s">
        <v>123</v>
      </c>
      <c r="F87" s="6"/>
      <c r="G87" s="7"/>
      <c r="H87" s="7"/>
      <c r="I87" s="7"/>
      <c r="J87" s="7"/>
      <c r="K87" s="7"/>
      <c r="L87" s="7"/>
      <c r="M87" s="8">
        <f>48</f>
        <v>48</v>
      </c>
      <c r="N87" s="8">
        <f t="shared" si="12"/>
        <v>0</v>
      </c>
      <c r="O87" s="8">
        <f>IF(COUNTIF(PARAMETRES_REGIMES!$A$3:$A$100,$A87)&gt;0,MIN(M87,SUM(F87:L87)*24),MIN(M87,SUM(F87:K87)*24))</f>
        <v>0</v>
      </c>
      <c r="P87" s="9">
        <f>IF(COUNTIF(PARAMETRES_REGIMES!$A$3:$A$100,$A87)&gt;0,FLOOR(MAX(SUM(F87:L87)*24-M87,0),0.5),FLOOR(MAX(SUM(F87:K87)*24-M87,0),0.5))</f>
        <v>0</v>
      </c>
      <c r="Q87" s="9">
        <f>IF(COUNTIF(PARAMETRES_REGIMES!$A$3:$A$100,$A87)&gt;0,0,IF(ISNUMBER(L87),FLOOR(MAX(L87*24,0),0.5),0))</f>
        <v>0</v>
      </c>
      <c r="R87" s="8">
        <f t="shared" si="13"/>
        <v>0</v>
      </c>
      <c r="S87" s="8">
        <f t="shared" si="14"/>
        <v>0</v>
      </c>
      <c r="T87" s="8">
        <f t="shared" si="15"/>
        <v>0</v>
      </c>
      <c r="U87" s="8">
        <f t="shared" si="16"/>
        <v>0</v>
      </c>
      <c r="V87" s="10" t="str">
        <f t="shared" si="17"/>
        <v>OK</v>
      </c>
    </row>
    <row r="88" spans="1:22">
      <c r="A88" s="17" t="s">
        <v>235</v>
      </c>
      <c r="B88" s="5" t="s">
        <v>232</v>
      </c>
      <c r="C88" s="5" t="s">
        <v>236</v>
      </c>
      <c r="D88" s="5" t="s">
        <v>31</v>
      </c>
      <c r="E88" s="5" t="s">
        <v>123</v>
      </c>
      <c r="F88" s="6"/>
      <c r="G88" s="7"/>
      <c r="H88" s="7"/>
      <c r="I88" s="7"/>
      <c r="J88" s="7"/>
      <c r="K88" s="7"/>
      <c r="L88" s="7"/>
      <c r="M88" s="8">
        <f>48</f>
        <v>48</v>
      </c>
      <c r="N88" s="8">
        <f t="shared" si="12"/>
        <v>0</v>
      </c>
      <c r="O88" s="8">
        <f>IF(COUNTIF(PARAMETRES_REGIMES!$A$3:$A$100,$A88)&gt;0,MIN(M88,SUM(F88:L88)*24),MIN(M88,SUM(F88:K88)*24))</f>
        <v>0</v>
      </c>
      <c r="P88" s="9">
        <f>IF(COUNTIF(PARAMETRES_REGIMES!$A$3:$A$100,$A88)&gt;0,FLOOR(MAX(SUM(F88:L88)*24-M88,0),0.5),FLOOR(MAX(SUM(F88:K88)*24-M88,0),0.5))</f>
        <v>0</v>
      </c>
      <c r="Q88" s="9">
        <f>IF(COUNTIF(PARAMETRES_REGIMES!$A$3:$A$100,$A88)&gt;0,0,IF(ISNUMBER(L88),FLOOR(MAX(L88*24,0),0.5),0))</f>
        <v>0</v>
      </c>
      <c r="R88" s="8">
        <f t="shared" si="13"/>
        <v>0</v>
      </c>
      <c r="S88" s="8">
        <f t="shared" si="14"/>
        <v>0</v>
      </c>
      <c r="T88" s="8">
        <f t="shared" si="15"/>
        <v>0</v>
      </c>
      <c r="U88" s="8">
        <f t="shared" si="16"/>
        <v>0</v>
      </c>
      <c r="V88" s="10" t="str">
        <f t="shared" si="17"/>
        <v>OK</v>
      </c>
    </row>
    <row r="89" spans="1:22">
      <c r="A89" s="17" t="s">
        <v>237</v>
      </c>
      <c r="B89" s="5" t="s">
        <v>238</v>
      </c>
      <c r="C89" s="5" t="s">
        <v>239</v>
      </c>
      <c r="D89" s="5" t="s">
        <v>31</v>
      </c>
      <c r="E89" s="5" t="s">
        <v>123</v>
      </c>
      <c r="F89" s="6"/>
      <c r="G89" s="7"/>
      <c r="H89" s="7"/>
      <c r="I89" s="7"/>
      <c r="J89" s="7"/>
      <c r="K89" s="7"/>
      <c r="L89" s="7"/>
      <c r="M89" s="8">
        <f>48</f>
        <v>48</v>
      </c>
      <c r="N89" s="8">
        <f t="shared" si="12"/>
        <v>0</v>
      </c>
      <c r="O89" s="8">
        <f>IF(COUNTIF(PARAMETRES_REGIMES!$A$3:$A$100,$A89)&gt;0,MIN(M89,SUM(F89:L89)*24),MIN(M89,SUM(F89:K89)*24))</f>
        <v>0</v>
      </c>
      <c r="P89" s="9">
        <f>IF(COUNTIF(PARAMETRES_REGIMES!$A$3:$A$100,$A89)&gt;0,FLOOR(MAX(SUM(F89:L89)*24-M89,0),0.5),FLOOR(MAX(SUM(F89:K89)*24-M89,0),0.5))</f>
        <v>0</v>
      </c>
      <c r="Q89" s="9">
        <f>IF(COUNTIF(PARAMETRES_REGIMES!$A$3:$A$100,$A89)&gt;0,0,IF(ISNUMBER(L89),FLOOR(MAX(L89*24,0),0.5),0))</f>
        <v>0</v>
      </c>
      <c r="R89" s="8">
        <f t="shared" si="13"/>
        <v>0</v>
      </c>
      <c r="S89" s="8">
        <f t="shared" si="14"/>
        <v>0</v>
      </c>
      <c r="T89" s="8">
        <f t="shared" si="15"/>
        <v>0</v>
      </c>
      <c r="U89" s="8">
        <f t="shared" si="16"/>
        <v>0</v>
      </c>
      <c r="V89" s="10" t="str">
        <f t="shared" si="17"/>
        <v>OK</v>
      </c>
    </row>
    <row r="90" spans="1:22">
      <c r="A90" s="17" t="s">
        <v>240</v>
      </c>
      <c r="B90" s="5" t="s">
        <v>241</v>
      </c>
      <c r="C90" s="5" t="s">
        <v>242</v>
      </c>
      <c r="D90" s="5" t="s">
        <v>31</v>
      </c>
      <c r="E90" s="5" t="s">
        <v>123</v>
      </c>
      <c r="F90" s="6"/>
      <c r="G90" s="7"/>
      <c r="H90" s="7"/>
      <c r="I90" s="7"/>
      <c r="J90" s="7"/>
      <c r="K90" s="7"/>
      <c r="L90" s="7"/>
      <c r="M90" s="8">
        <f>48</f>
        <v>48</v>
      </c>
      <c r="N90" s="8">
        <f t="shared" si="12"/>
        <v>0</v>
      </c>
      <c r="O90" s="8">
        <f>IF(COUNTIF(PARAMETRES_REGIMES!$A$3:$A$100,$A90)&gt;0,MIN(M90,SUM(F90:L90)*24),MIN(M90,SUM(F90:K90)*24))</f>
        <v>0</v>
      </c>
      <c r="P90" s="9">
        <f>IF(COUNTIF(PARAMETRES_REGIMES!$A$3:$A$100,$A90)&gt;0,FLOOR(MAX(SUM(F90:L90)*24-M90,0),0.5),FLOOR(MAX(SUM(F90:K90)*24-M90,0),0.5))</f>
        <v>0</v>
      </c>
      <c r="Q90" s="9">
        <f>IF(COUNTIF(PARAMETRES_REGIMES!$A$3:$A$100,$A90)&gt;0,0,IF(ISNUMBER(L90),FLOOR(MAX(L90*24,0),0.5),0))</f>
        <v>0</v>
      </c>
      <c r="R90" s="8">
        <f t="shared" si="13"/>
        <v>0</v>
      </c>
      <c r="S90" s="8">
        <f t="shared" si="14"/>
        <v>0</v>
      </c>
      <c r="T90" s="8">
        <f t="shared" si="15"/>
        <v>0</v>
      </c>
      <c r="U90" s="8">
        <f t="shared" si="16"/>
        <v>0</v>
      </c>
      <c r="V90" s="10" t="str">
        <f t="shared" si="17"/>
        <v>OK</v>
      </c>
    </row>
    <row r="91" spans="1:22">
      <c r="A91" s="17" t="s">
        <v>243</v>
      </c>
      <c r="B91" s="5" t="s">
        <v>244</v>
      </c>
      <c r="C91" s="5" t="s">
        <v>245</v>
      </c>
      <c r="D91" s="5" t="s">
        <v>31</v>
      </c>
      <c r="E91" s="5" t="s">
        <v>123</v>
      </c>
      <c r="F91" s="6"/>
      <c r="G91" s="7"/>
      <c r="H91" s="7"/>
      <c r="I91" s="7"/>
      <c r="J91" s="7"/>
      <c r="K91" s="7"/>
      <c r="L91" s="7"/>
      <c r="M91" s="8">
        <f>48</f>
        <v>48</v>
      </c>
      <c r="N91" s="8">
        <f t="shared" si="12"/>
        <v>0</v>
      </c>
      <c r="O91" s="8">
        <f>IF(COUNTIF(PARAMETRES_REGIMES!$A$3:$A$100,$A91)&gt;0,MIN(M91,SUM(F91:L91)*24),MIN(M91,SUM(F91:K91)*24))</f>
        <v>0</v>
      </c>
      <c r="P91" s="9">
        <f>IF(COUNTIF(PARAMETRES_REGIMES!$A$3:$A$100,$A91)&gt;0,FLOOR(MAX(SUM(F91:L91)*24-M91,0),0.5),FLOOR(MAX(SUM(F91:K91)*24-M91,0),0.5))</f>
        <v>0</v>
      </c>
      <c r="Q91" s="9">
        <f>IF(COUNTIF(PARAMETRES_REGIMES!$A$3:$A$100,$A91)&gt;0,0,IF(ISNUMBER(L91),FLOOR(MAX(L91*24,0),0.5),0))</f>
        <v>0</v>
      </c>
      <c r="R91" s="8">
        <f t="shared" si="13"/>
        <v>0</v>
      </c>
      <c r="S91" s="8">
        <f t="shared" si="14"/>
        <v>0</v>
      </c>
      <c r="T91" s="8">
        <f t="shared" si="15"/>
        <v>0</v>
      </c>
      <c r="U91" s="8">
        <f t="shared" si="16"/>
        <v>0</v>
      </c>
      <c r="V91" s="10" t="str">
        <f t="shared" si="17"/>
        <v>OK</v>
      </c>
    </row>
    <row r="92" spans="1:22">
      <c r="A92" s="17" t="s">
        <v>246</v>
      </c>
      <c r="B92" s="5" t="s">
        <v>247</v>
      </c>
      <c r="C92" s="5" t="s">
        <v>248</v>
      </c>
      <c r="D92" s="5" t="s">
        <v>31</v>
      </c>
      <c r="E92" s="5" t="s">
        <v>123</v>
      </c>
      <c r="F92" s="6"/>
      <c r="G92" s="7"/>
      <c r="H92" s="7"/>
      <c r="I92" s="7"/>
      <c r="J92" s="7"/>
      <c r="K92" s="7"/>
      <c r="L92" s="7"/>
      <c r="M92" s="8">
        <f>48</f>
        <v>48</v>
      </c>
      <c r="N92" s="8">
        <f t="shared" si="12"/>
        <v>0</v>
      </c>
      <c r="O92" s="8">
        <f>IF(COUNTIF(PARAMETRES_REGIMES!$A$3:$A$100,$A92)&gt;0,MIN(M92,SUM(F92:L92)*24),MIN(M92,SUM(F92:K92)*24))</f>
        <v>0</v>
      </c>
      <c r="P92" s="9">
        <f>IF(COUNTIF(PARAMETRES_REGIMES!$A$3:$A$100,$A92)&gt;0,FLOOR(MAX(SUM(F92:L92)*24-M92,0),0.5),FLOOR(MAX(SUM(F92:K92)*24-M92,0),0.5))</f>
        <v>0</v>
      </c>
      <c r="Q92" s="9">
        <f>IF(COUNTIF(PARAMETRES_REGIMES!$A$3:$A$100,$A92)&gt;0,0,IF(ISNUMBER(L92),FLOOR(MAX(L92*24,0),0.5),0))</f>
        <v>0</v>
      </c>
      <c r="R92" s="8">
        <f t="shared" si="13"/>
        <v>0</v>
      </c>
      <c r="S92" s="8">
        <f t="shared" si="14"/>
        <v>0</v>
      </c>
      <c r="T92" s="8">
        <f t="shared" si="15"/>
        <v>0</v>
      </c>
      <c r="U92" s="8">
        <f t="shared" si="16"/>
        <v>0</v>
      </c>
      <c r="V92" s="10" t="str">
        <f t="shared" si="17"/>
        <v>OK</v>
      </c>
    </row>
    <row r="93" spans="1:22">
      <c r="A93" s="17" t="s">
        <v>249</v>
      </c>
      <c r="B93" s="5" t="s">
        <v>250</v>
      </c>
      <c r="C93" s="5" t="s">
        <v>251</v>
      </c>
      <c r="D93" s="5" t="s">
        <v>31</v>
      </c>
      <c r="E93" s="5" t="s">
        <v>123</v>
      </c>
      <c r="F93" s="6"/>
      <c r="G93" s="7"/>
      <c r="H93" s="7"/>
      <c r="I93" s="7"/>
      <c r="J93" s="7"/>
      <c r="K93" s="7"/>
      <c r="L93" s="7"/>
      <c r="M93" s="8">
        <f>48</f>
        <v>48</v>
      </c>
      <c r="N93" s="8">
        <f t="shared" si="12"/>
        <v>0</v>
      </c>
      <c r="O93" s="8">
        <f>IF(COUNTIF(PARAMETRES_REGIMES!$A$3:$A$100,$A93)&gt;0,MIN(M93,SUM(F93:L93)*24),MIN(M93,SUM(F93:K93)*24))</f>
        <v>0</v>
      </c>
      <c r="P93" s="9">
        <f>IF(COUNTIF(PARAMETRES_REGIMES!$A$3:$A$100,$A93)&gt;0,FLOOR(MAX(SUM(F93:L93)*24-M93,0),0.5),FLOOR(MAX(SUM(F93:K93)*24-M93,0),0.5))</f>
        <v>0</v>
      </c>
      <c r="Q93" s="9">
        <f>IF(COUNTIF(PARAMETRES_REGIMES!$A$3:$A$100,$A93)&gt;0,0,IF(ISNUMBER(L93),FLOOR(MAX(L93*24,0),0.5),0))</f>
        <v>0</v>
      </c>
      <c r="R93" s="8">
        <f t="shared" si="13"/>
        <v>0</v>
      </c>
      <c r="S93" s="8">
        <f t="shared" si="14"/>
        <v>0</v>
      </c>
      <c r="T93" s="8">
        <f t="shared" si="15"/>
        <v>0</v>
      </c>
      <c r="U93" s="8">
        <f t="shared" si="16"/>
        <v>0</v>
      </c>
      <c r="V93" s="10" t="str">
        <f t="shared" si="17"/>
        <v>OK</v>
      </c>
    </row>
    <row r="94" spans="1:22">
      <c r="A94" s="17" t="s">
        <v>252</v>
      </c>
      <c r="B94" s="5" t="s">
        <v>253</v>
      </c>
      <c r="C94" s="5" t="s">
        <v>254</v>
      </c>
      <c r="D94" s="5" t="s">
        <v>31</v>
      </c>
      <c r="E94" s="5" t="s">
        <v>123</v>
      </c>
      <c r="F94" s="6"/>
      <c r="G94" s="7"/>
      <c r="H94" s="7"/>
      <c r="I94" s="7"/>
      <c r="J94" s="7"/>
      <c r="K94" s="7"/>
      <c r="L94" s="7"/>
      <c r="M94" s="8">
        <f>48</f>
        <v>48</v>
      </c>
      <c r="N94" s="8">
        <f t="shared" si="12"/>
        <v>0</v>
      </c>
      <c r="O94" s="8">
        <f>IF(COUNTIF(PARAMETRES_REGIMES!$A$3:$A$100,$A94)&gt;0,MIN(M94,SUM(F94:L94)*24),MIN(M94,SUM(F94:K94)*24))</f>
        <v>0</v>
      </c>
      <c r="P94" s="9">
        <f>IF(COUNTIF(PARAMETRES_REGIMES!$A$3:$A$100,$A94)&gt;0,FLOOR(MAX(SUM(F94:L94)*24-M94,0),0.5),FLOOR(MAX(SUM(F94:K94)*24-M94,0),0.5))</f>
        <v>0</v>
      </c>
      <c r="Q94" s="9">
        <f>IF(COUNTIF(PARAMETRES_REGIMES!$A$3:$A$100,$A94)&gt;0,0,IF(ISNUMBER(L94),FLOOR(MAX(L94*24,0),0.5),0))</f>
        <v>0</v>
      </c>
      <c r="R94" s="8">
        <f t="shared" si="13"/>
        <v>0</v>
      </c>
      <c r="S94" s="8">
        <f t="shared" si="14"/>
        <v>0</v>
      </c>
      <c r="T94" s="8">
        <f t="shared" si="15"/>
        <v>0</v>
      </c>
      <c r="U94" s="8">
        <f t="shared" si="16"/>
        <v>0</v>
      </c>
      <c r="V94" s="10" t="str">
        <f t="shared" si="17"/>
        <v>OK</v>
      </c>
    </row>
    <row r="95" spans="1:22">
      <c r="A95" s="17" t="s">
        <v>255</v>
      </c>
      <c r="B95" s="5" t="s">
        <v>256</v>
      </c>
      <c r="C95" s="5" t="s">
        <v>257</v>
      </c>
      <c r="D95" s="5" t="s">
        <v>31</v>
      </c>
      <c r="E95" s="5" t="s">
        <v>123</v>
      </c>
      <c r="F95" s="6"/>
      <c r="G95" s="7"/>
      <c r="H95" s="7"/>
      <c r="I95" s="7"/>
      <c r="J95" s="7"/>
      <c r="K95" s="7"/>
      <c r="L95" s="7"/>
      <c r="M95" s="8">
        <f>48</f>
        <v>48</v>
      </c>
      <c r="N95" s="8">
        <f t="shared" si="12"/>
        <v>0</v>
      </c>
      <c r="O95" s="8">
        <f>IF(COUNTIF(PARAMETRES_REGIMES!$A$3:$A$100,$A95)&gt;0,MIN(M95,SUM(F95:L95)*24),MIN(M95,SUM(F95:K95)*24))</f>
        <v>0</v>
      </c>
      <c r="P95" s="9">
        <f>IF(COUNTIF(PARAMETRES_REGIMES!$A$3:$A$100,$A95)&gt;0,FLOOR(MAX(SUM(F95:L95)*24-M95,0),0.5),FLOOR(MAX(SUM(F95:K95)*24-M95,0),0.5))</f>
        <v>0</v>
      </c>
      <c r="Q95" s="9">
        <f>IF(COUNTIF(PARAMETRES_REGIMES!$A$3:$A$100,$A95)&gt;0,0,IF(ISNUMBER(L95),FLOOR(MAX(L95*24,0),0.5),0))</f>
        <v>0</v>
      </c>
      <c r="R95" s="8">
        <f t="shared" si="13"/>
        <v>0</v>
      </c>
      <c r="S95" s="8">
        <f t="shared" si="14"/>
        <v>0</v>
      </c>
      <c r="T95" s="8">
        <f t="shared" si="15"/>
        <v>0</v>
      </c>
      <c r="U95" s="8">
        <f t="shared" si="16"/>
        <v>0</v>
      </c>
      <c r="V95" s="10" t="str">
        <f t="shared" si="17"/>
        <v>OK</v>
      </c>
    </row>
    <row r="96" spans="1:22">
      <c r="A96" s="17">
        <v>247</v>
      </c>
      <c r="B96" s="5" t="s">
        <v>258</v>
      </c>
      <c r="C96" s="5" t="s">
        <v>259</v>
      </c>
      <c r="D96" s="5" t="s">
        <v>31</v>
      </c>
      <c r="E96" s="5" t="s">
        <v>123</v>
      </c>
      <c r="F96" s="6"/>
      <c r="G96" s="7"/>
      <c r="H96" s="7"/>
      <c r="I96" s="7"/>
      <c r="J96" s="7"/>
      <c r="K96" s="7"/>
      <c r="L96" s="7"/>
      <c r="M96" s="8">
        <f>48</f>
        <v>48</v>
      </c>
      <c r="N96" s="8">
        <f t="shared" si="12"/>
        <v>0</v>
      </c>
      <c r="O96" s="8">
        <f>IF(COUNTIF(PARAMETRES_REGIMES!$A$3:$A$100,$A96)&gt;0,MIN(M96,SUM(F96:L96)*24),MIN(M96,SUM(F96:K96)*24))</f>
        <v>0</v>
      </c>
      <c r="P96" s="9">
        <f>IF(COUNTIF(PARAMETRES_REGIMES!$A$3:$A$100,$A96)&gt;0,FLOOR(MAX(SUM(F96:L96)*24-M96,0),0.5),FLOOR(MAX(SUM(F96:K96)*24-M96,0),0.5))</f>
        <v>0</v>
      </c>
      <c r="Q96" s="9">
        <f>IF(COUNTIF(PARAMETRES_REGIMES!$A$3:$A$100,$A96)&gt;0,0,IF(ISNUMBER(L96),FLOOR(MAX(L96*24,0),0.5),0))</f>
        <v>0</v>
      </c>
      <c r="R96" s="8">
        <f t="shared" si="13"/>
        <v>0</v>
      </c>
      <c r="S96" s="8">
        <f t="shared" si="14"/>
        <v>0</v>
      </c>
      <c r="T96" s="8">
        <f t="shared" si="15"/>
        <v>0</v>
      </c>
      <c r="U96" s="8">
        <f t="shared" si="16"/>
        <v>0</v>
      </c>
      <c r="V96" s="10" t="str">
        <f t="shared" si="17"/>
        <v>OK</v>
      </c>
    </row>
    <row r="97" spans="1:22">
      <c r="A97" s="17" t="s">
        <v>260</v>
      </c>
      <c r="B97" s="5" t="s">
        <v>261</v>
      </c>
      <c r="C97" s="5" t="s">
        <v>188</v>
      </c>
      <c r="D97" s="5" t="s">
        <v>31</v>
      </c>
      <c r="E97" s="5" t="s">
        <v>123</v>
      </c>
      <c r="F97" s="6"/>
      <c r="G97" s="7"/>
      <c r="H97" s="7"/>
      <c r="I97" s="7"/>
      <c r="J97" s="7"/>
      <c r="K97" s="7"/>
      <c r="L97" s="7"/>
      <c r="M97" s="8">
        <f>48</f>
        <v>48</v>
      </c>
      <c r="N97" s="8">
        <f t="shared" si="12"/>
        <v>0</v>
      </c>
      <c r="O97" s="8">
        <f>IF(COUNTIF(PARAMETRES_REGIMES!$A$3:$A$100,$A97)&gt;0,MIN(M97,SUM(F97:L97)*24),MIN(M97,SUM(F97:K97)*24))</f>
        <v>0</v>
      </c>
      <c r="P97" s="9">
        <f>IF(COUNTIF(PARAMETRES_REGIMES!$A$3:$A$100,$A97)&gt;0,FLOOR(MAX(SUM(F97:L97)*24-M97,0),0.5),FLOOR(MAX(SUM(F97:K97)*24-M97,0),0.5))</f>
        <v>0</v>
      </c>
      <c r="Q97" s="9">
        <f>IF(COUNTIF(PARAMETRES_REGIMES!$A$3:$A$100,$A97)&gt;0,0,IF(ISNUMBER(L97),FLOOR(MAX(L97*24,0),0.5),0))</f>
        <v>0</v>
      </c>
      <c r="R97" s="8">
        <f t="shared" si="13"/>
        <v>0</v>
      </c>
      <c r="S97" s="8">
        <f t="shared" si="14"/>
        <v>0</v>
      </c>
      <c r="T97" s="8">
        <f t="shared" si="15"/>
        <v>0</v>
      </c>
      <c r="U97" s="8">
        <f t="shared" si="16"/>
        <v>0</v>
      </c>
      <c r="V97" s="10" t="str">
        <f t="shared" si="17"/>
        <v>OK</v>
      </c>
    </row>
    <row r="98" spans="1:22">
      <c r="A98" s="17">
        <v>242</v>
      </c>
      <c r="B98" s="5" t="s">
        <v>262</v>
      </c>
      <c r="C98" s="5" t="s">
        <v>263</v>
      </c>
      <c r="D98" s="5" t="s">
        <v>31</v>
      </c>
      <c r="E98" s="5" t="s">
        <v>123</v>
      </c>
      <c r="F98" s="6"/>
      <c r="G98" s="7"/>
      <c r="H98" s="7"/>
      <c r="I98" s="7"/>
      <c r="J98" s="7"/>
      <c r="K98" s="7"/>
      <c r="L98" s="7"/>
      <c r="M98" s="8">
        <f>48</f>
        <v>48</v>
      </c>
      <c r="N98" s="8">
        <f t="shared" si="12"/>
        <v>0</v>
      </c>
      <c r="O98" s="8">
        <f>IF(COUNTIF(PARAMETRES_REGIMES!$A$3:$A$100,$A98)&gt;0,MIN(M98,SUM(F98:L98)*24),MIN(M98,SUM(F98:K98)*24))</f>
        <v>0</v>
      </c>
      <c r="P98" s="9">
        <f>IF(COUNTIF(PARAMETRES_REGIMES!$A$3:$A$100,$A98)&gt;0,FLOOR(MAX(SUM(F98:L98)*24-M98,0),0.5),FLOOR(MAX(SUM(F98:K98)*24-M98,0),0.5))</f>
        <v>0</v>
      </c>
      <c r="Q98" s="9">
        <f>IF(COUNTIF(PARAMETRES_REGIMES!$A$3:$A$100,$A98)&gt;0,0,IF(ISNUMBER(L98),FLOOR(MAX(L98*24,0),0.5),0))</f>
        <v>0</v>
      </c>
      <c r="R98" s="8">
        <f t="shared" si="13"/>
        <v>0</v>
      </c>
      <c r="S98" s="8">
        <f t="shared" si="14"/>
        <v>0</v>
      </c>
      <c r="T98" s="8">
        <f t="shared" si="15"/>
        <v>0</v>
      </c>
      <c r="U98" s="8">
        <f t="shared" si="16"/>
        <v>0</v>
      </c>
      <c r="V98" s="10" t="str">
        <f t="shared" si="17"/>
        <v>OK</v>
      </c>
    </row>
    <row r="99" spans="1:22">
      <c r="A99" s="17">
        <v>94</v>
      </c>
      <c r="B99" s="5" t="s">
        <v>264</v>
      </c>
      <c r="C99" s="5" t="s">
        <v>265</v>
      </c>
      <c r="D99" s="5" t="s">
        <v>31</v>
      </c>
      <c r="E99" s="5" t="s">
        <v>123</v>
      </c>
      <c r="F99" s="6"/>
      <c r="G99" s="7"/>
      <c r="H99" s="7"/>
      <c r="I99" s="7"/>
      <c r="J99" s="7"/>
      <c r="K99" s="7"/>
      <c r="L99" s="7"/>
      <c r="M99" s="8">
        <f>48</f>
        <v>48</v>
      </c>
      <c r="N99" s="8">
        <f t="shared" ref="N99:N113" si="18">SUM(F99:L99)*24</f>
        <v>0</v>
      </c>
      <c r="O99" s="8">
        <f>IF(COUNTIF(PARAMETRES_REGIMES!$A$3:$A$100,$A99)&gt;0,MIN(M99,SUM(F99:L99)*24),MIN(M99,SUM(F99:K99)*24))</f>
        <v>0</v>
      </c>
      <c r="P99" s="9">
        <f>IF(COUNTIF(PARAMETRES_REGIMES!$A$3:$A$100,$A99)&gt;0,FLOOR(MAX(SUM(F99:L99)*24-M99,0),0.5),FLOOR(MAX(SUM(F99:K99)*24-M99,0),0.5))</f>
        <v>0</v>
      </c>
      <c r="Q99" s="9">
        <f>IF(COUNTIF(PARAMETRES_REGIMES!$A$3:$A$100,$A99)&gt;0,0,IF(ISNUMBER(L99),FLOOR(MAX(L99*24,0),0.5),0))</f>
        <v>0</v>
      </c>
      <c r="R99" s="8">
        <f t="shared" ref="R99:R113" si="19">COUNTIF(F99:L99,"ABS")</f>
        <v>0</v>
      </c>
      <c r="S99" s="8">
        <f t="shared" ref="S99:S113" si="20">COUNTIF(F99:L99,"Congé")</f>
        <v>0</v>
      </c>
      <c r="T99" s="8">
        <f t="shared" ref="T99:T113" si="21">COUNTIF(F99:L99,"Férié")</f>
        <v>0</v>
      </c>
      <c r="U99" s="8">
        <f t="shared" ref="U99:U113" si="22">O99+P99+Q99+(T99*8.5)</f>
        <v>0</v>
      </c>
      <c r="V99" s="10" t="str">
        <f t="shared" ref="V99:V113" si="23">IF(COUNTIF(F99:L99,"STC")&gt;0,"STC",IF(COUNTIF(F99:L99,"*!*")&gt;0,"À vérifier","OK"))</f>
        <v>OK</v>
      </c>
    </row>
    <row r="100" spans="1:22">
      <c r="A100" s="17" t="s">
        <v>266</v>
      </c>
      <c r="B100" s="5" t="s">
        <v>267</v>
      </c>
      <c r="C100" s="5" t="s">
        <v>63</v>
      </c>
      <c r="D100" s="5" t="s">
        <v>31</v>
      </c>
      <c r="E100" s="5" t="s">
        <v>123</v>
      </c>
      <c r="F100" s="6"/>
      <c r="G100" s="7"/>
      <c r="H100" s="7"/>
      <c r="I100" s="7"/>
      <c r="J100" s="7"/>
      <c r="K100" s="7"/>
      <c r="L100" s="7"/>
      <c r="M100" s="8">
        <f>48</f>
        <v>48</v>
      </c>
      <c r="N100" s="8">
        <f t="shared" si="18"/>
        <v>0</v>
      </c>
      <c r="O100" s="8">
        <f>IF(COUNTIF(PARAMETRES_REGIMES!$A$3:$A$100,$A100)&gt;0,MIN(M100,SUM(F100:L100)*24),MIN(M100,SUM(F100:K100)*24))</f>
        <v>0</v>
      </c>
      <c r="P100" s="9">
        <f>IF(COUNTIF(PARAMETRES_REGIMES!$A$3:$A$100,$A100)&gt;0,FLOOR(MAX(SUM(F100:L100)*24-M100,0),0.5),FLOOR(MAX(SUM(F100:K100)*24-M100,0),0.5))</f>
        <v>0</v>
      </c>
      <c r="Q100" s="9">
        <f>IF(COUNTIF(PARAMETRES_REGIMES!$A$3:$A$100,$A100)&gt;0,0,IF(ISNUMBER(L100),FLOOR(MAX(L100*24,0),0.5),0))</f>
        <v>0</v>
      </c>
      <c r="R100" s="8">
        <f t="shared" si="19"/>
        <v>0</v>
      </c>
      <c r="S100" s="8">
        <f t="shared" si="20"/>
        <v>0</v>
      </c>
      <c r="T100" s="8">
        <f t="shared" si="21"/>
        <v>0</v>
      </c>
      <c r="U100" s="8">
        <f t="shared" si="22"/>
        <v>0</v>
      </c>
      <c r="V100" s="10" t="str">
        <f t="shared" si="23"/>
        <v>OK</v>
      </c>
    </row>
    <row r="101" spans="1:22">
      <c r="A101" s="17" t="s">
        <v>268</v>
      </c>
      <c r="B101" s="5" t="s">
        <v>269</v>
      </c>
      <c r="C101" s="5" t="s">
        <v>270</v>
      </c>
      <c r="D101" s="5" t="s">
        <v>31</v>
      </c>
      <c r="E101" s="5" t="s">
        <v>123</v>
      </c>
      <c r="F101" s="6"/>
      <c r="G101" s="7"/>
      <c r="H101" s="7"/>
      <c r="I101" s="7"/>
      <c r="J101" s="7"/>
      <c r="K101" s="7"/>
      <c r="L101" s="7"/>
      <c r="M101" s="8">
        <f>48</f>
        <v>48</v>
      </c>
      <c r="N101" s="8">
        <f t="shared" si="18"/>
        <v>0</v>
      </c>
      <c r="O101" s="8">
        <f>IF(COUNTIF(PARAMETRES_REGIMES!$A$3:$A$100,$A101)&gt;0,MIN(M101,SUM(F101:L101)*24),MIN(M101,SUM(F101:K101)*24))</f>
        <v>0</v>
      </c>
      <c r="P101" s="9">
        <f>IF(COUNTIF(PARAMETRES_REGIMES!$A$3:$A$100,$A101)&gt;0,FLOOR(MAX(SUM(F101:L101)*24-M101,0),0.5),FLOOR(MAX(SUM(F101:K101)*24-M101,0),0.5))</f>
        <v>0</v>
      </c>
      <c r="Q101" s="9">
        <f>IF(COUNTIF(PARAMETRES_REGIMES!$A$3:$A$100,$A101)&gt;0,0,IF(ISNUMBER(L101),FLOOR(MAX(L101*24,0),0.5),0))</f>
        <v>0</v>
      </c>
      <c r="R101" s="8">
        <f t="shared" si="19"/>
        <v>0</v>
      </c>
      <c r="S101" s="8">
        <f t="shared" si="20"/>
        <v>0</v>
      </c>
      <c r="T101" s="8">
        <f t="shared" si="21"/>
        <v>0</v>
      </c>
      <c r="U101" s="8">
        <f t="shared" si="22"/>
        <v>0</v>
      </c>
      <c r="V101" s="10" t="str">
        <f t="shared" si="23"/>
        <v>OK</v>
      </c>
    </row>
    <row r="102" spans="1:22">
      <c r="A102" s="17" t="s">
        <v>271</v>
      </c>
      <c r="B102" s="5" t="s">
        <v>272</v>
      </c>
      <c r="C102" s="5" t="s">
        <v>273</v>
      </c>
      <c r="D102" s="5" t="s">
        <v>31</v>
      </c>
      <c r="E102" s="5" t="s">
        <v>123</v>
      </c>
      <c r="F102" s="6"/>
      <c r="G102" s="7"/>
      <c r="H102" s="7"/>
      <c r="I102" s="7"/>
      <c r="J102" s="7"/>
      <c r="K102" s="7"/>
      <c r="L102" s="7"/>
      <c r="M102" s="8">
        <f>48</f>
        <v>48</v>
      </c>
      <c r="N102" s="8">
        <f t="shared" si="18"/>
        <v>0</v>
      </c>
      <c r="O102" s="8">
        <f>IF(COUNTIF(PARAMETRES_REGIMES!$A$3:$A$100,$A102)&gt;0,MIN(M102,SUM(F102:L102)*24),MIN(M102,SUM(F102:K102)*24))</f>
        <v>0</v>
      </c>
      <c r="P102" s="9">
        <f>IF(COUNTIF(PARAMETRES_REGIMES!$A$3:$A$100,$A102)&gt;0,FLOOR(MAX(SUM(F102:L102)*24-M102,0),0.5),FLOOR(MAX(SUM(F102:K102)*24-M102,0),0.5))</f>
        <v>0</v>
      </c>
      <c r="Q102" s="9">
        <f>IF(COUNTIF(PARAMETRES_REGIMES!$A$3:$A$100,$A102)&gt;0,0,IF(ISNUMBER(L102),FLOOR(MAX(L102*24,0),0.5),0))</f>
        <v>0</v>
      </c>
      <c r="R102" s="8">
        <f t="shared" si="19"/>
        <v>0</v>
      </c>
      <c r="S102" s="8">
        <f t="shared" si="20"/>
        <v>0</v>
      </c>
      <c r="T102" s="8">
        <f t="shared" si="21"/>
        <v>0</v>
      </c>
      <c r="U102" s="8">
        <f t="shared" si="22"/>
        <v>0</v>
      </c>
      <c r="V102" s="10" t="str">
        <f t="shared" si="23"/>
        <v>OK</v>
      </c>
    </row>
    <row r="103" spans="1:22">
      <c r="A103" s="17" t="s">
        <v>274</v>
      </c>
      <c r="B103" s="5" t="s">
        <v>272</v>
      </c>
      <c r="C103" s="5" t="s">
        <v>275</v>
      </c>
      <c r="D103" s="5" t="s">
        <v>31</v>
      </c>
      <c r="E103" s="5" t="s">
        <v>123</v>
      </c>
      <c r="F103" s="6"/>
      <c r="G103" s="7"/>
      <c r="H103" s="7"/>
      <c r="I103" s="7"/>
      <c r="J103" s="7"/>
      <c r="K103" s="7"/>
      <c r="L103" s="7"/>
      <c r="M103" s="8">
        <f>48</f>
        <v>48</v>
      </c>
      <c r="N103" s="8">
        <f t="shared" si="18"/>
        <v>0</v>
      </c>
      <c r="O103" s="8">
        <f>IF(COUNTIF(PARAMETRES_REGIMES!$A$3:$A$100,$A103)&gt;0,MIN(M103,SUM(F103:L103)*24),MIN(M103,SUM(F103:K103)*24))</f>
        <v>0</v>
      </c>
      <c r="P103" s="9">
        <f>IF(COUNTIF(PARAMETRES_REGIMES!$A$3:$A$100,$A103)&gt;0,FLOOR(MAX(SUM(F103:L103)*24-M103,0),0.5),FLOOR(MAX(SUM(F103:K103)*24-M103,0),0.5))</f>
        <v>0</v>
      </c>
      <c r="Q103" s="9">
        <f>IF(COUNTIF(PARAMETRES_REGIMES!$A$3:$A$100,$A103)&gt;0,0,IF(ISNUMBER(L103),FLOOR(MAX(L103*24,0),0.5),0))</f>
        <v>0</v>
      </c>
      <c r="R103" s="8">
        <f t="shared" si="19"/>
        <v>0</v>
      </c>
      <c r="S103" s="8">
        <f t="shared" si="20"/>
        <v>0</v>
      </c>
      <c r="T103" s="8">
        <f t="shared" si="21"/>
        <v>0</v>
      </c>
      <c r="U103" s="8">
        <f t="shared" si="22"/>
        <v>0</v>
      </c>
      <c r="V103" s="10" t="str">
        <f t="shared" si="23"/>
        <v>OK</v>
      </c>
    </row>
    <row r="104" spans="1:22">
      <c r="A104" s="17" t="s">
        <v>276</v>
      </c>
      <c r="B104" s="5" t="s">
        <v>277</v>
      </c>
      <c r="C104" s="5" t="s">
        <v>278</v>
      </c>
      <c r="D104" s="5" t="s">
        <v>31</v>
      </c>
      <c r="E104" s="5" t="s">
        <v>123</v>
      </c>
      <c r="F104" s="6"/>
      <c r="G104" s="7"/>
      <c r="H104" s="7"/>
      <c r="I104" s="7"/>
      <c r="J104" s="7"/>
      <c r="K104" s="7"/>
      <c r="L104" s="7"/>
      <c r="M104" s="8">
        <f>48</f>
        <v>48</v>
      </c>
      <c r="N104" s="8">
        <f t="shared" si="18"/>
        <v>0</v>
      </c>
      <c r="O104" s="8">
        <f>IF(COUNTIF(PARAMETRES_REGIMES!$A$3:$A$100,$A104)&gt;0,MIN(M104,SUM(F104:L104)*24),MIN(M104,SUM(F104:K104)*24))</f>
        <v>0</v>
      </c>
      <c r="P104" s="9">
        <f>IF(COUNTIF(PARAMETRES_REGIMES!$A$3:$A$100,$A104)&gt;0,FLOOR(MAX(SUM(F104:L104)*24-M104,0),0.5),FLOOR(MAX(SUM(F104:K104)*24-M104,0),0.5))</f>
        <v>0</v>
      </c>
      <c r="Q104" s="9">
        <f>IF(COUNTIF(PARAMETRES_REGIMES!$A$3:$A$100,$A104)&gt;0,0,IF(ISNUMBER(L104),FLOOR(MAX(L104*24,0),0.5),0))</f>
        <v>0</v>
      </c>
      <c r="R104" s="8">
        <f t="shared" si="19"/>
        <v>0</v>
      </c>
      <c r="S104" s="8">
        <f t="shared" si="20"/>
        <v>0</v>
      </c>
      <c r="T104" s="8">
        <f t="shared" si="21"/>
        <v>0</v>
      </c>
      <c r="U104" s="8">
        <f t="shared" si="22"/>
        <v>0</v>
      </c>
      <c r="V104" s="10" t="str">
        <f t="shared" si="23"/>
        <v>OK</v>
      </c>
    </row>
    <row r="105" spans="1:22">
      <c r="A105" s="17">
        <v>215</v>
      </c>
      <c r="B105" s="5" t="s">
        <v>279</v>
      </c>
      <c r="C105" s="5" t="s">
        <v>280</v>
      </c>
      <c r="D105" s="5" t="s">
        <v>31</v>
      </c>
      <c r="E105" s="5" t="s">
        <v>123</v>
      </c>
      <c r="F105" s="6"/>
      <c r="G105" s="7"/>
      <c r="H105" s="7"/>
      <c r="I105" s="7"/>
      <c r="J105" s="7"/>
      <c r="K105" s="7"/>
      <c r="L105" s="7"/>
      <c r="M105" s="8">
        <f>48</f>
        <v>48</v>
      </c>
      <c r="N105" s="8">
        <f t="shared" si="18"/>
        <v>0</v>
      </c>
      <c r="O105" s="8">
        <f>IF(COUNTIF(PARAMETRES_REGIMES!$A$3:$A$100,$A105)&gt;0,MIN(M105,SUM(F105:L105)*24),MIN(M105,SUM(F105:K105)*24))</f>
        <v>0</v>
      </c>
      <c r="P105" s="9">
        <f>IF(COUNTIF(PARAMETRES_REGIMES!$A$3:$A$100,$A105)&gt;0,FLOOR(MAX(SUM(F105:L105)*24-M105,0),0.5),FLOOR(MAX(SUM(F105:K105)*24-M105,0),0.5))</f>
        <v>0</v>
      </c>
      <c r="Q105" s="9">
        <f>IF(COUNTIF(PARAMETRES_REGIMES!$A$3:$A$100,$A105)&gt;0,0,IF(ISNUMBER(L105),FLOOR(MAX(L105*24,0),0.5),0))</f>
        <v>0</v>
      </c>
      <c r="R105" s="8">
        <f t="shared" si="19"/>
        <v>0</v>
      </c>
      <c r="S105" s="8">
        <f t="shared" si="20"/>
        <v>0</v>
      </c>
      <c r="T105" s="8">
        <f t="shared" si="21"/>
        <v>0</v>
      </c>
      <c r="U105" s="8">
        <f t="shared" si="22"/>
        <v>0</v>
      </c>
      <c r="V105" s="10" t="str">
        <f t="shared" si="23"/>
        <v>OK</v>
      </c>
    </row>
    <row r="106" spans="1:22">
      <c r="A106" s="17">
        <v>204</v>
      </c>
      <c r="B106" s="5" t="s">
        <v>281</v>
      </c>
      <c r="C106" s="5" t="s">
        <v>282</v>
      </c>
      <c r="D106" s="5" t="s">
        <v>31</v>
      </c>
      <c r="E106" s="5" t="s">
        <v>123</v>
      </c>
      <c r="F106" s="6"/>
      <c r="G106" s="7"/>
      <c r="H106" s="7"/>
      <c r="I106" s="7"/>
      <c r="J106" s="7"/>
      <c r="K106" s="7"/>
      <c r="L106" s="7"/>
      <c r="M106" s="8">
        <f>48</f>
        <v>48</v>
      </c>
      <c r="N106" s="8">
        <f t="shared" si="18"/>
        <v>0</v>
      </c>
      <c r="O106" s="8">
        <f>IF(COUNTIF(PARAMETRES_REGIMES!$A$3:$A$100,$A106)&gt;0,MIN(M106,SUM(F106:L106)*24),MIN(M106,SUM(F106:K106)*24))</f>
        <v>0</v>
      </c>
      <c r="P106" s="9">
        <f>IF(COUNTIF(PARAMETRES_REGIMES!$A$3:$A$100,$A106)&gt;0,FLOOR(MAX(SUM(F106:L106)*24-M106,0),0.5),FLOOR(MAX(SUM(F106:K106)*24-M106,0),0.5))</f>
        <v>0</v>
      </c>
      <c r="Q106" s="9">
        <f>IF(COUNTIF(PARAMETRES_REGIMES!$A$3:$A$100,$A106)&gt;0,0,IF(ISNUMBER(L106),FLOOR(MAX(L106*24,0),0.5),0))</f>
        <v>0</v>
      </c>
      <c r="R106" s="8">
        <f t="shared" si="19"/>
        <v>0</v>
      </c>
      <c r="S106" s="8">
        <f t="shared" si="20"/>
        <v>0</v>
      </c>
      <c r="T106" s="8">
        <f t="shared" si="21"/>
        <v>0</v>
      </c>
      <c r="U106" s="8">
        <f t="shared" si="22"/>
        <v>0</v>
      </c>
      <c r="V106" s="10" t="str">
        <f t="shared" si="23"/>
        <v>OK</v>
      </c>
    </row>
    <row r="107" spans="1:22">
      <c r="A107" s="17" t="s">
        <v>283</v>
      </c>
      <c r="B107" s="5" t="s">
        <v>284</v>
      </c>
      <c r="C107" s="5" t="s">
        <v>285</v>
      </c>
      <c r="D107" s="5" t="s">
        <v>31</v>
      </c>
      <c r="E107" s="5" t="s">
        <v>123</v>
      </c>
      <c r="F107" s="6"/>
      <c r="G107" s="7"/>
      <c r="H107" s="7"/>
      <c r="I107" s="7"/>
      <c r="J107" s="7"/>
      <c r="K107" s="7"/>
      <c r="L107" s="7"/>
      <c r="M107" s="8">
        <f>48</f>
        <v>48</v>
      </c>
      <c r="N107" s="8">
        <f t="shared" si="18"/>
        <v>0</v>
      </c>
      <c r="O107" s="8">
        <f>IF(COUNTIF(PARAMETRES_REGIMES!$A$3:$A$100,$A107)&gt;0,MIN(M107,SUM(F107:L107)*24),MIN(M107,SUM(F107:K107)*24))</f>
        <v>0</v>
      </c>
      <c r="P107" s="9">
        <f>IF(COUNTIF(PARAMETRES_REGIMES!$A$3:$A$100,$A107)&gt;0,FLOOR(MAX(SUM(F107:L107)*24-M107,0),0.5),FLOOR(MAX(SUM(F107:K107)*24-M107,0),0.5))</f>
        <v>0</v>
      </c>
      <c r="Q107" s="9">
        <f>IF(COUNTIF(PARAMETRES_REGIMES!$A$3:$A$100,$A107)&gt;0,0,IF(ISNUMBER(L107),FLOOR(MAX(L107*24,0),0.5),0))</f>
        <v>0</v>
      </c>
      <c r="R107" s="8">
        <f t="shared" si="19"/>
        <v>0</v>
      </c>
      <c r="S107" s="8">
        <f t="shared" si="20"/>
        <v>0</v>
      </c>
      <c r="T107" s="8">
        <f t="shared" si="21"/>
        <v>0</v>
      </c>
      <c r="U107" s="8">
        <f t="shared" si="22"/>
        <v>0</v>
      </c>
      <c r="V107" s="10" t="str">
        <f t="shared" si="23"/>
        <v>OK</v>
      </c>
    </row>
    <row r="108" spans="1:22">
      <c r="A108" s="17" t="s">
        <v>286</v>
      </c>
      <c r="B108" s="5" t="s">
        <v>63</v>
      </c>
      <c r="C108" s="5" t="s">
        <v>287</v>
      </c>
      <c r="D108" s="5" t="s">
        <v>49</v>
      </c>
      <c r="E108" s="5" t="s">
        <v>123</v>
      </c>
      <c r="F108" s="6"/>
      <c r="G108" s="7"/>
      <c r="H108" s="7"/>
      <c r="I108" s="7"/>
      <c r="J108" s="7"/>
      <c r="K108" s="7"/>
      <c r="L108" s="7"/>
      <c r="M108" s="8">
        <f>48</f>
        <v>48</v>
      </c>
      <c r="N108" s="8">
        <f t="shared" si="18"/>
        <v>0</v>
      </c>
      <c r="O108" s="8">
        <f>IF(COUNTIF(PARAMETRES_REGIMES!$A$3:$A$100,$A108)&gt;0,MIN(M108,SUM(F108:L108)*24),MIN(M108,SUM(F108:K108)*24))</f>
        <v>0</v>
      </c>
      <c r="P108" s="9">
        <f>IF(COUNTIF(PARAMETRES_REGIMES!$A$3:$A$100,$A108)&gt;0,FLOOR(MAX(SUM(F108:L108)*24-M108,0),0.5),FLOOR(MAX(SUM(F108:K108)*24-M108,0),0.5))</f>
        <v>0</v>
      </c>
      <c r="Q108" s="9">
        <f>IF(COUNTIF(PARAMETRES_REGIMES!$A$3:$A$100,$A108)&gt;0,0,IF(ISNUMBER(L108),FLOOR(MAX(L108*24,0),0.5),0))</f>
        <v>0</v>
      </c>
      <c r="R108" s="8">
        <f t="shared" si="19"/>
        <v>0</v>
      </c>
      <c r="S108" s="8">
        <f t="shared" si="20"/>
        <v>0</v>
      </c>
      <c r="T108" s="8">
        <f t="shared" si="21"/>
        <v>0</v>
      </c>
      <c r="U108" s="8">
        <f t="shared" si="22"/>
        <v>0</v>
      </c>
      <c r="V108" s="10" t="str">
        <f t="shared" si="23"/>
        <v>OK</v>
      </c>
    </row>
    <row r="109" spans="1:22">
      <c r="A109" s="17" t="s">
        <v>288</v>
      </c>
      <c r="B109" s="5" t="s">
        <v>289</v>
      </c>
      <c r="C109" s="5" t="s">
        <v>290</v>
      </c>
      <c r="D109" s="5" t="s">
        <v>69</v>
      </c>
      <c r="E109" s="5" t="s">
        <v>123</v>
      </c>
      <c r="F109" s="6"/>
      <c r="G109" s="7"/>
      <c r="H109" s="7"/>
      <c r="I109" s="7"/>
      <c r="J109" s="7"/>
      <c r="K109" s="7"/>
      <c r="L109" s="7"/>
      <c r="M109" s="8">
        <f>48</f>
        <v>48</v>
      </c>
      <c r="N109" s="8">
        <f t="shared" si="18"/>
        <v>0</v>
      </c>
      <c r="O109" s="8">
        <f>IF(COUNTIF(PARAMETRES_REGIMES!$A$3:$A$100,$A109)&gt;0,MIN(M109,SUM(F109:L109)*24),MIN(M109,SUM(F109:K109)*24))</f>
        <v>0</v>
      </c>
      <c r="P109" s="9">
        <f>IF(COUNTIF(PARAMETRES_REGIMES!$A$3:$A$100,$A109)&gt;0,FLOOR(MAX(SUM(F109:L109)*24-M109,0),0.5),FLOOR(MAX(SUM(F109:K109)*24-M109,0),0.5))</f>
        <v>0</v>
      </c>
      <c r="Q109" s="9">
        <f>IF(COUNTIF(PARAMETRES_REGIMES!$A$3:$A$100,$A109)&gt;0,0,IF(ISNUMBER(L109),FLOOR(MAX(L109*24,0),0.5),0))</f>
        <v>0</v>
      </c>
      <c r="R109" s="8">
        <f t="shared" si="19"/>
        <v>0</v>
      </c>
      <c r="S109" s="8">
        <f t="shared" si="20"/>
        <v>0</v>
      </c>
      <c r="T109" s="8">
        <f t="shared" si="21"/>
        <v>0</v>
      </c>
      <c r="U109" s="8">
        <f t="shared" si="22"/>
        <v>0</v>
      </c>
      <c r="V109" s="10" t="str">
        <f t="shared" si="23"/>
        <v>OK</v>
      </c>
    </row>
    <row r="110" spans="1:22">
      <c r="A110" s="17" t="s">
        <v>291</v>
      </c>
      <c r="B110" s="5" t="s">
        <v>292</v>
      </c>
      <c r="C110" s="5" t="s">
        <v>77</v>
      </c>
      <c r="D110" s="5" t="s">
        <v>69</v>
      </c>
      <c r="E110" s="5" t="s">
        <v>123</v>
      </c>
      <c r="F110" s="6"/>
      <c r="G110" s="7"/>
      <c r="H110" s="7"/>
      <c r="I110" s="7"/>
      <c r="J110" s="7"/>
      <c r="K110" s="7"/>
      <c r="L110" s="7"/>
      <c r="M110" s="8">
        <f>48</f>
        <v>48</v>
      </c>
      <c r="N110" s="8">
        <f t="shared" si="18"/>
        <v>0</v>
      </c>
      <c r="O110" s="8">
        <f>IF(COUNTIF(PARAMETRES_REGIMES!$A$3:$A$100,$A110)&gt;0,MIN(M110,SUM(F110:L110)*24),MIN(M110,SUM(F110:K110)*24))</f>
        <v>0</v>
      </c>
      <c r="P110" s="9">
        <f>IF(COUNTIF(PARAMETRES_REGIMES!$A$3:$A$100,$A110)&gt;0,FLOOR(MAX(SUM(F110:L110)*24-M110,0),0.5),FLOOR(MAX(SUM(F110:K110)*24-M110,0),0.5))</f>
        <v>0</v>
      </c>
      <c r="Q110" s="9">
        <f>IF(COUNTIF(PARAMETRES_REGIMES!$A$3:$A$100,$A110)&gt;0,0,IF(ISNUMBER(L110),FLOOR(MAX(L110*24,0),0.5),0))</f>
        <v>0</v>
      </c>
      <c r="R110" s="8">
        <f t="shared" si="19"/>
        <v>0</v>
      </c>
      <c r="S110" s="8">
        <f t="shared" si="20"/>
        <v>0</v>
      </c>
      <c r="T110" s="8">
        <f t="shared" si="21"/>
        <v>0</v>
      </c>
      <c r="U110" s="8">
        <f t="shared" si="22"/>
        <v>0</v>
      </c>
      <c r="V110" s="10" t="str">
        <f t="shared" si="23"/>
        <v>OK</v>
      </c>
    </row>
    <row r="111" spans="1:22">
      <c r="A111" s="17" t="s">
        <v>293</v>
      </c>
      <c r="B111" s="5" t="s">
        <v>294</v>
      </c>
      <c r="C111" s="5" t="s">
        <v>295</v>
      </c>
      <c r="D111" s="5" t="s">
        <v>69</v>
      </c>
      <c r="E111" s="5" t="s">
        <v>123</v>
      </c>
      <c r="F111" s="6"/>
      <c r="G111" s="7"/>
      <c r="H111" s="7"/>
      <c r="I111" s="7"/>
      <c r="J111" s="7"/>
      <c r="K111" s="7"/>
      <c r="L111" s="7"/>
      <c r="M111" s="8">
        <f>48</f>
        <v>48</v>
      </c>
      <c r="N111" s="8">
        <f t="shared" si="18"/>
        <v>0</v>
      </c>
      <c r="O111" s="8">
        <f>IF(COUNTIF(PARAMETRES_REGIMES!$A$3:$A$100,$A111)&gt;0,MIN(M111,SUM(F111:L111)*24),MIN(M111,SUM(F111:K111)*24))</f>
        <v>0</v>
      </c>
      <c r="P111" s="9">
        <f>IF(COUNTIF(PARAMETRES_REGIMES!$A$3:$A$100,$A111)&gt;0,FLOOR(MAX(SUM(F111:L111)*24-M111,0),0.5),FLOOR(MAX(SUM(F111:K111)*24-M111,0),0.5))</f>
        <v>0</v>
      </c>
      <c r="Q111" s="9">
        <f>IF(COUNTIF(PARAMETRES_REGIMES!$A$3:$A$100,$A111)&gt;0,0,IF(ISNUMBER(L111),FLOOR(MAX(L111*24,0),0.5),0))</f>
        <v>0</v>
      </c>
      <c r="R111" s="8">
        <f t="shared" si="19"/>
        <v>0</v>
      </c>
      <c r="S111" s="8">
        <f t="shared" si="20"/>
        <v>0</v>
      </c>
      <c r="T111" s="8">
        <f t="shared" si="21"/>
        <v>0</v>
      </c>
      <c r="U111" s="8">
        <f t="shared" si="22"/>
        <v>0</v>
      </c>
      <c r="V111" s="10" t="str">
        <f t="shared" si="23"/>
        <v>OK</v>
      </c>
    </row>
    <row r="112" spans="1:22">
      <c r="A112" s="17" t="s">
        <v>296</v>
      </c>
      <c r="B112" s="5" t="s">
        <v>217</v>
      </c>
      <c r="C112" s="5" t="s">
        <v>297</v>
      </c>
      <c r="D112" s="5" t="s">
        <v>69</v>
      </c>
      <c r="E112" s="5" t="s">
        <v>123</v>
      </c>
      <c r="F112" s="6"/>
      <c r="G112" s="7"/>
      <c r="H112" s="7"/>
      <c r="I112" s="7"/>
      <c r="J112" s="7"/>
      <c r="K112" s="7"/>
      <c r="L112" s="7"/>
      <c r="M112" s="8">
        <f>48</f>
        <v>48</v>
      </c>
      <c r="N112" s="8">
        <f t="shared" si="18"/>
        <v>0</v>
      </c>
      <c r="O112" s="8">
        <f>IF(COUNTIF(PARAMETRES_REGIMES!$A$3:$A$100,$A112)&gt;0,MIN(M112,SUM(F112:L112)*24),MIN(M112,SUM(F112:K112)*24))</f>
        <v>0</v>
      </c>
      <c r="P112" s="9">
        <f>IF(COUNTIF(PARAMETRES_REGIMES!$A$3:$A$100,$A112)&gt;0,FLOOR(MAX(SUM(F112:L112)*24-M112,0),0.5),FLOOR(MAX(SUM(F112:K112)*24-M112,0),0.5))</f>
        <v>0</v>
      </c>
      <c r="Q112" s="9">
        <f>IF(COUNTIF(PARAMETRES_REGIMES!$A$3:$A$100,$A112)&gt;0,0,IF(ISNUMBER(L112),FLOOR(MAX(L112*24,0),0.5),0))</f>
        <v>0</v>
      </c>
      <c r="R112" s="8">
        <f t="shared" si="19"/>
        <v>0</v>
      </c>
      <c r="S112" s="8">
        <f t="shared" si="20"/>
        <v>0</v>
      </c>
      <c r="T112" s="8">
        <f t="shared" si="21"/>
        <v>0</v>
      </c>
      <c r="U112" s="8">
        <f t="shared" si="22"/>
        <v>0</v>
      </c>
      <c r="V112" s="10" t="str">
        <f t="shared" si="23"/>
        <v>OK</v>
      </c>
    </row>
    <row r="113" spans="1:22">
      <c r="A113" s="17">
        <v>89</v>
      </c>
      <c r="B113" s="5" t="s">
        <v>298</v>
      </c>
      <c r="C113" s="5" t="s">
        <v>299</v>
      </c>
      <c r="D113" s="5" t="s">
        <v>69</v>
      </c>
      <c r="E113" s="5" t="s">
        <v>123</v>
      </c>
      <c r="F113" s="6"/>
      <c r="G113" s="7"/>
      <c r="H113" s="7"/>
      <c r="I113" s="7"/>
      <c r="J113" s="7"/>
      <c r="K113" s="7"/>
      <c r="L113" s="7"/>
      <c r="M113" s="8">
        <f>48</f>
        <v>48</v>
      </c>
      <c r="N113" s="8">
        <f t="shared" si="18"/>
        <v>0</v>
      </c>
      <c r="O113" s="8">
        <f>MIN(M113,SUM(F113:K113)*24)</f>
        <v>0</v>
      </c>
      <c r="P113" s="9">
        <f>FLOOR(MAX(SUM(F113:K113)*24-M113,0),0.5)</f>
        <v>0</v>
      </c>
      <c r="Q113" s="9">
        <f>IF(ISNUMBER(L113),FLOOR(MAX(L113*24,0),0.5),0)</f>
        <v>0</v>
      </c>
      <c r="R113" s="8">
        <f t="shared" si="19"/>
        <v>0</v>
      </c>
      <c r="S113" s="8">
        <f t="shared" si="20"/>
        <v>0</v>
      </c>
      <c r="T113" s="8">
        <f t="shared" si="21"/>
        <v>0</v>
      </c>
      <c r="U113" s="8">
        <f t="shared" si="22"/>
        <v>0</v>
      </c>
      <c r="V113" s="10" t="str">
        <f t="shared" si="23"/>
        <v>OK</v>
      </c>
    </row>
  </sheetData>
  <mergeCells count="1">
    <mergeCell ref="A1:V1"/>
  </mergeCells>
  <conditionalFormatting sqref="F3:J113">
    <cfRule type="expression" dxfId="91" priority="7">
      <formula>F3="Repos"</formula>
    </cfRule>
    <cfRule type="expression" dxfId="90" priority="8">
      <formula>F3="ABS"</formula>
    </cfRule>
    <cfRule type="expression" dxfId="89" priority="9">
      <formula>F3="Congé"</formula>
    </cfRule>
    <cfRule type="expression" dxfId="88" priority="10">
      <formula>F3="Férié"</formula>
    </cfRule>
    <cfRule type="expression" dxfId="87" priority="11">
      <formula>F3="STC"</formula>
    </cfRule>
  </conditionalFormatting>
  <conditionalFormatting sqref="F3:L113">
    <cfRule type="expression" dxfId="86" priority="17">
      <formula>F3="ABS"</formula>
    </cfRule>
    <cfRule type="expression" dxfId="85" priority="18">
      <formula>F3="STC"</formula>
    </cfRule>
    <cfRule type="expression" dxfId="84" priority="19">
      <formula>F3="Congé"</formula>
    </cfRule>
    <cfRule type="expression" dxfId="83" priority="20">
      <formula>F3="Férié"</formula>
    </cfRule>
    <cfRule type="expression" dxfId="82" priority="21">
      <formula>F3="Repos"</formula>
    </cfRule>
    <cfRule type="expression" dxfId="81" priority="22">
      <formula>F3="Congé"</formula>
    </cfRule>
    <cfRule type="expression" dxfId="80" priority="23">
      <formula>F3="Congé sans solde"</formula>
    </cfRule>
    <cfRule type="expression" dxfId="79" priority="24">
      <formula>F3="Congé maladie"</formula>
    </cfRule>
    <cfRule type="expression" dxfId="78" priority="25">
      <formula>OR(F3="CSS",F3="CM")</formula>
    </cfRule>
  </conditionalFormatting>
  <conditionalFormatting sqref="O3:P113">
    <cfRule type="cellIs" dxfId="77" priority="1" operator="greaterThanOrEqual">
      <formula>1</formula>
    </cfRule>
  </conditionalFormatting>
  <conditionalFormatting sqref="P3:R113 M3:N113">
    <cfRule type="cellIs" dxfId="76" priority="5" operator="greaterThan">
      <formula>0</formula>
    </cfRule>
  </conditionalFormatting>
  <conditionalFormatting sqref="Q3:Q113">
    <cfRule type="cellIs" dxfId="75" priority="2" operator="greaterThanOrEqual">
      <formula>1</formula>
    </cfRule>
  </conditionalFormatting>
  <conditionalFormatting sqref="S3:S113">
    <cfRule type="expression" dxfId="74" priority="3">
      <formula>S3="STC"</formula>
    </cfRule>
    <cfRule type="expression" dxfId="73" priority="4">
      <formula>OR(S3="Vérifier",S3="À vérifier")</formula>
    </cfRule>
  </conditionalFormatting>
  <conditionalFormatting sqref="S3:T113">
    <cfRule type="cellIs" dxfId="72" priority="6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13"/>
  <sheetViews>
    <sheetView workbookViewId="0"/>
  </sheetViews>
  <sheetFormatPr baseColWidth="10" defaultColWidth="9" defaultRowHeight="14.25"/>
  <cols>
    <col min="1" max="1" width="9" style="16" customWidth="1"/>
    <col min="2" max="2" width="18" customWidth="1"/>
    <col min="3" max="3" width="20" customWidth="1"/>
    <col min="4" max="4" width="18" customWidth="1"/>
    <col min="5" max="5" width="10.25" style="16" customWidth="1"/>
    <col min="6" max="12" width="7.125" customWidth="1"/>
    <col min="13" max="21" width="7.875" customWidth="1"/>
    <col min="22" max="22" width="11.375" customWidth="1"/>
  </cols>
  <sheetData>
    <row r="1" spans="1:24" ht="18">
      <c r="A1" s="32" t="s">
        <v>330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"/>
      <c r="X1" s="3"/>
    </row>
    <row r="2" spans="1:24" ht="33.950000000000003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331</v>
      </c>
      <c r="G2" s="4" t="s">
        <v>332</v>
      </c>
      <c r="H2" s="4" t="s">
        <v>333</v>
      </c>
      <c r="I2" s="4" t="s">
        <v>334</v>
      </c>
      <c r="J2" s="4" t="s">
        <v>335</v>
      </c>
      <c r="K2" s="4" t="s">
        <v>336</v>
      </c>
      <c r="L2" s="4" t="s">
        <v>337</v>
      </c>
      <c r="M2" s="4" t="s">
        <v>7</v>
      </c>
      <c r="N2" s="4" t="s">
        <v>8</v>
      </c>
      <c r="O2" s="4" t="s">
        <v>9</v>
      </c>
      <c r="P2" s="4" t="s">
        <v>10</v>
      </c>
      <c r="Q2" s="4" t="s">
        <v>11</v>
      </c>
      <c r="R2" s="4" t="s">
        <v>12</v>
      </c>
      <c r="S2" s="20" t="s">
        <v>13</v>
      </c>
      <c r="T2" s="4" t="s">
        <v>14</v>
      </c>
      <c r="U2" s="4" t="s">
        <v>15</v>
      </c>
      <c r="V2" s="4" t="s">
        <v>16</v>
      </c>
    </row>
    <row r="3" spans="1:24">
      <c r="A3" s="17" t="s">
        <v>17</v>
      </c>
      <c r="B3" s="5" t="s">
        <v>18</v>
      </c>
      <c r="C3" s="5" t="s">
        <v>19</v>
      </c>
      <c r="D3" s="5" t="s">
        <v>20</v>
      </c>
      <c r="E3" s="17" t="s">
        <v>21</v>
      </c>
      <c r="F3" s="6"/>
      <c r="G3" s="7"/>
      <c r="H3" s="7"/>
      <c r="I3" s="7"/>
      <c r="J3" s="7"/>
      <c r="K3" s="7"/>
      <c r="L3" s="7"/>
      <c r="M3" s="8">
        <f>48</f>
        <v>48</v>
      </c>
      <c r="N3" s="8">
        <f t="shared" ref="N3:N34" si="0">SUM(F3:L3)*24</f>
        <v>0</v>
      </c>
      <c r="O3" s="8">
        <f>IF(COUNTIF(PARAMETRES_REGIMES!$A$3:$A$100,$A3)&gt;0,MIN(M3,SUM(F3:L3)*24),MIN(M3,SUM(F3:K3)*24))</f>
        <v>0</v>
      </c>
      <c r="P3" s="9">
        <f>IF(COUNTIF(PARAMETRES_REGIMES!$A$3:$A$100,$A3)&gt;0,FLOOR(MAX(SUM(F3:L3)*24-M3,0),0.5),FLOOR(MAX(SUM(F3:K3)*24-M3,0),0.5))</f>
        <v>0</v>
      </c>
      <c r="Q3" s="9">
        <f>IF(COUNTIF(PARAMETRES_REGIMES!$A$3:$A$100,$A3)&gt;0,0,IF(ISNUMBER(L3),FLOOR(MAX(L3*24,0),0.5),0))</f>
        <v>0</v>
      </c>
      <c r="R3" s="8">
        <f t="shared" ref="R3:R34" si="1">COUNTIF(F3:L3,"ABS")</f>
        <v>0</v>
      </c>
      <c r="S3" s="8">
        <f t="shared" ref="S3:S34" si="2">COUNTIF(F3:L3,"Congé")</f>
        <v>0</v>
      </c>
      <c r="T3" s="8">
        <f t="shared" ref="T3:T34" si="3">COUNTIF(F3:L3,"Férié")</f>
        <v>0</v>
      </c>
      <c r="U3" s="8">
        <f t="shared" ref="U3:U34" si="4">O3+P3+Q3+(T3*8.5)</f>
        <v>0</v>
      </c>
      <c r="V3" s="10" t="str">
        <f t="shared" ref="V3:V34" si="5">IF(COUNTIF(F3:L3,"STC")&gt;0,"STC",IF(COUNTIF(F3:L3,"*!*")&gt;0,"À vérifier","OK"))</f>
        <v>OK</v>
      </c>
    </row>
    <row r="4" spans="1:24">
      <c r="A4" s="17" t="s">
        <v>23</v>
      </c>
      <c r="B4" s="5" t="s">
        <v>24</v>
      </c>
      <c r="C4" s="5" t="s">
        <v>25</v>
      </c>
      <c r="D4" s="5" t="s">
        <v>20</v>
      </c>
      <c r="E4" s="17" t="s">
        <v>21</v>
      </c>
      <c r="F4" s="6"/>
      <c r="G4" s="7"/>
      <c r="H4" s="7"/>
      <c r="I4" s="7"/>
      <c r="J4" s="7"/>
      <c r="K4" s="7"/>
      <c r="L4" s="7"/>
      <c r="M4" s="8">
        <f>48</f>
        <v>48</v>
      </c>
      <c r="N4" s="8">
        <f t="shared" si="0"/>
        <v>0</v>
      </c>
      <c r="O4" s="8">
        <f>IF(COUNTIF(PARAMETRES_REGIMES!$A$3:$A$100,$A4)&gt;0,MIN(M4,SUM(F4:L4)*24),MIN(M4,SUM(F4:K4)*24))</f>
        <v>0</v>
      </c>
      <c r="P4" s="9">
        <f>IF(COUNTIF(PARAMETRES_REGIMES!$A$3:$A$100,$A4)&gt;0,FLOOR(MAX(SUM(F4:L4)*24-M4,0),0.5),FLOOR(MAX(SUM(F4:K4)*24-M4,0),0.5))</f>
        <v>0</v>
      </c>
      <c r="Q4" s="9">
        <f>IF(COUNTIF(PARAMETRES_REGIMES!$A$3:$A$100,$A4)&gt;0,0,IF(ISNUMBER(L4),FLOOR(MAX(L4*24,0),0.5),0))</f>
        <v>0</v>
      </c>
      <c r="R4" s="8">
        <f t="shared" si="1"/>
        <v>0</v>
      </c>
      <c r="S4" s="8">
        <f t="shared" si="2"/>
        <v>0</v>
      </c>
      <c r="T4" s="8">
        <f t="shared" si="3"/>
        <v>0</v>
      </c>
      <c r="U4" s="8">
        <f t="shared" si="4"/>
        <v>0</v>
      </c>
      <c r="V4" s="10" t="str">
        <f t="shared" si="5"/>
        <v>OK</v>
      </c>
    </row>
    <row r="5" spans="1:24">
      <c r="A5" s="17" t="s">
        <v>26</v>
      </c>
      <c r="B5" s="5" t="s">
        <v>27</v>
      </c>
      <c r="C5" s="5" t="s">
        <v>28</v>
      </c>
      <c r="D5" s="5" t="s">
        <v>20</v>
      </c>
      <c r="E5" s="17" t="s">
        <v>21</v>
      </c>
      <c r="F5" s="6"/>
      <c r="G5" s="7"/>
      <c r="H5" s="7"/>
      <c r="I5" s="7"/>
      <c r="J5" s="7"/>
      <c r="K5" s="7"/>
      <c r="L5" s="7"/>
      <c r="M5" s="8">
        <f>48</f>
        <v>48</v>
      </c>
      <c r="N5" s="8">
        <f t="shared" si="0"/>
        <v>0</v>
      </c>
      <c r="O5" s="8">
        <f>IF(COUNTIF(PARAMETRES_REGIMES!$A$3:$A$100,$A5)&gt;0,MIN(M5,SUM(F5:L5)*24),MIN(M5,SUM(F5:K5)*24))</f>
        <v>0</v>
      </c>
      <c r="P5" s="9">
        <f>IF(COUNTIF(PARAMETRES_REGIMES!$A$3:$A$100,$A5)&gt;0,FLOOR(MAX(SUM(F5:L5)*24-M5,0),0.5),FLOOR(MAX(SUM(F5:K5)*24-M5,0),0.5))</f>
        <v>0</v>
      </c>
      <c r="Q5" s="9">
        <f>IF(COUNTIF(PARAMETRES_REGIMES!$A$3:$A$100,$A5)&gt;0,0,IF(ISNUMBER(L5),FLOOR(MAX(L5*24,0),0.5),0))</f>
        <v>0</v>
      </c>
      <c r="R5" s="8">
        <f t="shared" si="1"/>
        <v>0</v>
      </c>
      <c r="S5" s="8">
        <f t="shared" si="2"/>
        <v>0</v>
      </c>
      <c r="T5" s="8">
        <f t="shared" si="3"/>
        <v>0</v>
      </c>
      <c r="U5" s="8">
        <f t="shared" si="4"/>
        <v>0</v>
      </c>
      <c r="V5" s="10" t="str">
        <f t="shared" si="5"/>
        <v>OK</v>
      </c>
    </row>
    <row r="6" spans="1:24">
      <c r="A6" s="17">
        <v>124</v>
      </c>
      <c r="B6" s="5" t="s">
        <v>29</v>
      </c>
      <c r="C6" s="5" t="s">
        <v>30</v>
      </c>
      <c r="D6" s="5" t="s">
        <v>31</v>
      </c>
      <c r="E6" s="17" t="s">
        <v>21</v>
      </c>
      <c r="F6" s="6"/>
      <c r="G6" s="7"/>
      <c r="H6" s="7"/>
      <c r="I6" s="7"/>
      <c r="J6" s="7"/>
      <c r="K6" s="7"/>
      <c r="L6" s="7"/>
      <c r="M6" s="8">
        <f>48</f>
        <v>48</v>
      </c>
      <c r="N6" s="8">
        <f t="shared" si="0"/>
        <v>0</v>
      </c>
      <c r="O6" s="8">
        <f>IF(COUNTIF(PARAMETRES_REGIMES!$A$3:$A$100,$A6)&gt;0,MIN(M6,SUM(F6:L6)*24),MIN(M6,SUM(F6:K6)*24))</f>
        <v>0</v>
      </c>
      <c r="P6" s="9">
        <f>IF(COUNTIF(PARAMETRES_REGIMES!$A$3:$A$100,$A6)&gt;0,FLOOR(MAX(SUM(F6:L6)*24-M6,0),0.5),FLOOR(MAX(SUM(F6:K6)*24-M6,0),0.5))</f>
        <v>0</v>
      </c>
      <c r="Q6" s="9">
        <f>IF(COUNTIF(PARAMETRES_REGIMES!$A$3:$A$100,$A6)&gt;0,0,IF(ISNUMBER(L6),FLOOR(MAX(L6*24,0),0.5),0))</f>
        <v>0</v>
      </c>
      <c r="R6" s="8">
        <f t="shared" si="1"/>
        <v>0</v>
      </c>
      <c r="S6" s="8">
        <f t="shared" si="2"/>
        <v>0</v>
      </c>
      <c r="T6" s="8">
        <f t="shared" si="3"/>
        <v>0</v>
      </c>
      <c r="U6" s="8">
        <f t="shared" si="4"/>
        <v>0</v>
      </c>
      <c r="V6" s="10" t="str">
        <f t="shared" si="5"/>
        <v>OK</v>
      </c>
    </row>
    <row r="7" spans="1:24">
      <c r="A7" s="17" t="s">
        <v>32</v>
      </c>
      <c r="B7" s="5" t="s">
        <v>33</v>
      </c>
      <c r="C7" s="5" t="s">
        <v>34</v>
      </c>
      <c r="D7" s="5" t="s">
        <v>31</v>
      </c>
      <c r="E7" s="17" t="s">
        <v>21</v>
      </c>
      <c r="F7" s="6"/>
      <c r="G7" s="7"/>
      <c r="H7" s="7"/>
      <c r="I7" s="7"/>
      <c r="J7" s="7"/>
      <c r="K7" s="7"/>
      <c r="L7" s="7"/>
      <c r="M7" s="8">
        <f>48</f>
        <v>48</v>
      </c>
      <c r="N7" s="8">
        <f t="shared" si="0"/>
        <v>0</v>
      </c>
      <c r="O7" s="8">
        <f>IF(COUNTIF(PARAMETRES_REGIMES!$A$3:$A$100,$A7)&gt;0,MIN(M7,SUM(F7:L7)*24),MIN(M7,SUM(F7:K7)*24))</f>
        <v>0</v>
      </c>
      <c r="P7" s="9">
        <f>IF(COUNTIF(PARAMETRES_REGIMES!$A$3:$A$100,$A7)&gt;0,FLOOR(MAX(SUM(F7:L7)*24-M7,0),0.5),FLOOR(MAX(SUM(F7:K7)*24-M7,0),0.5))</f>
        <v>0</v>
      </c>
      <c r="Q7" s="9">
        <f>IF(COUNTIF(PARAMETRES_REGIMES!$A$3:$A$100,$A7)&gt;0,0,IF(ISNUMBER(L7),FLOOR(MAX(L7*24,0),0.5),0))</f>
        <v>0</v>
      </c>
      <c r="R7" s="8">
        <f t="shared" si="1"/>
        <v>0</v>
      </c>
      <c r="S7" s="8">
        <f t="shared" si="2"/>
        <v>0</v>
      </c>
      <c r="T7" s="8">
        <f t="shared" si="3"/>
        <v>0</v>
      </c>
      <c r="U7" s="8">
        <f t="shared" si="4"/>
        <v>0</v>
      </c>
      <c r="V7" s="10" t="str">
        <f t="shared" si="5"/>
        <v>OK</v>
      </c>
    </row>
    <row r="8" spans="1:24">
      <c r="A8" s="17" t="s">
        <v>35</v>
      </c>
      <c r="B8" s="5" t="s">
        <v>36</v>
      </c>
      <c r="C8" s="5" t="s">
        <v>37</v>
      </c>
      <c r="D8" s="5" t="s">
        <v>31</v>
      </c>
      <c r="E8" s="17" t="s">
        <v>21</v>
      </c>
      <c r="F8" s="6"/>
      <c r="G8" s="7"/>
      <c r="H8" s="7"/>
      <c r="I8" s="7"/>
      <c r="J8" s="7"/>
      <c r="K8" s="7"/>
      <c r="L8" s="7"/>
      <c r="M8" s="8">
        <f>48</f>
        <v>48</v>
      </c>
      <c r="N8" s="8">
        <f t="shared" si="0"/>
        <v>0</v>
      </c>
      <c r="O8" s="8">
        <f>IF(COUNTIF(PARAMETRES_REGIMES!$A$3:$A$100,$A8)&gt;0,MIN(M8,SUM(F8:L8)*24),MIN(M8,SUM(F8:K8)*24))</f>
        <v>0</v>
      </c>
      <c r="P8" s="9">
        <f>IF(COUNTIF(PARAMETRES_REGIMES!$A$3:$A$100,$A8)&gt;0,FLOOR(MAX(SUM(F8:L8)*24-M8,0),0.5),FLOOR(MAX(SUM(F8:K8)*24-M8,0),0.5))</f>
        <v>0</v>
      </c>
      <c r="Q8" s="9">
        <f>IF(COUNTIF(PARAMETRES_REGIMES!$A$3:$A$100,$A8)&gt;0,0,IF(ISNUMBER(L8),FLOOR(MAX(L8*24,0),0.5),0))</f>
        <v>0</v>
      </c>
      <c r="R8" s="8">
        <f t="shared" si="1"/>
        <v>0</v>
      </c>
      <c r="S8" s="8">
        <f t="shared" si="2"/>
        <v>0</v>
      </c>
      <c r="T8" s="8">
        <f t="shared" si="3"/>
        <v>0</v>
      </c>
      <c r="U8" s="8">
        <f t="shared" si="4"/>
        <v>0</v>
      </c>
      <c r="V8" s="10" t="str">
        <f t="shared" si="5"/>
        <v>OK</v>
      </c>
    </row>
    <row r="9" spans="1:24">
      <c r="A9" s="17" t="s">
        <v>38</v>
      </c>
      <c r="B9" s="5" t="s">
        <v>39</v>
      </c>
      <c r="C9" s="5" t="s">
        <v>40</v>
      </c>
      <c r="D9" s="5" t="s">
        <v>31</v>
      </c>
      <c r="E9" s="17" t="s">
        <v>21</v>
      </c>
      <c r="F9" s="6"/>
      <c r="G9" s="7"/>
      <c r="H9" s="7"/>
      <c r="I9" s="7"/>
      <c r="J9" s="7"/>
      <c r="K9" s="7"/>
      <c r="L9" s="7"/>
      <c r="M9" s="8">
        <f>48</f>
        <v>48</v>
      </c>
      <c r="N9" s="8">
        <f t="shared" si="0"/>
        <v>0</v>
      </c>
      <c r="O9" s="8">
        <f>IF(COUNTIF(PARAMETRES_REGIMES!$A$3:$A$100,$A9)&gt;0,MIN(M9,SUM(F9:L9)*24),MIN(M9,SUM(F9:K9)*24))</f>
        <v>0</v>
      </c>
      <c r="P9" s="9">
        <f>IF(COUNTIF(PARAMETRES_REGIMES!$A$3:$A$100,$A9)&gt;0,FLOOR(MAX(SUM(F9:L9)*24-M9,0),0.5),FLOOR(MAX(SUM(F9:K9)*24-M9,0),0.5))</f>
        <v>0</v>
      </c>
      <c r="Q9" s="9">
        <f>IF(COUNTIF(PARAMETRES_REGIMES!$A$3:$A$100,$A9)&gt;0,0,IF(ISNUMBER(L9),FLOOR(MAX(L9*24,0),0.5),0))</f>
        <v>0</v>
      </c>
      <c r="R9" s="8">
        <f t="shared" si="1"/>
        <v>0</v>
      </c>
      <c r="S9" s="8">
        <f t="shared" si="2"/>
        <v>0</v>
      </c>
      <c r="T9" s="8">
        <f t="shared" si="3"/>
        <v>0</v>
      </c>
      <c r="U9" s="8">
        <f t="shared" si="4"/>
        <v>0</v>
      </c>
      <c r="V9" s="10" t="str">
        <f t="shared" si="5"/>
        <v>OK</v>
      </c>
    </row>
    <row r="10" spans="1:24">
      <c r="A10" s="17" t="s">
        <v>41</v>
      </c>
      <c r="B10" s="5" t="s">
        <v>42</v>
      </c>
      <c r="C10" s="5" t="s">
        <v>43</v>
      </c>
      <c r="D10" s="5" t="s">
        <v>31</v>
      </c>
      <c r="E10" s="17" t="s">
        <v>21</v>
      </c>
      <c r="F10" s="6"/>
      <c r="G10" s="7"/>
      <c r="H10" s="7"/>
      <c r="I10" s="7"/>
      <c r="J10" s="7"/>
      <c r="K10" s="7"/>
      <c r="L10" s="7"/>
      <c r="M10" s="8">
        <f>48</f>
        <v>48</v>
      </c>
      <c r="N10" s="8">
        <f t="shared" si="0"/>
        <v>0</v>
      </c>
      <c r="O10" s="8">
        <f>IF(COUNTIF(PARAMETRES_REGIMES!$A$3:$A$100,$A10)&gt;0,MIN(M10,SUM(F10:L10)*24),MIN(M10,SUM(F10:K10)*24))</f>
        <v>0</v>
      </c>
      <c r="P10" s="9">
        <f>IF(COUNTIF(PARAMETRES_REGIMES!$A$3:$A$100,$A10)&gt;0,FLOOR(MAX(SUM(F10:L10)*24-M10,0),0.5),FLOOR(MAX(SUM(F10:K10)*24-M10,0),0.5))</f>
        <v>0</v>
      </c>
      <c r="Q10" s="9">
        <f>IF(COUNTIF(PARAMETRES_REGIMES!$A$3:$A$100,$A10)&gt;0,0,IF(ISNUMBER(L10),FLOOR(MAX(L10*24,0),0.5),0))</f>
        <v>0</v>
      </c>
      <c r="R10" s="8">
        <f t="shared" si="1"/>
        <v>0</v>
      </c>
      <c r="S10" s="8">
        <f t="shared" si="2"/>
        <v>0</v>
      </c>
      <c r="T10" s="8">
        <f t="shared" si="3"/>
        <v>0</v>
      </c>
      <c r="U10" s="8">
        <f t="shared" si="4"/>
        <v>0</v>
      </c>
      <c r="V10" s="10" t="str">
        <f t="shared" si="5"/>
        <v>OK</v>
      </c>
    </row>
    <row r="11" spans="1:24">
      <c r="A11" s="17" t="s">
        <v>44</v>
      </c>
      <c r="B11" s="5" t="s">
        <v>45</v>
      </c>
      <c r="C11" s="5" t="s">
        <v>46</v>
      </c>
      <c r="D11" s="5" t="s">
        <v>31</v>
      </c>
      <c r="E11" s="17" t="s">
        <v>21</v>
      </c>
      <c r="F11" s="6"/>
      <c r="G11" s="7"/>
      <c r="H11" s="7"/>
      <c r="I11" s="7"/>
      <c r="J11" s="7"/>
      <c r="K11" s="7"/>
      <c r="L11" s="7"/>
      <c r="M11" s="8">
        <f>48</f>
        <v>48</v>
      </c>
      <c r="N11" s="8">
        <f t="shared" si="0"/>
        <v>0</v>
      </c>
      <c r="O11" s="8">
        <f>IF(COUNTIF(PARAMETRES_REGIMES!$A$3:$A$100,$A11)&gt;0,MIN(M11,SUM(F11:L11)*24),MIN(M11,SUM(F11:K11)*24))</f>
        <v>0</v>
      </c>
      <c r="P11" s="9">
        <f>IF(COUNTIF(PARAMETRES_REGIMES!$A$3:$A$100,$A11)&gt;0,FLOOR(MAX(SUM(F11:L11)*24-M11,0),0.5),FLOOR(MAX(SUM(F11:K11)*24-M11,0),0.5))</f>
        <v>0</v>
      </c>
      <c r="Q11" s="9">
        <f>IF(COUNTIF(PARAMETRES_REGIMES!$A$3:$A$100,$A11)&gt;0,0,IF(ISNUMBER(L11),FLOOR(MAX(L11*24,0),0.5),0))</f>
        <v>0</v>
      </c>
      <c r="R11" s="8">
        <f t="shared" si="1"/>
        <v>0</v>
      </c>
      <c r="S11" s="8">
        <f t="shared" si="2"/>
        <v>0</v>
      </c>
      <c r="T11" s="8">
        <f t="shared" si="3"/>
        <v>0</v>
      </c>
      <c r="U11" s="8">
        <f t="shared" si="4"/>
        <v>0</v>
      </c>
      <c r="V11" s="10" t="str">
        <f t="shared" si="5"/>
        <v>OK</v>
      </c>
    </row>
    <row r="12" spans="1:24">
      <c r="A12" s="17" t="s">
        <v>47</v>
      </c>
      <c r="B12" s="5" t="s">
        <v>28</v>
      </c>
      <c r="C12" s="5" t="s">
        <v>48</v>
      </c>
      <c r="D12" s="5" t="s">
        <v>49</v>
      </c>
      <c r="E12" s="17" t="s">
        <v>21</v>
      </c>
      <c r="F12" s="6"/>
      <c r="G12" s="7"/>
      <c r="H12" s="7"/>
      <c r="I12" s="7"/>
      <c r="J12" s="7"/>
      <c r="K12" s="7"/>
      <c r="L12" s="7"/>
      <c r="M12" s="8">
        <f>48</f>
        <v>48</v>
      </c>
      <c r="N12" s="8">
        <f t="shared" si="0"/>
        <v>0</v>
      </c>
      <c r="O12" s="8">
        <f>IF(COUNTIF(PARAMETRES_REGIMES!$A$3:$A$100,$A12)&gt;0,MIN(M12,SUM(F12:L12)*24),MIN(M12,SUM(F12:K12)*24))</f>
        <v>0</v>
      </c>
      <c r="P12" s="9">
        <f>IF(COUNTIF(PARAMETRES_REGIMES!$A$3:$A$100,$A12)&gt;0,FLOOR(MAX(SUM(F12:L12)*24-M12,0),0.5),FLOOR(MAX(SUM(F12:K12)*24-M12,0),0.5))</f>
        <v>0</v>
      </c>
      <c r="Q12" s="9">
        <f>IF(COUNTIF(PARAMETRES_REGIMES!$A$3:$A$100,$A12)&gt;0,0,IF(ISNUMBER(L12),FLOOR(MAX(L12*24,0),0.5),0))</f>
        <v>0</v>
      </c>
      <c r="R12" s="8">
        <f t="shared" si="1"/>
        <v>0</v>
      </c>
      <c r="S12" s="8">
        <f t="shared" si="2"/>
        <v>0</v>
      </c>
      <c r="T12" s="8">
        <f t="shared" si="3"/>
        <v>0</v>
      </c>
      <c r="U12" s="8">
        <f t="shared" si="4"/>
        <v>0</v>
      </c>
      <c r="V12" s="10" t="str">
        <f t="shared" si="5"/>
        <v>OK</v>
      </c>
    </row>
    <row r="13" spans="1:24">
      <c r="A13" s="17">
        <v>132</v>
      </c>
      <c r="B13" s="5" t="s">
        <v>50</v>
      </c>
      <c r="C13" s="5" t="s">
        <v>51</v>
      </c>
      <c r="D13" s="5" t="s">
        <v>49</v>
      </c>
      <c r="E13" s="17" t="s">
        <v>21</v>
      </c>
      <c r="F13" s="6"/>
      <c r="G13" s="7"/>
      <c r="H13" s="7"/>
      <c r="I13" s="7"/>
      <c r="J13" s="7"/>
      <c r="K13" s="7"/>
      <c r="L13" s="7"/>
      <c r="M13" s="8">
        <f>48</f>
        <v>48</v>
      </c>
      <c r="N13" s="8">
        <f t="shared" si="0"/>
        <v>0</v>
      </c>
      <c r="O13" s="8">
        <f>IF(COUNTIF(PARAMETRES_REGIMES!$A$3:$A$100,$A13)&gt;0,MIN(M13,SUM(F13:L13)*24),MIN(M13,SUM(F13:K13)*24))</f>
        <v>0</v>
      </c>
      <c r="P13" s="9">
        <f>IF(COUNTIF(PARAMETRES_REGIMES!$A$3:$A$100,$A13)&gt;0,FLOOR(MAX(SUM(F13:L13)*24-M13,0),0.5),FLOOR(MAX(SUM(F13:K13)*24-M13,0),0.5))</f>
        <v>0</v>
      </c>
      <c r="Q13" s="9">
        <f>IF(COUNTIF(PARAMETRES_REGIMES!$A$3:$A$100,$A13)&gt;0,0,IF(ISNUMBER(L13),FLOOR(MAX(L13*24,0),0.5),0))</f>
        <v>0</v>
      </c>
      <c r="R13" s="8">
        <f t="shared" si="1"/>
        <v>0</v>
      </c>
      <c r="S13" s="8">
        <f t="shared" si="2"/>
        <v>0</v>
      </c>
      <c r="T13" s="8">
        <f t="shared" si="3"/>
        <v>0</v>
      </c>
      <c r="U13" s="8">
        <f t="shared" si="4"/>
        <v>0</v>
      </c>
      <c r="V13" s="10" t="str">
        <f t="shared" si="5"/>
        <v>OK</v>
      </c>
    </row>
    <row r="14" spans="1:24">
      <c r="A14" s="17">
        <v>174</v>
      </c>
      <c r="B14" s="5" t="s">
        <v>52</v>
      </c>
      <c r="C14" s="5" t="s">
        <v>53</v>
      </c>
      <c r="D14" s="5" t="s">
        <v>49</v>
      </c>
      <c r="E14" s="17" t="s">
        <v>21</v>
      </c>
      <c r="F14" s="6"/>
      <c r="G14" s="7"/>
      <c r="H14" s="7"/>
      <c r="I14" s="7"/>
      <c r="J14" s="7"/>
      <c r="K14" s="7"/>
      <c r="L14" s="7"/>
      <c r="M14" s="8">
        <f>48</f>
        <v>48</v>
      </c>
      <c r="N14" s="8">
        <f t="shared" si="0"/>
        <v>0</v>
      </c>
      <c r="O14" s="8">
        <f>IF(COUNTIF(PARAMETRES_REGIMES!$A$3:$A$100,$A14)&gt;0,MIN(M14,SUM(F14:L14)*24),MIN(M14,SUM(F14:K14)*24))</f>
        <v>0</v>
      </c>
      <c r="P14" s="9">
        <f>IF(COUNTIF(PARAMETRES_REGIMES!$A$3:$A$100,$A14)&gt;0,FLOOR(MAX(SUM(F14:L14)*24-M14,0),0.5),FLOOR(MAX(SUM(F14:K14)*24-M14,0),0.5))</f>
        <v>0</v>
      </c>
      <c r="Q14" s="9">
        <f>IF(COUNTIF(PARAMETRES_REGIMES!$A$3:$A$100,$A14)&gt;0,0,IF(ISNUMBER(L14),FLOOR(MAX(L14*24,0),0.5),0))</f>
        <v>0</v>
      </c>
      <c r="R14" s="8">
        <f t="shared" si="1"/>
        <v>0</v>
      </c>
      <c r="S14" s="8">
        <f t="shared" si="2"/>
        <v>0</v>
      </c>
      <c r="T14" s="8">
        <f t="shared" si="3"/>
        <v>0</v>
      </c>
      <c r="U14" s="8">
        <f t="shared" si="4"/>
        <v>0</v>
      </c>
      <c r="V14" s="10" t="str">
        <f t="shared" si="5"/>
        <v>OK</v>
      </c>
    </row>
    <row r="15" spans="1:24">
      <c r="A15" s="17" t="s">
        <v>54</v>
      </c>
      <c r="B15" s="5" t="s">
        <v>55</v>
      </c>
      <c r="C15" s="5" t="s">
        <v>56</v>
      </c>
      <c r="D15" s="5" t="s">
        <v>49</v>
      </c>
      <c r="E15" s="17" t="s">
        <v>21</v>
      </c>
      <c r="F15" s="6"/>
      <c r="G15" s="7"/>
      <c r="H15" s="7"/>
      <c r="I15" s="7"/>
      <c r="J15" s="7"/>
      <c r="K15" s="7"/>
      <c r="L15" s="7"/>
      <c r="M15" s="8">
        <f>48</f>
        <v>48</v>
      </c>
      <c r="N15" s="8">
        <f t="shared" si="0"/>
        <v>0</v>
      </c>
      <c r="O15" s="8">
        <f>IF(COUNTIF(PARAMETRES_REGIMES!$A$3:$A$100,$A15)&gt;0,MIN(M15,SUM(F15:L15)*24),MIN(M15,SUM(F15:K15)*24))</f>
        <v>0</v>
      </c>
      <c r="P15" s="9">
        <f>IF(COUNTIF(PARAMETRES_REGIMES!$A$3:$A$100,$A15)&gt;0,FLOOR(MAX(SUM(F15:L15)*24-M15,0),0.5),FLOOR(MAX(SUM(F15:K15)*24-M15,0),0.5))</f>
        <v>0</v>
      </c>
      <c r="Q15" s="9">
        <f>IF(COUNTIF(PARAMETRES_REGIMES!$A$3:$A$100,$A15)&gt;0,0,IF(ISNUMBER(L15),FLOOR(MAX(L15*24,0),0.5),0))</f>
        <v>0</v>
      </c>
      <c r="R15" s="8">
        <f t="shared" si="1"/>
        <v>0</v>
      </c>
      <c r="S15" s="8">
        <f t="shared" si="2"/>
        <v>0</v>
      </c>
      <c r="T15" s="8">
        <f t="shared" si="3"/>
        <v>0</v>
      </c>
      <c r="U15" s="8">
        <f t="shared" si="4"/>
        <v>0</v>
      </c>
      <c r="V15" s="10" t="str">
        <f t="shared" si="5"/>
        <v>OK</v>
      </c>
    </row>
    <row r="16" spans="1:24">
      <c r="A16" s="17" t="s">
        <v>57</v>
      </c>
      <c r="B16" s="5" t="s">
        <v>58</v>
      </c>
      <c r="C16" s="5" t="s">
        <v>59</v>
      </c>
      <c r="D16" s="5" t="s">
        <v>49</v>
      </c>
      <c r="E16" s="17" t="s">
        <v>21</v>
      </c>
      <c r="F16" s="6"/>
      <c r="G16" s="7"/>
      <c r="H16" s="7"/>
      <c r="I16" s="7"/>
      <c r="J16" s="7"/>
      <c r="K16" s="7"/>
      <c r="L16" s="7"/>
      <c r="M16" s="8">
        <f>48</f>
        <v>48</v>
      </c>
      <c r="N16" s="8">
        <f t="shared" si="0"/>
        <v>0</v>
      </c>
      <c r="O16" s="8">
        <f>IF(COUNTIF(PARAMETRES_REGIMES!$A$3:$A$100,$A16)&gt;0,MIN(M16,SUM(F16:L16)*24),MIN(M16,SUM(F16:K16)*24))</f>
        <v>0</v>
      </c>
      <c r="P16" s="9">
        <f>IF(COUNTIF(PARAMETRES_REGIMES!$A$3:$A$100,$A16)&gt;0,FLOOR(MAX(SUM(F16:L16)*24-M16,0),0.5),FLOOR(MAX(SUM(F16:K16)*24-M16,0),0.5))</f>
        <v>0</v>
      </c>
      <c r="Q16" s="9">
        <f>IF(COUNTIF(PARAMETRES_REGIMES!$A$3:$A$100,$A16)&gt;0,0,IF(ISNUMBER(L16),FLOOR(MAX(L16*24,0),0.5),0))</f>
        <v>0</v>
      </c>
      <c r="R16" s="8">
        <f t="shared" si="1"/>
        <v>0</v>
      </c>
      <c r="S16" s="8">
        <f t="shared" si="2"/>
        <v>0</v>
      </c>
      <c r="T16" s="8">
        <f t="shared" si="3"/>
        <v>0</v>
      </c>
      <c r="U16" s="8">
        <f t="shared" si="4"/>
        <v>0</v>
      </c>
      <c r="V16" s="10" t="str">
        <f t="shared" si="5"/>
        <v>OK</v>
      </c>
    </row>
    <row r="17" spans="1:22">
      <c r="A17" s="17" t="s">
        <v>60</v>
      </c>
      <c r="B17" s="5" t="s">
        <v>58</v>
      </c>
      <c r="C17" s="5" t="s">
        <v>61</v>
      </c>
      <c r="D17" s="5" t="s">
        <v>49</v>
      </c>
      <c r="E17" s="17" t="s">
        <v>21</v>
      </c>
      <c r="F17" s="6"/>
      <c r="G17" s="7"/>
      <c r="H17" s="7"/>
      <c r="I17" s="7"/>
      <c r="J17" s="7"/>
      <c r="K17" s="7"/>
      <c r="L17" s="7"/>
      <c r="M17" s="8">
        <f>48</f>
        <v>48</v>
      </c>
      <c r="N17" s="8">
        <f t="shared" si="0"/>
        <v>0</v>
      </c>
      <c r="O17" s="8">
        <f>IF(COUNTIF(PARAMETRES_REGIMES!$A$3:$A$100,$A17)&gt;0,MIN(M17,SUM(F17:L17)*24),MIN(M17,SUM(F17:K17)*24))</f>
        <v>0</v>
      </c>
      <c r="P17" s="9">
        <f>IF(COUNTIF(PARAMETRES_REGIMES!$A$3:$A$100,$A17)&gt;0,FLOOR(MAX(SUM(F17:L17)*24-M17,0),0.5),FLOOR(MAX(SUM(F17:K17)*24-M17,0),0.5))</f>
        <v>0</v>
      </c>
      <c r="Q17" s="9">
        <f>IF(COUNTIF(PARAMETRES_REGIMES!$A$3:$A$100,$A17)&gt;0,0,IF(ISNUMBER(L17),FLOOR(MAX(L17*24,0),0.5),0))</f>
        <v>0</v>
      </c>
      <c r="R17" s="8">
        <f t="shared" si="1"/>
        <v>0</v>
      </c>
      <c r="S17" s="8">
        <f t="shared" si="2"/>
        <v>0</v>
      </c>
      <c r="T17" s="8">
        <f t="shared" si="3"/>
        <v>0</v>
      </c>
      <c r="U17" s="8">
        <f t="shared" si="4"/>
        <v>0</v>
      </c>
      <c r="V17" s="10" t="str">
        <f t="shared" si="5"/>
        <v>OK</v>
      </c>
    </row>
    <row r="18" spans="1:22">
      <c r="A18" s="17">
        <v>158</v>
      </c>
      <c r="B18" s="5" t="s">
        <v>62</v>
      </c>
      <c r="C18" s="5" t="s">
        <v>63</v>
      </c>
      <c r="D18" s="5" t="s">
        <v>49</v>
      </c>
      <c r="E18" s="17" t="s">
        <v>21</v>
      </c>
      <c r="F18" s="6"/>
      <c r="G18" s="7"/>
      <c r="H18" s="7"/>
      <c r="I18" s="7"/>
      <c r="J18" s="7"/>
      <c r="K18" s="7"/>
      <c r="L18" s="7"/>
      <c r="M18" s="8">
        <f>48</f>
        <v>48</v>
      </c>
      <c r="N18" s="8">
        <f t="shared" si="0"/>
        <v>0</v>
      </c>
      <c r="O18" s="8">
        <f>IF(COUNTIF(PARAMETRES_REGIMES!$A$3:$A$100,$A18)&gt;0,MIN(M18,SUM(F18:L18)*24),MIN(M18,SUM(F18:K18)*24))</f>
        <v>0</v>
      </c>
      <c r="P18" s="9">
        <f>IF(COUNTIF(PARAMETRES_REGIMES!$A$3:$A$100,$A18)&gt;0,FLOOR(MAX(SUM(F18:L18)*24-M18,0),0.5),FLOOR(MAX(SUM(F18:K18)*24-M18,0),0.5))</f>
        <v>0</v>
      </c>
      <c r="Q18" s="9">
        <f>IF(COUNTIF(PARAMETRES_REGIMES!$A$3:$A$100,$A18)&gt;0,0,IF(ISNUMBER(L18),FLOOR(MAX(L18*24,0),0.5),0))</f>
        <v>0</v>
      </c>
      <c r="R18" s="8">
        <f t="shared" si="1"/>
        <v>0</v>
      </c>
      <c r="S18" s="8">
        <f t="shared" si="2"/>
        <v>0</v>
      </c>
      <c r="T18" s="8">
        <f t="shared" si="3"/>
        <v>0</v>
      </c>
      <c r="U18" s="8">
        <f t="shared" si="4"/>
        <v>0</v>
      </c>
      <c r="V18" s="10" t="str">
        <f t="shared" si="5"/>
        <v>OK</v>
      </c>
    </row>
    <row r="19" spans="1:22">
      <c r="A19" s="17" t="s">
        <v>64</v>
      </c>
      <c r="B19" s="5" t="s">
        <v>65</v>
      </c>
      <c r="C19" s="5" t="s">
        <v>66</v>
      </c>
      <c r="D19" s="5" t="s">
        <v>49</v>
      </c>
      <c r="E19" s="17" t="s">
        <v>21</v>
      </c>
      <c r="F19" s="6"/>
      <c r="G19" s="7"/>
      <c r="H19" s="7"/>
      <c r="I19" s="7"/>
      <c r="J19" s="7"/>
      <c r="K19" s="7"/>
      <c r="L19" s="7"/>
      <c r="M19" s="8">
        <f>48</f>
        <v>48</v>
      </c>
      <c r="N19" s="8">
        <f t="shared" si="0"/>
        <v>0</v>
      </c>
      <c r="O19" s="8">
        <f>IF(COUNTIF(PARAMETRES_REGIMES!$A$3:$A$100,$A19)&gt;0,MIN(M19,SUM(F19:L19)*24),MIN(M19,SUM(F19:K19)*24))</f>
        <v>0</v>
      </c>
      <c r="P19" s="9">
        <f>IF(COUNTIF(PARAMETRES_REGIMES!$A$3:$A$100,$A19)&gt;0,FLOOR(MAX(SUM(F19:L19)*24-M19,0),0.5),FLOOR(MAX(SUM(F19:K19)*24-M19,0),0.5))</f>
        <v>0</v>
      </c>
      <c r="Q19" s="9">
        <f>IF(COUNTIF(PARAMETRES_REGIMES!$A$3:$A$100,$A19)&gt;0,0,IF(ISNUMBER(L19),FLOOR(MAX(L19*24,0),0.5),0))</f>
        <v>0</v>
      </c>
      <c r="R19" s="8">
        <f t="shared" si="1"/>
        <v>0</v>
      </c>
      <c r="S19" s="8">
        <f t="shared" si="2"/>
        <v>0</v>
      </c>
      <c r="T19" s="8">
        <f t="shared" si="3"/>
        <v>0</v>
      </c>
      <c r="U19" s="8">
        <f t="shared" si="4"/>
        <v>0</v>
      </c>
      <c r="V19" s="10" t="str">
        <f t="shared" si="5"/>
        <v>OK</v>
      </c>
    </row>
    <row r="20" spans="1:22">
      <c r="A20" s="17" t="s">
        <v>67</v>
      </c>
      <c r="B20" s="5" t="s">
        <v>68</v>
      </c>
      <c r="C20" s="5" t="s">
        <v>25</v>
      </c>
      <c r="D20" s="5" t="s">
        <v>69</v>
      </c>
      <c r="E20" s="17" t="s">
        <v>21</v>
      </c>
      <c r="F20" s="6"/>
      <c r="G20" s="7"/>
      <c r="H20" s="7"/>
      <c r="I20" s="7"/>
      <c r="J20" s="7"/>
      <c r="K20" s="7"/>
      <c r="L20" s="7"/>
      <c r="M20" s="8">
        <f>48</f>
        <v>48</v>
      </c>
      <c r="N20" s="8">
        <f t="shared" si="0"/>
        <v>0</v>
      </c>
      <c r="O20" s="8">
        <f>IF(COUNTIF(PARAMETRES_REGIMES!$A$3:$A$100,$A20)&gt;0,MIN(M20,SUM(F20:L20)*24),MIN(M20,SUM(F20:K20)*24))</f>
        <v>0</v>
      </c>
      <c r="P20" s="9">
        <f>IF(COUNTIF(PARAMETRES_REGIMES!$A$3:$A$100,$A20)&gt;0,FLOOR(MAX(SUM(F20:L20)*24-M20,0),0.5),FLOOR(MAX(SUM(F20:K20)*24-M20,0),0.5))</f>
        <v>0</v>
      </c>
      <c r="Q20" s="9">
        <f>IF(COUNTIF(PARAMETRES_REGIMES!$A$3:$A$100,$A20)&gt;0,0,IF(ISNUMBER(L20),FLOOR(MAX(L20*24,0),0.5),0))</f>
        <v>0</v>
      </c>
      <c r="R20" s="8">
        <f t="shared" si="1"/>
        <v>0</v>
      </c>
      <c r="S20" s="8">
        <f t="shared" si="2"/>
        <v>0</v>
      </c>
      <c r="T20" s="8">
        <f t="shared" si="3"/>
        <v>0</v>
      </c>
      <c r="U20" s="8">
        <f t="shared" si="4"/>
        <v>0</v>
      </c>
      <c r="V20" s="10" t="str">
        <f t="shared" si="5"/>
        <v>OK</v>
      </c>
    </row>
    <row r="21" spans="1:22">
      <c r="A21" s="17" t="s">
        <v>70</v>
      </c>
      <c r="B21" s="5" t="s">
        <v>71</v>
      </c>
      <c r="C21" s="5" t="s">
        <v>72</v>
      </c>
      <c r="D21" s="5" t="s">
        <v>69</v>
      </c>
      <c r="E21" s="17" t="s">
        <v>21</v>
      </c>
      <c r="F21" s="6"/>
      <c r="G21" s="7"/>
      <c r="H21" s="7"/>
      <c r="I21" s="7"/>
      <c r="J21" s="7"/>
      <c r="K21" s="7"/>
      <c r="L21" s="7"/>
      <c r="M21" s="8">
        <f>48</f>
        <v>48</v>
      </c>
      <c r="N21" s="8">
        <f t="shared" si="0"/>
        <v>0</v>
      </c>
      <c r="O21" s="8">
        <f>IF(COUNTIF(PARAMETRES_REGIMES!$A$3:$A$100,$A21)&gt;0,MIN(M21,SUM(F21:L21)*24),MIN(M21,SUM(F21:K21)*24))</f>
        <v>0</v>
      </c>
      <c r="P21" s="9">
        <f>IF(COUNTIF(PARAMETRES_REGIMES!$A$3:$A$100,$A21)&gt;0,FLOOR(MAX(SUM(F21:L21)*24-M21,0),0.5),FLOOR(MAX(SUM(F21:K21)*24-M21,0),0.5))</f>
        <v>0</v>
      </c>
      <c r="Q21" s="9">
        <f>IF(COUNTIF(PARAMETRES_REGIMES!$A$3:$A$100,$A21)&gt;0,0,IF(ISNUMBER(L21),FLOOR(MAX(L21*24,0),0.5),0))</f>
        <v>0</v>
      </c>
      <c r="R21" s="8">
        <f t="shared" si="1"/>
        <v>0</v>
      </c>
      <c r="S21" s="8">
        <f t="shared" si="2"/>
        <v>0</v>
      </c>
      <c r="T21" s="8">
        <f t="shared" si="3"/>
        <v>0</v>
      </c>
      <c r="U21" s="8">
        <f t="shared" si="4"/>
        <v>0</v>
      </c>
      <c r="V21" s="10" t="str">
        <f t="shared" si="5"/>
        <v>OK</v>
      </c>
    </row>
    <row r="22" spans="1:22">
      <c r="A22" s="17" t="s">
        <v>73</v>
      </c>
      <c r="B22" s="5" t="s">
        <v>74</v>
      </c>
      <c r="C22" s="5" t="s">
        <v>75</v>
      </c>
      <c r="D22" s="5" t="s">
        <v>69</v>
      </c>
      <c r="E22" s="17" t="s">
        <v>21</v>
      </c>
      <c r="F22" s="6"/>
      <c r="G22" s="7"/>
      <c r="H22" s="7"/>
      <c r="I22" s="7"/>
      <c r="J22" s="7"/>
      <c r="K22" s="7"/>
      <c r="L22" s="7"/>
      <c r="M22" s="8">
        <f>48</f>
        <v>48</v>
      </c>
      <c r="N22" s="8">
        <f t="shared" si="0"/>
        <v>0</v>
      </c>
      <c r="O22" s="8">
        <f>IF(COUNTIF(PARAMETRES_REGIMES!$A$3:$A$100,$A22)&gt;0,MIN(M22,SUM(F22:L22)*24),MIN(M22,SUM(F22:K22)*24))</f>
        <v>0</v>
      </c>
      <c r="P22" s="9">
        <f>IF(COUNTIF(PARAMETRES_REGIMES!$A$3:$A$100,$A22)&gt;0,FLOOR(MAX(SUM(F22:L22)*24-M22,0),0.5),FLOOR(MAX(SUM(F22:K22)*24-M22,0),0.5))</f>
        <v>0</v>
      </c>
      <c r="Q22" s="9">
        <f>IF(COUNTIF(PARAMETRES_REGIMES!$A$3:$A$100,$A22)&gt;0,0,IF(ISNUMBER(L22),FLOOR(MAX(L22*24,0),0.5),0))</f>
        <v>0</v>
      </c>
      <c r="R22" s="8">
        <f t="shared" si="1"/>
        <v>0</v>
      </c>
      <c r="S22" s="8">
        <f t="shared" si="2"/>
        <v>0</v>
      </c>
      <c r="T22" s="8">
        <f t="shared" si="3"/>
        <v>0</v>
      </c>
      <c r="U22" s="8">
        <f t="shared" si="4"/>
        <v>0</v>
      </c>
      <c r="V22" s="10" t="str">
        <f t="shared" si="5"/>
        <v>OK</v>
      </c>
    </row>
    <row r="23" spans="1:22">
      <c r="A23" s="17">
        <v>97</v>
      </c>
      <c r="B23" s="5" t="s">
        <v>76</v>
      </c>
      <c r="C23" s="5" t="s">
        <v>77</v>
      </c>
      <c r="D23" s="5" t="s">
        <v>69</v>
      </c>
      <c r="E23" s="17" t="s">
        <v>21</v>
      </c>
      <c r="F23" s="6"/>
      <c r="G23" s="7"/>
      <c r="H23" s="7"/>
      <c r="I23" s="7"/>
      <c r="J23" s="7"/>
      <c r="K23" s="7"/>
      <c r="L23" s="7"/>
      <c r="M23" s="8">
        <f>48</f>
        <v>48</v>
      </c>
      <c r="N23" s="8">
        <f t="shared" si="0"/>
        <v>0</v>
      </c>
      <c r="O23" s="8">
        <f>IF(COUNTIF(PARAMETRES_REGIMES!$A$3:$A$100,$A23)&gt;0,MIN(M23,SUM(F23:L23)*24),MIN(M23,SUM(F23:K23)*24))</f>
        <v>0</v>
      </c>
      <c r="P23" s="9">
        <f>IF(COUNTIF(PARAMETRES_REGIMES!$A$3:$A$100,$A23)&gt;0,FLOOR(MAX(SUM(F23:L23)*24-M23,0),0.5),FLOOR(MAX(SUM(F23:K23)*24-M23,0),0.5))</f>
        <v>0</v>
      </c>
      <c r="Q23" s="9">
        <f>IF(COUNTIF(PARAMETRES_REGIMES!$A$3:$A$100,$A23)&gt;0,0,IF(ISNUMBER(L23),FLOOR(MAX(L23*24,0),0.5),0))</f>
        <v>0</v>
      </c>
      <c r="R23" s="8">
        <f t="shared" si="1"/>
        <v>0</v>
      </c>
      <c r="S23" s="8">
        <f t="shared" si="2"/>
        <v>0</v>
      </c>
      <c r="T23" s="8">
        <f t="shared" si="3"/>
        <v>0</v>
      </c>
      <c r="U23" s="8">
        <f t="shared" si="4"/>
        <v>0</v>
      </c>
      <c r="V23" s="10" t="str">
        <f t="shared" si="5"/>
        <v>OK</v>
      </c>
    </row>
    <row r="24" spans="1:22">
      <c r="A24" s="17" t="s">
        <v>78</v>
      </c>
      <c r="B24" s="5" t="s">
        <v>79</v>
      </c>
      <c r="C24" s="5" t="s">
        <v>80</v>
      </c>
      <c r="D24" s="5" t="s">
        <v>69</v>
      </c>
      <c r="E24" s="17" t="s">
        <v>21</v>
      </c>
      <c r="F24" s="6"/>
      <c r="G24" s="7"/>
      <c r="H24" s="7"/>
      <c r="I24" s="7"/>
      <c r="J24" s="7"/>
      <c r="K24" s="7"/>
      <c r="L24" s="7"/>
      <c r="M24" s="8">
        <f>48</f>
        <v>48</v>
      </c>
      <c r="N24" s="8">
        <f t="shared" si="0"/>
        <v>0</v>
      </c>
      <c r="O24" s="8">
        <f>IF(COUNTIF(PARAMETRES_REGIMES!$A$3:$A$100,$A24)&gt;0,MIN(M24,SUM(F24:L24)*24),MIN(M24,SUM(F24:K24)*24))</f>
        <v>0</v>
      </c>
      <c r="P24" s="9">
        <f>IF(COUNTIF(PARAMETRES_REGIMES!$A$3:$A$100,$A24)&gt;0,FLOOR(MAX(SUM(F24:L24)*24-M24,0),0.5),FLOOR(MAX(SUM(F24:K24)*24-M24,0),0.5))</f>
        <v>0</v>
      </c>
      <c r="Q24" s="9">
        <f>IF(COUNTIF(PARAMETRES_REGIMES!$A$3:$A$100,$A24)&gt;0,0,IF(ISNUMBER(L24),FLOOR(MAX(L24*24,0),0.5),0))</f>
        <v>0</v>
      </c>
      <c r="R24" s="8">
        <f t="shared" si="1"/>
        <v>0</v>
      </c>
      <c r="S24" s="8">
        <f t="shared" si="2"/>
        <v>0</v>
      </c>
      <c r="T24" s="8">
        <f t="shared" si="3"/>
        <v>0</v>
      </c>
      <c r="U24" s="8">
        <f t="shared" si="4"/>
        <v>0</v>
      </c>
      <c r="V24" s="10" t="str">
        <f t="shared" si="5"/>
        <v>OK</v>
      </c>
    </row>
    <row r="25" spans="1:22">
      <c r="A25" s="17" t="s">
        <v>81</v>
      </c>
      <c r="B25" s="5" t="s">
        <v>82</v>
      </c>
      <c r="C25" s="5" t="s">
        <v>83</v>
      </c>
      <c r="D25" s="5" t="s">
        <v>69</v>
      </c>
      <c r="E25" s="17" t="s">
        <v>21</v>
      </c>
      <c r="F25" s="6"/>
      <c r="G25" s="7"/>
      <c r="H25" s="7"/>
      <c r="I25" s="7"/>
      <c r="J25" s="7"/>
      <c r="K25" s="7"/>
      <c r="L25" s="7"/>
      <c r="M25" s="8">
        <f>48</f>
        <v>48</v>
      </c>
      <c r="N25" s="8">
        <f t="shared" si="0"/>
        <v>0</v>
      </c>
      <c r="O25" s="8">
        <f>IF(COUNTIF(PARAMETRES_REGIMES!$A$3:$A$100,$A25)&gt;0,MIN(M25,SUM(F25:L25)*24),MIN(M25,SUM(F25:K25)*24))</f>
        <v>0</v>
      </c>
      <c r="P25" s="9">
        <f>IF(COUNTIF(PARAMETRES_REGIMES!$A$3:$A$100,$A25)&gt;0,FLOOR(MAX(SUM(F25:L25)*24-M25,0),0.5),FLOOR(MAX(SUM(F25:K25)*24-M25,0),0.5))</f>
        <v>0</v>
      </c>
      <c r="Q25" s="9">
        <f>IF(COUNTIF(PARAMETRES_REGIMES!$A$3:$A$100,$A25)&gt;0,0,IF(ISNUMBER(L25),FLOOR(MAX(L25*24,0),0.5),0))</f>
        <v>0</v>
      </c>
      <c r="R25" s="8">
        <f t="shared" si="1"/>
        <v>0</v>
      </c>
      <c r="S25" s="8">
        <f t="shared" si="2"/>
        <v>0</v>
      </c>
      <c r="T25" s="8">
        <f t="shared" si="3"/>
        <v>0</v>
      </c>
      <c r="U25" s="8">
        <f t="shared" si="4"/>
        <v>0</v>
      </c>
      <c r="V25" s="10" t="str">
        <f t="shared" si="5"/>
        <v>OK</v>
      </c>
    </row>
    <row r="26" spans="1:22">
      <c r="A26" s="17" t="s">
        <v>84</v>
      </c>
      <c r="B26" s="5" t="s">
        <v>85</v>
      </c>
      <c r="C26" s="5" t="s">
        <v>86</v>
      </c>
      <c r="D26" s="5" t="s">
        <v>87</v>
      </c>
      <c r="E26" s="17" t="s">
        <v>21</v>
      </c>
      <c r="F26" s="6"/>
      <c r="G26" s="7"/>
      <c r="H26" s="7"/>
      <c r="I26" s="7"/>
      <c r="J26" s="7"/>
      <c r="K26" s="7"/>
      <c r="L26" s="7"/>
      <c r="M26" s="8">
        <f>48</f>
        <v>48</v>
      </c>
      <c r="N26" s="8">
        <f t="shared" si="0"/>
        <v>0</v>
      </c>
      <c r="O26" s="8">
        <f>IF(COUNTIF(PARAMETRES_REGIMES!$A$3:$A$100,$A26)&gt;0,MIN(M26,SUM(F26:L26)*24),MIN(M26,SUM(F26:K26)*24))</f>
        <v>0</v>
      </c>
      <c r="P26" s="9">
        <f>IF(COUNTIF(PARAMETRES_REGIMES!$A$3:$A$100,$A26)&gt;0,FLOOR(MAX(SUM(F26:L26)*24-M26,0),0.5),FLOOR(MAX(SUM(F26:K26)*24-M26,0),0.5))</f>
        <v>0</v>
      </c>
      <c r="Q26" s="9">
        <f>IF(COUNTIF(PARAMETRES_REGIMES!$A$3:$A$100,$A26)&gt;0,0,IF(ISNUMBER(L26),FLOOR(MAX(L26*24,0),0.5),0))</f>
        <v>0</v>
      </c>
      <c r="R26" s="8">
        <f t="shared" si="1"/>
        <v>0</v>
      </c>
      <c r="S26" s="8">
        <f t="shared" si="2"/>
        <v>0</v>
      </c>
      <c r="T26" s="8">
        <f t="shared" si="3"/>
        <v>0</v>
      </c>
      <c r="U26" s="8">
        <f t="shared" si="4"/>
        <v>0</v>
      </c>
      <c r="V26" s="10" t="str">
        <f t="shared" si="5"/>
        <v>OK</v>
      </c>
    </row>
    <row r="27" spans="1:22">
      <c r="A27" s="17">
        <v>249</v>
      </c>
      <c r="B27" s="5" t="s">
        <v>88</v>
      </c>
      <c r="C27" s="5" t="s">
        <v>89</v>
      </c>
      <c r="D27" s="5" t="s">
        <v>87</v>
      </c>
      <c r="E27" s="17" t="s">
        <v>21</v>
      </c>
      <c r="F27" s="6"/>
      <c r="G27" s="7"/>
      <c r="H27" s="7"/>
      <c r="I27" s="7"/>
      <c r="J27" s="7"/>
      <c r="K27" s="7"/>
      <c r="L27" s="7"/>
      <c r="M27" s="8">
        <f>48</f>
        <v>48</v>
      </c>
      <c r="N27" s="8">
        <f t="shared" si="0"/>
        <v>0</v>
      </c>
      <c r="O27" s="8">
        <f>IF(COUNTIF(PARAMETRES_REGIMES!$A$3:$A$100,$A27)&gt;0,MIN(M27,SUM(F27:L27)*24),MIN(M27,SUM(F27:K27)*24))</f>
        <v>0</v>
      </c>
      <c r="P27" s="9">
        <f>IF(COUNTIF(PARAMETRES_REGIMES!$A$3:$A$100,$A27)&gt;0,FLOOR(MAX(SUM(F27:L27)*24-M27,0),0.5),FLOOR(MAX(SUM(F27:K27)*24-M27,0),0.5))</f>
        <v>0</v>
      </c>
      <c r="Q27" s="9">
        <f>IF(COUNTIF(PARAMETRES_REGIMES!$A$3:$A$100,$A27)&gt;0,0,IF(ISNUMBER(L27),FLOOR(MAX(L27*24,0),0.5),0))</f>
        <v>0</v>
      </c>
      <c r="R27" s="8">
        <f t="shared" si="1"/>
        <v>0</v>
      </c>
      <c r="S27" s="8">
        <f t="shared" si="2"/>
        <v>0</v>
      </c>
      <c r="T27" s="8">
        <f t="shared" si="3"/>
        <v>0</v>
      </c>
      <c r="U27" s="8">
        <f t="shared" si="4"/>
        <v>0</v>
      </c>
      <c r="V27" s="10" t="str">
        <f t="shared" si="5"/>
        <v>OK</v>
      </c>
    </row>
    <row r="28" spans="1:22">
      <c r="A28" s="17">
        <v>135</v>
      </c>
      <c r="B28" s="5" t="s">
        <v>90</v>
      </c>
      <c r="C28" s="5" t="s">
        <v>91</v>
      </c>
      <c r="D28" s="5" t="s">
        <v>92</v>
      </c>
      <c r="E28" s="17" t="s">
        <v>21</v>
      </c>
      <c r="F28" s="6"/>
      <c r="G28" s="7"/>
      <c r="H28" s="7"/>
      <c r="I28" s="7"/>
      <c r="J28" s="7"/>
      <c r="K28" s="7"/>
      <c r="L28" s="7"/>
      <c r="M28" s="8">
        <f>48</f>
        <v>48</v>
      </c>
      <c r="N28" s="8">
        <f t="shared" si="0"/>
        <v>0</v>
      </c>
      <c r="O28" s="8">
        <f>IF(COUNTIF(PARAMETRES_REGIMES!$A$3:$A$100,$A28)&gt;0,MIN(M28,SUM(F28:L28)*24),MIN(M28,SUM(F28:K28)*24))</f>
        <v>0</v>
      </c>
      <c r="P28" s="9">
        <f>IF(COUNTIF(PARAMETRES_REGIMES!$A$3:$A$100,$A28)&gt;0,FLOOR(MAX(SUM(F28:L28)*24-M28,0),0.5),FLOOR(MAX(SUM(F28:K28)*24-M28,0),0.5))</f>
        <v>0</v>
      </c>
      <c r="Q28" s="9">
        <f>IF(COUNTIF(PARAMETRES_REGIMES!$A$3:$A$100,$A28)&gt;0,0,IF(ISNUMBER(L28),FLOOR(MAX(L28*24,0),0.5),0))</f>
        <v>0</v>
      </c>
      <c r="R28" s="8">
        <f t="shared" si="1"/>
        <v>0</v>
      </c>
      <c r="S28" s="8">
        <f t="shared" si="2"/>
        <v>0</v>
      </c>
      <c r="T28" s="8">
        <f t="shared" si="3"/>
        <v>0</v>
      </c>
      <c r="U28" s="8">
        <f t="shared" si="4"/>
        <v>0</v>
      </c>
      <c r="V28" s="10" t="str">
        <f t="shared" si="5"/>
        <v>OK</v>
      </c>
    </row>
    <row r="29" spans="1:22">
      <c r="A29" s="17" t="s">
        <v>93</v>
      </c>
      <c r="B29" s="5" t="s">
        <v>94</v>
      </c>
      <c r="C29" s="5" t="s">
        <v>95</v>
      </c>
      <c r="D29" s="5" t="s">
        <v>92</v>
      </c>
      <c r="E29" s="17" t="s">
        <v>21</v>
      </c>
      <c r="F29" s="6"/>
      <c r="G29" s="7"/>
      <c r="H29" s="7"/>
      <c r="I29" s="7"/>
      <c r="J29" s="7"/>
      <c r="K29" s="7"/>
      <c r="L29" s="7"/>
      <c r="M29" s="8">
        <f>48</f>
        <v>48</v>
      </c>
      <c r="N29" s="8">
        <f t="shared" si="0"/>
        <v>0</v>
      </c>
      <c r="O29" s="8">
        <f>IF(COUNTIF(PARAMETRES_REGIMES!$A$3:$A$100,$A29)&gt;0,MIN(M29,SUM(F29:L29)*24),MIN(M29,SUM(F29:K29)*24))</f>
        <v>0</v>
      </c>
      <c r="P29" s="9">
        <f>IF(COUNTIF(PARAMETRES_REGIMES!$A$3:$A$100,$A29)&gt;0,FLOOR(MAX(SUM(F29:L29)*24-M29,0),0.5),FLOOR(MAX(SUM(F29:K29)*24-M29,0),0.5))</f>
        <v>0</v>
      </c>
      <c r="Q29" s="9">
        <f>IF(COUNTIF(PARAMETRES_REGIMES!$A$3:$A$100,$A29)&gt;0,0,IF(ISNUMBER(L29),FLOOR(MAX(L29*24,0),0.5),0))</f>
        <v>0</v>
      </c>
      <c r="R29" s="8">
        <f t="shared" si="1"/>
        <v>0</v>
      </c>
      <c r="S29" s="8">
        <f t="shared" si="2"/>
        <v>0</v>
      </c>
      <c r="T29" s="8">
        <f t="shared" si="3"/>
        <v>0</v>
      </c>
      <c r="U29" s="8">
        <f t="shared" si="4"/>
        <v>0</v>
      </c>
      <c r="V29" s="10" t="str">
        <f t="shared" si="5"/>
        <v>OK</v>
      </c>
    </row>
    <row r="30" spans="1:22">
      <c r="A30" s="17">
        <v>248</v>
      </c>
      <c r="B30" s="5" t="s">
        <v>96</v>
      </c>
      <c r="C30" s="5" t="s">
        <v>97</v>
      </c>
      <c r="D30" s="5" t="s">
        <v>92</v>
      </c>
      <c r="E30" s="17" t="s">
        <v>21</v>
      </c>
      <c r="F30" s="6"/>
      <c r="G30" s="7"/>
      <c r="H30" s="7"/>
      <c r="I30" s="7"/>
      <c r="J30" s="7"/>
      <c r="K30" s="7"/>
      <c r="L30" s="7"/>
      <c r="M30" s="8">
        <f>48</f>
        <v>48</v>
      </c>
      <c r="N30" s="8">
        <f t="shared" si="0"/>
        <v>0</v>
      </c>
      <c r="O30" s="8">
        <f>IF(COUNTIF(PARAMETRES_REGIMES!$A$3:$A$100,$A30)&gt;0,MIN(M30,SUM(F30:L30)*24),MIN(M30,SUM(F30:K30)*24))</f>
        <v>0</v>
      </c>
      <c r="P30" s="9">
        <f>IF(COUNTIF(PARAMETRES_REGIMES!$A$3:$A$100,$A30)&gt;0,FLOOR(MAX(SUM(F30:L30)*24-M30,0),0.5),FLOOR(MAX(SUM(F30:K30)*24-M30,0),0.5))</f>
        <v>0</v>
      </c>
      <c r="Q30" s="9">
        <f>IF(COUNTIF(PARAMETRES_REGIMES!$A$3:$A$100,$A30)&gt;0,0,IF(ISNUMBER(L30),FLOOR(MAX(L30*24,0),0.5),0))</f>
        <v>0</v>
      </c>
      <c r="R30" s="8">
        <f t="shared" si="1"/>
        <v>0</v>
      </c>
      <c r="S30" s="8">
        <f t="shared" si="2"/>
        <v>0</v>
      </c>
      <c r="T30" s="8">
        <f t="shared" si="3"/>
        <v>0</v>
      </c>
      <c r="U30" s="8">
        <f t="shared" si="4"/>
        <v>0</v>
      </c>
      <c r="V30" s="10" t="str">
        <f t="shared" si="5"/>
        <v>OK</v>
      </c>
    </row>
    <row r="31" spans="1:22">
      <c r="A31" s="17">
        <v>71</v>
      </c>
      <c r="B31" s="5" t="s">
        <v>98</v>
      </c>
      <c r="C31" s="5" t="s">
        <v>99</v>
      </c>
      <c r="D31" s="5" t="s">
        <v>92</v>
      </c>
      <c r="E31" s="17" t="s">
        <v>21</v>
      </c>
      <c r="F31" s="6"/>
      <c r="G31" s="7"/>
      <c r="H31" s="7"/>
      <c r="I31" s="7"/>
      <c r="J31" s="7"/>
      <c r="K31" s="7"/>
      <c r="L31" s="7"/>
      <c r="M31" s="8">
        <f>48</f>
        <v>48</v>
      </c>
      <c r="N31" s="8">
        <f t="shared" si="0"/>
        <v>0</v>
      </c>
      <c r="O31" s="8">
        <f>IF(COUNTIF(PARAMETRES_REGIMES!$A$3:$A$100,$A31)&gt;0,MIN(M31,SUM(F31:L31)*24),MIN(M31,SUM(F31:K31)*24))</f>
        <v>0</v>
      </c>
      <c r="P31" s="9">
        <f>IF(COUNTIF(PARAMETRES_REGIMES!$A$3:$A$100,$A31)&gt;0,FLOOR(MAX(SUM(F31:L31)*24-M31,0),0.5),FLOOR(MAX(SUM(F31:K31)*24-M31,0),0.5))</f>
        <v>0</v>
      </c>
      <c r="Q31" s="9">
        <f>IF(COUNTIF(PARAMETRES_REGIMES!$A$3:$A$100,$A31)&gt;0,0,IF(ISNUMBER(L31),FLOOR(MAX(L31*24,0),0.5),0))</f>
        <v>0</v>
      </c>
      <c r="R31" s="8">
        <f t="shared" si="1"/>
        <v>0</v>
      </c>
      <c r="S31" s="8">
        <f t="shared" si="2"/>
        <v>0</v>
      </c>
      <c r="T31" s="8">
        <f t="shared" si="3"/>
        <v>0</v>
      </c>
      <c r="U31" s="8">
        <f t="shared" si="4"/>
        <v>0</v>
      </c>
      <c r="V31" s="10" t="str">
        <f t="shared" si="5"/>
        <v>OK</v>
      </c>
    </row>
    <row r="32" spans="1:22">
      <c r="A32" s="17">
        <v>227</v>
      </c>
      <c r="B32" s="5" t="s">
        <v>100</v>
      </c>
      <c r="C32" s="5" t="s">
        <v>101</v>
      </c>
      <c r="D32" s="5" t="s">
        <v>92</v>
      </c>
      <c r="E32" s="17" t="s">
        <v>21</v>
      </c>
      <c r="F32" s="6"/>
      <c r="G32" s="7"/>
      <c r="H32" s="7"/>
      <c r="I32" s="7"/>
      <c r="J32" s="7"/>
      <c r="K32" s="7"/>
      <c r="L32" s="7"/>
      <c r="M32" s="8">
        <f>48</f>
        <v>48</v>
      </c>
      <c r="N32" s="8">
        <f t="shared" si="0"/>
        <v>0</v>
      </c>
      <c r="O32" s="8">
        <f>IF(COUNTIF(PARAMETRES_REGIMES!$A$3:$A$100,$A32)&gt;0,MIN(M32,SUM(F32:L32)*24),MIN(M32,SUM(F32:K32)*24))</f>
        <v>0</v>
      </c>
      <c r="P32" s="9">
        <f>IF(COUNTIF(PARAMETRES_REGIMES!$A$3:$A$100,$A32)&gt;0,FLOOR(MAX(SUM(F32:L32)*24-M32,0),0.5),FLOOR(MAX(SUM(F32:K32)*24-M32,0),0.5))</f>
        <v>0</v>
      </c>
      <c r="Q32" s="9">
        <f>IF(COUNTIF(PARAMETRES_REGIMES!$A$3:$A$100,$A32)&gt;0,0,IF(ISNUMBER(L32),FLOOR(MAX(L32*24,0),0.5),0))</f>
        <v>0</v>
      </c>
      <c r="R32" s="8">
        <f t="shared" si="1"/>
        <v>0</v>
      </c>
      <c r="S32" s="8">
        <f t="shared" si="2"/>
        <v>0</v>
      </c>
      <c r="T32" s="8">
        <f t="shared" si="3"/>
        <v>0</v>
      </c>
      <c r="U32" s="8">
        <f t="shared" si="4"/>
        <v>0</v>
      </c>
      <c r="V32" s="10" t="str">
        <f t="shared" si="5"/>
        <v>OK</v>
      </c>
    </row>
    <row r="33" spans="1:22">
      <c r="A33" s="17">
        <v>251</v>
      </c>
      <c r="B33" s="5" t="s">
        <v>102</v>
      </c>
      <c r="C33" s="5" t="s">
        <v>103</v>
      </c>
      <c r="D33" s="5" t="s">
        <v>92</v>
      </c>
      <c r="E33" s="17" t="s">
        <v>21</v>
      </c>
      <c r="F33" s="6"/>
      <c r="G33" s="7"/>
      <c r="H33" s="7"/>
      <c r="I33" s="7"/>
      <c r="J33" s="7"/>
      <c r="K33" s="7"/>
      <c r="L33" s="7"/>
      <c r="M33" s="8">
        <f>48</f>
        <v>48</v>
      </c>
      <c r="N33" s="8">
        <f t="shared" si="0"/>
        <v>0</v>
      </c>
      <c r="O33" s="8">
        <f>IF(COUNTIF(PARAMETRES_REGIMES!$A$3:$A$100,$A33)&gt;0,MIN(M33,SUM(F33:L33)*24),MIN(M33,SUM(F33:K33)*24))</f>
        <v>0</v>
      </c>
      <c r="P33" s="9">
        <f>IF(COUNTIF(PARAMETRES_REGIMES!$A$3:$A$100,$A33)&gt;0,FLOOR(MAX(SUM(F33:L33)*24-M33,0),0.5),FLOOR(MAX(SUM(F33:K33)*24-M33,0),0.5))</f>
        <v>0</v>
      </c>
      <c r="Q33" s="9">
        <f>IF(COUNTIF(PARAMETRES_REGIMES!$A$3:$A$100,$A33)&gt;0,0,IF(ISNUMBER(L33),FLOOR(MAX(L33*24,0),0.5),0))</f>
        <v>0</v>
      </c>
      <c r="R33" s="8">
        <f t="shared" si="1"/>
        <v>0</v>
      </c>
      <c r="S33" s="8">
        <f t="shared" si="2"/>
        <v>0</v>
      </c>
      <c r="T33" s="8">
        <f t="shared" si="3"/>
        <v>0</v>
      </c>
      <c r="U33" s="8">
        <f t="shared" si="4"/>
        <v>0</v>
      </c>
      <c r="V33" s="10" t="str">
        <f t="shared" si="5"/>
        <v>OK</v>
      </c>
    </row>
    <row r="34" spans="1:22">
      <c r="A34" s="17">
        <v>70</v>
      </c>
      <c r="B34" s="5" t="s">
        <v>104</v>
      </c>
      <c r="C34" s="5" t="s">
        <v>105</v>
      </c>
      <c r="D34" s="5" t="s">
        <v>92</v>
      </c>
      <c r="E34" s="17" t="s">
        <v>21</v>
      </c>
      <c r="F34" s="6"/>
      <c r="G34" s="7"/>
      <c r="H34" s="7"/>
      <c r="I34" s="7"/>
      <c r="J34" s="7"/>
      <c r="K34" s="7"/>
      <c r="L34" s="7"/>
      <c r="M34" s="8">
        <f>48</f>
        <v>48</v>
      </c>
      <c r="N34" s="8">
        <f t="shared" si="0"/>
        <v>0</v>
      </c>
      <c r="O34" s="8">
        <f>IF(COUNTIF(PARAMETRES_REGIMES!$A$3:$A$100,$A34)&gt;0,MIN(M34,SUM(F34:L34)*24),MIN(M34,SUM(F34:K34)*24))</f>
        <v>0</v>
      </c>
      <c r="P34" s="9">
        <f>IF(COUNTIF(PARAMETRES_REGIMES!$A$3:$A$100,$A34)&gt;0,FLOOR(MAX(SUM(F34:L34)*24-M34,0),0.5),FLOOR(MAX(SUM(F34:K34)*24-M34,0),0.5))</f>
        <v>0</v>
      </c>
      <c r="Q34" s="9">
        <f>IF(COUNTIF(PARAMETRES_REGIMES!$A$3:$A$100,$A34)&gt;0,0,IF(ISNUMBER(L34),FLOOR(MAX(L34*24,0),0.5),0))</f>
        <v>0</v>
      </c>
      <c r="R34" s="8">
        <f t="shared" si="1"/>
        <v>0</v>
      </c>
      <c r="S34" s="8">
        <f t="shared" si="2"/>
        <v>0</v>
      </c>
      <c r="T34" s="8">
        <f t="shared" si="3"/>
        <v>0</v>
      </c>
      <c r="U34" s="8">
        <f t="shared" si="4"/>
        <v>0</v>
      </c>
      <c r="V34" s="10" t="str">
        <f t="shared" si="5"/>
        <v>OK</v>
      </c>
    </row>
    <row r="35" spans="1:22">
      <c r="A35" s="17">
        <v>50</v>
      </c>
      <c r="B35" s="5" t="s">
        <v>106</v>
      </c>
      <c r="C35" s="5" t="s">
        <v>107</v>
      </c>
      <c r="D35" s="5" t="s">
        <v>92</v>
      </c>
      <c r="E35" s="17" t="s">
        <v>21</v>
      </c>
      <c r="F35" s="6"/>
      <c r="G35" s="7"/>
      <c r="H35" s="7"/>
      <c r="I35" s="7"/>
      <c r="J35" s="7"/>
      <c r="K35" s="7"/>
      <c r="L35" s="7"/>
      <c r="M35" s="8">
        <f>48</f>
        <v>48</v>
      </c>
      <c r="N35" s="8">
        <f t="shared" ref="N35:N66" si="6">SUM(F35:L35)*24</f>
        <v>0</v>
      </c>
      <c r="O35" s="8">
        <f>IF(COUNTIF(PARAMETRES_REGIMES!$A$3:$A$100,$A35)&gt;0,MIN(M35,SUM(F35:L35)*24),MIN(M35,SUM(F35:K35)*24))</f>
        <v>0</v>
      </c>
      <c r="P35" s="9">
        <f>IF(COUNTIF(PARAMETRES_REGIMES!$A$3:$A$100,$A35)&gt;0,FLOOR(MAX(SUM(F35:L35)*24-M35,0),0.5),FLOOR(MAX(SUM(F35:K35)*24-M35,0),0.5))</f>
        <v>0</v>
      </c>
      <c r="Q35" s="9">
        <f>IF(COUNTIF(PARAMETRES_REGIMES!$A$3:$A$100,$A35)&gt;0,0,IF(ISNUMBER(L35),FLOOR(MAX(L35*24,0),0.5),0))</f>
        <v>0</v>
      </c>
      <c r="R35" s="8">
        <f t="shared" ref="R35:R66" si="7">COUNTIF(F35:L35,"ABS")</f>
        <v>0</v>
      </c>
      <c r="S35" s="8">
        <f t="shared" ref="S35:S66" si="8">COUNTIF(F35:L35,"Congé")</f>
        <v>0</v>
      </c>
      <c r="T35" s="8">
        <f t="shared" ref="T35:T66" si="9">COUNTIF(F35:L35,"Férié")</f>
        <v>0</v>
      </c>
      <c r="U35" s="8">
        <f t="shared" ref="U35:U66" si="10">O35+P35+Q35+(T35*8.5)</f>
        <v>0</v>
      </c>
      <c r="V35" s="10" t="str">
        <f t="shared" ref="V35:V66" si="11">IF(COUNTIF(F35:L35,"STC")&gt;0,"STC",IF(COUNTIF(F35:L35,"*!*")&gt;0,"À vérifier","OK"))</f>
        <v>OK</v>
      </c>
    </row>
    <row r="36" spans="1:22">
      <c r="A36" s="17">
        <v>250</v>
      </c>
      <c r="B36" s="5" t="s">
        <v>108</v>
      </c>
      <c r="C36" s="5" t="s">
        <v>66</v>
      </c>
      <c r="D36" s="5" t="s">
        <v>92</v>
      </c>
      <c r="E36" s="17" t="s">
        <v>21</v>
      </c>
      <c r="F36" s="6"/>
      <c r="G36" s="7"/>
      <c r="H36" s="7"/>
      <c r="I36" s="7"/>
      <c r="J36" s="7"/>
      <c r="K36" s="7"/>
      <c r="L36" s="7"/>
      <c r="M36" s="8">
        <f>48</f>
        <v>48</v>
      </c>
      <c r="N36" s="8">
        <f t="shared" si="6"/>
        <v>0</v>
      </c>
      <c r="O36" s="8">
        <f>IF(COUNTIF(PARAMETRES_REGIMES!$A$3:$A$100,$A36)&gt;0,MIN(M36,SUM(F36:L36)*24),MIN(M36,SUM(F36:K36)*24))</f>
        <v>0</v>
      </c>
      <c r="P36" s="9">
        <f>IF(COUNTIF(PARAMETRES_REGIMES!$A$3:$A$100,$A36)&gt;0,FLOOR(MAX(SUM(F36:L36)*24-M36,0),0.5),FLOOR(MAX(SUM(F36:K36)*24-M36,0),0.5))</f>
        <v>0</v>
      </c>
      <c r="Q36" s="9">
        <f>IF(COUNTIF(PARAMETRES_REGIMES!$A$3:$A$100,$A36)&gt;0,0,IF(ISNUMBER(L36),FLOOR(MAX(L36*24,0),0.5),0))</f>
        <v>0</v>
      </c>
      <c r="R36" s="8">
        <f t="shared" si="7"/>
        <v>0</v>
      </c>
      <c r="S36" s="8">
        <f t="shared" si="8"/>
        <v>0</v>
      </c>
      <c r="T36" s="8">
        <f t="shared" si="9"/>
        <v>0</v>
      </c>
      <c r="U36" s="8">
        <f t="shared" si="10"/>
        <v>0</v>
      </c>
      <c r="V36" s="10" t="str">
        <f t="shared" si="11"/>
        <v>OK</v>
      </c>
    </row>
    <row r="37" spans="1:22">
      <c r="A37" s="17" t="s">
        <v>109</v>
      </c>
      <c r="B37" s="5" t="s">
        <v>110</v>
      </c>
      <c r="C37" s="5" t="s">
        <v>111</v>
      </c>
      <c r="D37" s="5" t="s">
        <v>92</v>
      </c>
      <c r="E37" s="17" t="s">
        <v>21</v>
      </c>
      <c r="F37" s="6"/>
      <c r="G37" s="7"/>
      <c r="H37" s="7"/>
      <c r="I37" s="7"/>
      <c r="J37" s="7"/>
      <c r="K37" s="7"/>
      <c r="L37" s="7"/>
      <c r="M37" s="8">
        <f>48</f>
        <v>48</v>
      </c>
      <c r="N37" s="8">
        <f t="shared" si="6"/>
        <v>0</v>
      </c>
      <c r="O37" s="8">
        <f>IF(COUNTIF(PARAMETRES_REGIMES!$A$3:$A$100,$A37)&gt;0,MIN(M37,SUM(F37:L37)*24),MIN(M37,SUM(F37:K37)*24))</f>
        <v>0</v>
      </c>
      <c r="P37" s="9">
        <f>IF(COUNTIF(PARAMETRES_REGIMES!$A$3:$A$100,$A37)&gt;0,FLOOR(MAX(SUM(F37:L37)*24-M37,0),0.5),FLOOR(MAX(SUM(F37:K37)*24-M37,0),0.5))</f>
        <v>0</v>
      </c>
      <c r="Q37" s="9">
        <f>IF(COUNTIF(PARAMETRES_REGIMES!$A$3:$A$100,$A37)&gt;0,0,IF(ISNUMBER(L37),FLOOR(MAX(L37*24,0),0.5),0))</f>
        <v>0</v>
      </c>
      <c r="R37" s="8">
        <f t="shared" si="7"/>
        <v>0</v>
      </c>
      <c r="S37" s="8">
        <f t="shared" si="8"/>
        <v>0</v>
      </c>
      <c r="T37" s="8">
        <f t="shared" si="9"/>
        <v>0</v>
      </c>
      <c r="U37" s="8">
        <f t="shared" si="10"/>
        <v>0</v>
      </c>
      <c r="V37" s="10" t="str">
        <f t="shared" si="11"/>
        <v>OK</v>
      </c>
    </row>
    <row r="38" spans="1:22">
      <c r="A38" s="17">
        <v>223</v>
      </c>
      <c r="B38" s="5" t="s">
        <v>112</v>
      </c>
      <c r="C38" s="5" t="s">
        <v>113</v>
      </c>
      <c r="D38" s="5" t="s">
        <v>92</v>
      </c>
      <c r="E38" s="17" t="s">
        <v>21</v>
      </c>
      <c r="F38" s="6"/>
      <c r="G38" s="7"/>
      <c r="H38" s="7"/>
      <c r="I38" s="7"/>
      <c r="J38" s="7"/>
      <c r="K38" s="7"/>
      <c r="L38" s="7"/>
      <c r="M38" s="8">
        <f>48</f>
        <v>48</v>
      </c>
      <c r="N38" s="8">
        <f t="shared" si="6"/>
        <v>0</v>
      </c>
      <c r="O38" s="8">
        <f>IF(COUNTIF(PARAMETRES_REGIMES!$A$3:$A$100,$A38)&gt;0,MIN(M38,SUM(F38:L38)*24),MIN(M38,SUM(F38:K38)*24))</f>
        <v>0</v>
      </c>
      <c r="P38" s="9">
        <f>IF(COUNTIF(PARAMETRES_REGIMES!$A$3:$A$100,$A38)&gt;0,FLOOR(MAX(SUM(F38:L38)*24-M38,0),0.5),FLOOR(MAX(SUM(F38:K38)*24-M38,0),0.5))</f>
        <v>0</v>
      </c>
      <c r="Q38" s="9">
        <f>IF(COUNTIF(PARAMETRES_REGIMES!$A$3:$A$100,$A38)&gt;0,0,IF(ISNUMBER(L38),FLOOR(MAX(L38*24,0),0.5),0))</f>
        <v>0</v>
      </c>
      <c r="R38" s="8">
        <f t="shared" si="7"/>
        <v>0</v>
      </c>
      <c r="S38" s="8">
        <f t="shared" si="8"/>
        <v>0</v>
      </c>
      <c r="T38" s="8">
        <f t="shared" si="9"/>
        <v>0</v>
      </c>
      <c r="U38" s="8">
        <f t="shared" si="10"/>
        <v>0</v>
      </c>
      <c r="V38" s="10" t="str">
        <f t="shared" si="11"/>
        <v>OK</v>
      </c>
    </row>
    <row r="39" spans="1:22">
      <c r="A39" s="17" t="s">
        <v>114</v>
      </c>
      <c r="B39" s="5" t="s">
        <v>115</v>
      </c>
      <c r="C39" s="5" t="s">
        <v>116</v>
      </c>
      <c r="D39" s="5" t="s">
        <v>92</v>
      </c>
      <c r="E39" s="17" t="s">
        <v>21</v>
      </c>
      <c r="F39" s="6"/>
      <c r="G39" s="7"/>
      <c r="H39" s="7"/>
      <c r="I39" s="7"/>
      <c r="J39" s="7"/>
      <c r="K39" s="7"/>
      <c r="L39" s="7"/>
      <c r="M39" s="8">
        <f>48</f>
        <v>48</v>
      </c>
      <c r="N39" s="8">
        <f t="shared" si="6"/>
        <v>0</v>
      </c>
      <c r="O39" s="8">
        <f>IF(COUNTIF(PARAMETRES_REGIMES!$A$3:$A$100,$A39)&gt;0,MIN(M39,SUM(F39:L39)*24),MIN(M39,SUM(F39:K39)*24))</f>
        <v>0</v>
      </c>
      <c r="P39" s="9">
        <f>IF(COUNTIF(PARAMETRES_REGIMES!$A$3:$A$100,$A39)&gt;0,FLOOR(MAX(SUM(F39:L39)*24-M39,0),0.5),FLOOR(MAX(SUM(F39:K39)*24-M39,0),0.5))</f>
        <v>0</v>
      </c>
      <c r="Q39" s="9">
        <f>IF(COUNTIF(PARAMETRES_REGIMES!$A$3:$A$100,$A39)&gt;0,0,IF(ISNUMBER(L39),FLOOR(MAX(L39*24,0),0.5),0))</f>
        <v>0</v>
      </c>
      <c r="R39" s="8">
        <f t="shared" si="7"/>
        <v>0</v>
      </c>
      <c r="S39" s="8">
        <f t="shared" si="8"/>
        <v>0</v>
      </c>
      <c r="T39" s="8">
        <f t="shared" si="9"/>
        <v>0</v>
      </c>
      <c r="U39" s="8">
        <f t="shared" si="10"/>
        <v>0</v>
      </c>
      <c r="V39" s="10" t="str">
        <f t="shared" si="11"/>
        <v>OK</v>
      </c>
    </row>
    <row r="40" spans="1:22">
      <c r="A40" s="17" t="s">
        <v>117</v>
      </c>
      <c r="B40" s="5" t="s">
        <v>118</v>
      </c>
      <c r="C40" s="5" t="s">
        <v>119</v>
      </c>
      <c r="D40" s="5" t="s">
        <v>92</v>
      </c>
      <c r="E40" s="17" t="s">
        <v>21</v>
      </c>
      <c r="F40" s="6"/>
      <c r="G40" s="7"/>
      <c r="H40" s="7"/>
      <c r="I40" s="7"/>
      <c r="J40" s="7"/>
      <c r="K40" s="7"/>
      <c r="L40" s="7"/>
      <c r="M40" s="8">
        <f>48</f>
        <v>48</v>
      </c>
      <c r="N40" s="8">
        <f t="shared" si="6"/>
        <v>0</v>
      </c>
      <c r="O40" s="8">
        <f>IF(COUNTIF(PARAMETRES_REGIMES!$A$3:$A$100,$A40)&gt;0,MIN(M40,SUM(F40:L40)*24),MIN(M40,SUM(F40:K40)*24))</f>
        <v>0</v>
      </c>
      <c r="P40" s="9">
        <f>IF(COUNTIF(PARAMETRES_REGIMES!$A$3:$A$100,$A40)&gt;0,FLOOR(MAX(SUM(F40:L40)*24-M40,0),0.5),FLOOR(MAX(SUM(F40:K40)*24-M40,0),0.5))</f>
        <v>0</v>
      </c>
      <c r="Q40" s="9">
        <f>IF(COUNTIF(PARAMETRES_REGIMES!$A$3:$A$100,$A40)&gt;0,0,IF(ISNUMBER(L40),FLOOR(MAX(L40*24,0),0.5),0))</f>
        <v>0</v>
      </c>
      <c r="R40" s="8">
        <f t="shared" si="7"/>
        <v>0</v>
      </c>
      <c r="S40" s="8">
        <f t="shared" si="8"/>
        <v>0</v>
      </c>
      <c r="T40" s="8">
        <f t="shared" si="9"/>
        <v>0</v>
      </c>
      <c r="U40" s="8">
        <f t="shared" si="10"/>
        <v>0</v>
      </c>
      <c r="V40" s="10" t="str">
        <f t="shared" si="11"/>
        <v>OK</v>
      </c>
    </row>
    <row r="41" spans="1:22">
      <c r="A41" s="17" t="s">
        <v>120</v>
      </c>
      <c r="B41" s="5" t="s">
        <v>121</v>
      </c>
      <c r="C41" s="5" t="s">
        <v>122</v>
      </c>
      <c r="D41" s="5" t="s">
        <v>31</v>
      </c>
      <c r="E41" s="17" t="s">
        <v>123</v>
      </c>
      <c r="F41" s="6"/>
      <c r="G41" s="7"/>
      <c r="H41" s="7"/>
      <c r="I41" s="7"/>
      <c r="J41" s="7"/>
      <c r="K41" s="7"/>
      <c r="L41" s="7"/>
      <c r="M41" s="8">
        <f>48</f>
        <v>48</v>
      </c>
      <c r="N41" s="8">
        <f t="shared" si="6"/>
        <v>0</v>
      </c>
      <c r="O41" s="8">
        <f>IF(COUNTIF(PARAMETRES_REGIMES!$A$3:$A$100,$A41)&gt;0,MIN(M41,SUM(F41:L41)*24),MIN(M41,SUM(F41:K41)*24))</f>
        <v>0</v>
      </c>
      <c r="P41" s="9">
        <f>IF(COUNTIF(PARAMETRES_REGIMES!$A$3:$A$100,$A41)&gt;0,FLOOR(MAX(SUM(F41:L41)*24-M41,0),0.5),FLOOR(MAX(SUM(F41:K41)*24-M41,0),0.5))</f>
        <v>0</v>
      </c>
      <c r="Q41" s="9">
        <f>IF(COUNTIF(PARAMETRES_REGIMES!$A$3:$A$100,$A41)&gt;0,0,IF(ISNUMBER(L41),FLOOR(MAX(L41*24,0),0.5),0))</f>
        <v>0</v>
      </c>
      <c r="R41" s="8">
        <f t="shared" si="7"/>
        <v>0</v>
      </c>
      <c r="S41" s="8">
        <f t="shared" si="8"/>
        <v>0</v>
      </c>
      <c r="T41" s="8">
        <f t="shared" si="9"/>
        <v>0</v>
      </c>
      <c r="U41" s="8">
        <f t="shared" si="10"/>
        <v>0</v>
      </c>
      <c r="V41" s="10" t="str">
        <f t="shared" si="11"/>
        <v>OK</v>
      </c>
    </row>
    <row r="42" spans="1:22">
      <c r="A42" s="17" t="s">
        <v>124</v>
      </c>
      <c r="B42" s="5" t="s">
        <v>68</v>
      </c>
      <c r="C42" s="5" t="s">
        <v>125</v>
      </c>
      <c r="D42" s="5" t="s">
        <v>31</v>
      </c>
      <c r="E42" s="17" t="s">
        <v>123</v>
      </c>
      <c r="F42" s="6"/>
      <c r="G42" s="7"/>
      <c r="H42" s="7"/>
      <c r="I42" s="7"/>
      <c r="J42" s="7"/>
      <c r="K42" s="7"/>
      <c r="L42" s="7"/>
      <c r="M42" s="8">
        <f>48</f>
        <v>48</v>
      </c>
      <c r="N42" s="8">
        <f t="shared" si="6"/>
        <v>0</v>
      </c>
      <c r="O42" s="8">
        <f>IF(COUNTIF(PARAMETRES_REGIMES!$A$3:$A$100,$A42)&gt;0,MIN(M42,SUM(F42:L42)*24),MIN(M42,SUM(F42:K42)*24))</f>
        <v>0</v>
      </c>
      <c r="P42" s="9">
        <f>IF(COUNTIF(PARAMETRES_REGIMES!$A$3:$A$100,$A42)&gt;0,FLOOR(MAX(SUM(F42:L42)*24-M42,0),0.5),FLOOR(MAX(SUM(F42:K42)*24-M42,0),0.5))</f>
        <v>0</v>
      </c>
      <c r="Q42" s="9">
        <f>IF(COUNTIF(PARAMETRES_REGIMES!$A$3:$A$100,$A42)&gt;0,0,IF(ISNUMBER(L42),FLOOR(MAX(L42*24,0),0.5),0))</f>
        <v>0</v>
      </c>
      <c r="R42" s="8">
        <f t="shared" si="7"/>
        <v>0</v>
      </c>
      <c r="S42" s="8">
        <f t="shared" si="8"/>
        <v>0</v>
      </c>
      <c r="T42" s="8">
        <f t="shared" si="9"/>
        <v>0</v>
      </c>
      <c r="U42" s="8">
        <f t="shared" si="10"/>
        <v>0</v>
      </c>
      <c r="V42" s="10" t="str">
        <f t="shared" si="11"/>
        <v>OK</v>
      </c>
    </row>
    <row r="43" spans="1:22">
      <c r="A43" s="17" t="s">
        <v>126</v>
      </c>
      <c r="B43" s="5" t="s">
        <v>127</v>
      </c>
      <c r="C43" s="5" t="s">
        <v>128</v>
      </c>
      <c r="D43" s="5" t="s">
        <v>31</v>
      </c>
      <c r="E43" s="17" t="s">
        <v>123</v>
      </c>
      <c r="F43" s="6"/>
      <c r="G43" s="7"/>
      <c r="H43" s="7"/>
      <c r="I43" s="7"/>
      <c r="J43" s="7"/>
      <c r="K43" s="7"/>
      <c r="L43" s="7"/>
      <c r="M43" s="8">
        <f>48</f>
        <v>48</v>
      </c>
      <c r="N43" s="8">
        <f t="shared" si="6"/>
        <v>0</v>
      </c>
      <c r="O43" s="8">
        <f>IF(COUNTIF(PARAMETRES_REGIMES!$A$3:$A$100,$A43)&gt;0,MIN(M43,SUM(F43:L43)*24),MIN(M43,SUM(F43:K43)*24))</f>
        <v>0</v>
      </c>
      <c r="P43" s="9">
        <f>IF(COUNTIF(PARAMETRES_REGIMES!$A$3:$A$100,$A43)&gt;0,FLOOR(MAX(SUM(F43:L43)*24-M43,0),0.5),FLOOR(MAX(SUM(F43:K43)*24-M43,0),0.5))</f>
        <v>0</v>
      </c>
      <c r="Q43" s="9">
        <f>IF(COUNTIF(PARAMETRES_REGIMES!$A$3:$A$100,$A43)&gt;0,0,IF(ISNUMBER(L43),FLOOR(MAX(L43*24,0),0.5),0))</f>
        <v>0</v>
      </c>
      <c r="R43" s="8">
        <f t="shared" si="7"/>
        <v>0</v>
      </c>
      <c r="S43" s="8">
        <f t="shared" si="8"/>
        <v>0</v>
      </c>
      <c r="T43" s="8">
        <f t="shared" si="9"/>
        <v>0</v>
      </c>
      <c r="U43" s="8">
        <f t="shared" si="10"/>
        <v>0</v>
      </c>
      <c r="V43" s="10" t="str">
        <f t="shared" si="11"/>
        <v>OK</v>
      </c>
    </row>
    <row r="44" spans="1:22">
      <c r="A44" s="17">
        <v>53</v>
      </c>
      <c r="B44" s="5" t="s">
        <v>129</v>
      </c>
      <c r="C44" s="5" t="s">
        <v>130</v>
      </c>
      <c r="D44" s="5" t="s">
        <v>31</v>
      </c>
      <c r="E44" s="17" t="s">
        <v>123</v>
      </c>
      <c r="F44" s="6"/>
      <c r="G44" s="7"/>
      <c r="H44" s="7"/>
      <c r="I44" s="7"/>
      <c r="J44" s="7"/>
      <c r="K44" s="7"/>
      <c r="L44" s="7"/>
      <c r="M44" s="8">
        <f>48</f>
        <v>48</v>
      </c>
      <c r="N44" s="8">
        <f t="shared" si="6"/>
        <v>0</v>
      </c>
      <c r="O44" s="8">
        <f>IF(COUNTIF(PARAMETRES_REGIMES!$A$3:$A$100,$A44)&gt;0,MIN(M44,SUM(F44:L44)*24),MIN(M44,SUM(F44:K44)*24))</f>
        <v>0</v>
      </c>
      <c r="P44" s="9">
        <f>IF(COUNTIF(PARAMETRES_REGIMES!$A$3:$A$100,$A44)&gt;0,FLOOR(MAX(SUM(F44:L44)*24-M44,0),0.5),FLOOR(MAX(SUM(F44:K44)*24-M44,0),0.5))</f>
        <v>0</v>
      </c>
      <c r="Q44" s="9">
        <f>IF(COUNTIF(PARAMETRES_REGIMES!$A$3:$A$100,$A44)&gt;0,0,IF(ISNUMBER(L44),FLOOR(MAX(L44*24,0),0.5),0))</f>
        <v>0</v>
      </c>
      <c r="R44" s="8">
        <f t="shared" si="7"/>
        <v>0</v>
      </c>
      <c r="S44" s="8">
        <f t="shared" si="8"/>
        <v>0</v>
      </c>
      <c r="T44" s="8">
        <f t="shared" si="9"/>
        <v>0</v>
      </c>
      <c r="U44" s="8">
        <f t="shared" si="10"/>
        <v>0</v>
      </c>
      <c r="V44" s="10" t="str">
        <f t="shared" si="11"/>
        <v>OK</v>
      </c>
    </row>
    <row r="45" spans="1:22">
      <c r="A45" s="17" t="s">
        <v>131</v>
      </c>
      <c r="B45" s="5" t="s">
        <v>132</v>
      </c>
      <c r="C45" s="5" t="s">
        <v>133</v>
      </c>
      <c r="D45" s="5" t="s">
        <v>31</v>
      </c>
      <c r="E45" s="17" t="s">
        <v>123</v>
      </c>
      <c r="F45" s="6"/>
      <c r="G45" s="7"/>
      <c r="H45" s="7"/>
      <c r="I45" s="7"/>
      <c r="J45" s="7"/>
      <c r="K45" s="7"/>
      <c r="L45" s="7"/>
      <c r="M45" s="8">
        <f>48</f>
        <v>48</v>
      </c>
      <c r="N45" s="8">
        <f t="shared" si="6"/>
        <v>0</v>
      </c>
      <c r="O45" s="8">
        <f>IF(COUNTIF(PARAMETRES_REGIMES!$A$3:$A$100,$A45)&gt;0,MIN(M45,SUM(F45:L45)*24),MIN(M45,SUM(F45:K45)*24))</f>
        <v>0</v>
      </c>
      <c r="P45" s="9">
        <f>IF(COUNTIF(PARAMETRES_REGIMES!$A$3:$A$100,$A45)&gt;0,FLOOR(MAX(SUM(F45:L45)*24-M45,0),0.5),FLOOR(MAX(SUM(F45:K45)*24-M45,0),0.5))</f>
        <v>0</v>
      </c>
      <c r="Q45" s="9">
        <f>IF(COUNTIF(PARAMETRES_REGIMES!$A$3:$A$100,$A45)&gt;0,0,IF(ISNUMBER(L45),FLOOR(MAX(L45*24,0),0.5),0))</f>
        <v>0</v>
      </c>
      <c r="R45" s="8">
        <f t="shared" si="7"/>
        <v>0</v>
      </c>
      <c r="S45" s="8">
        <f t="shared" si="8"/>
        <v>0</v>
      </c>
      <c r="T45" s="8">
        <f t="shared" si="9"/>
        <v>0</v>
      </c>
      <c r="U45" s="8">
        <f t="shared" si="10"/>
        <v>0</v>
      </c>
      <c r="V45" s="10" t="str">
        <f t="shared" si="11"/>
        <v>OK</v>
      </c>
    </row>
    <row r="46" spans="1:22">
      <c r="A46" s="17" t="s">
        <v>134</v>
      </c>
      <c r="B46" s="5" t="s">
        <v>135</v>
      </c>
      <c r="C46" s="5" t="s">
        <v>136</v>
      </c>
      <c r="D46" s="5" t="s">
        <v>31</v>
      </c>
      <c r="E46" s="17" t="s">
        <v>123</v>
      </c>
      <c r="F46" s="6"/>
      <c r="G46" s="7"/>
      <c r="H46" s="7"/>
      <c r="I46" s="7"/>
      <c r="J46" s="7"/>
      <c r="K46" s="7"/>
      <c r="L46" s="7"/>
      <c r="M46" s="8">
        <f>48</f>
        <v>48</v>
      </c>
      <c r="N46" s="8">
        <f t="shared" si="6"/>
        <v>0</v>
      </c>
      <c r="O46" s="8">
        <f>IF(COUNTIF(PARAMETRES_REGIMES!$A$3:$A$100,$A46)&gt;0,MIN(M46,SUM(F46:L46)*24),MIN(M46,SUM(F46:K46)*24))</f>
        <v>0</v>
      </c>
      <c r="P46" s="9">
        <f>IF(COUNTIF(PARAMETRES_REGIMES!$A$3:$A$100,$A46)&gt;0,FLOOR(MAX(SUM(F46:L46)*24-M46,0),0.5),FLOOR(MAX(SUM(F46:K46)*24-M46,0),0.5))</f>
        <v>0</v>
      </c>
      <c r="Q46" s="9">
        <f>IF(COUNTIF(PARAMETRES_REGIMES!$A$3:$A$100,$A46)&gt;0,0,IF(ISNUMBER(L46),FLOOR(MAX(L46*24,0),0.5),0))</f>
        <v>0</v>
      </c>
      <c r="R46" s="8">
        <f t="shared" si="7"/>
        <v>0</v>
      </c>
      <c r="S46" s="8">
        <f t="shared" si="8"/>
        <v>0</v>
      </c>
      <c r="T46" s="8">
        <f t="shared" si="9"/>
        <v>0</v>
      </c>
      <c r="U46" s="8">
        <f t="shared" si="10"/>
        <v>0</v>
      </c>
      <c r="V46" s="10" t="str">
        <f t="shared" si="11"/>
        <v>OK</v>
      </c>
    </row>
    <row r="47" spans="1:22">
      <c r="A47" s="17" t="s">
        <v>137</v>
      </c>
      <c r="B47" s="5" t="s">
        <v>138</v>
      </c>
      <c r="C47" s="5" t="s">
        <v>139</v>
      </c>
      <c r="D47" s="5" t="s">
        <v>31</v>
      </c>
      <c r="E47" s="17" t="s">
        <v>123</v>
      </c>
      <c r="F47" s="6"/>
      <c r="G47" s="7"/>
      <c r="H47" s="7"/>
      <c r="I47" s="7"/>
      <c r="J47" s="7"/>
      <c r="K47" s="7"/>
      <c r="L47" s="7"/>
      <c r="M47" s="8">
        <f>48</f>
        <v>48</v>
      </c>
      <c r="N47" s="8">
        <f t="shared" si="6"/>
        <v>0</v>
      </c>
      <c r="O47" s="8">
        <f>IF(COUNTIF(PARAMETRES_REGIMES!$A$3:$A$100,$A47)&gt;0,MIN(M47,SUM(F47:L47)*24),MIN(M47,SUM(F47:K47)*24))</f>
        <v>0</v>
      </c>
      <c r="P47" s="9">
        <f>IF(COUNTIF(PARAMETRES_REGIMES!$A$3:$A$100,$A47)&gt;0,FLOOR(MAX(SUM(F47:L47)*24-M47,0),0.5),FLOOR(MAX(SUM(F47:K47)*24-M47,0),0.5))</f>
        <v>0</v>
      </c>
      <c r="Q47" s="9">
        <f>IF(COUNTIF(PARAMETRES_REGIMES!$A$3:$A$100,$A47)&gt;0,0,IF(ISNUMBER(L47),FLOOR(MAX(L47*24,0),0.5),0))</f>
        <v>0</v>
      </c>
      <c r="R47" s="8">
        <f t="shared" si="7"/>
        <v>0</v>
      </c>
      <c r="S47" s="8">
        <f t="shared" si="8"/>
        <v>0</v>
      </c>
      <c r="T47" s="8">
        <f t="shared" si="9"/>
        <v>0</v>
      </c>
      <c r="U47" s="8">
        <f t="shared" si="10"/>
        <v>0</v>
      </c>
      <c r="V47" s="10" t="str">
        <f t="shared" si="11"/>
        <v>OK</v>
      </c>
    </row>
    <row r="48" spans="1:22">
      <c r="A48" s="17" t="s">
        <v>140</v>
      </c>
      <c r="B48" s="5" t="s">
        <v>141</v>
      </c>
      <c r="C48" s="5" t="s">
        <v>142</v>
      </c>
      <c r="D48" s="5" t="s">
        <v>31</v>
      </c>
      <c r="E48" s="17" t="s">
        <v>123</v>
      </c>
      <c r="F48" s="6"/>
      <c r="G48" s="7"/>
      <c r="H48" s="7"/>
      <c r="I48" s="7"/>
      <c r="J48" s="7"/>
      <c r="K48" s="7"/>
      <c r="L48" s="7"/>
      <c r="M48" s="8">
        <f>48</f>
        <v>48</v>
      </c>
      <c r="N48" s="8">
        <f t="shared" si="6"/>
        <v>0</v>
      </c>
      <c r="O48" s="8">
        <f>IF(COUNTIF(PARAMETRES_REGIMES!$A$3:$A$100,$A48)&gt;0,MIN(M48,SUM(F48:L48)*24),MIN(M48,SUM(F48:K48)*24))</f>
        <v>0</v>
      </c>
      <c r="P48" s="9">
        <f>IF(COUNTIF(PARAMETRES_REGIMES!$A$3:$A$100,$A48)&gt;0,FLOOR(MAX(SUM(F48:L48)*24-M48,0),0.5),FLOOR(MAX(SUM(F48:K48)*24-M48,0),0.5))</f>
        <v>0</v>
      </c>
      <c r="Q48" s="9">
        <f>IF(COUNTIF(PARAMETRES_REGIMES!$A$3:$A$100,$A48)&gt;0,0,IF(ISNUMBER(L48),FLOOR(MAX(L48*24,0),0.5),0))</f>
        <v>0</v>
      </c>
      <c r="R48" s="8">
        <f t="shared" si="7"/>
        <v>0</v>
      </c>
      <c r="S48" s="8">
        <f t="shared" si="8"/>
        <v>0</v>
      </c>
      <c r="T48" s="8">
        <f t="shared" si="9"/>
        <v>0</v>
      </c>
      <c r="U48" s="8">
        <f t="shared" si="10"/>
        <v>0</v>
      </c>
      <c r="V48" s="10" t="str">
        <f t="shared" si="11"/>
        <v>OK</v>
      </c>
    </row>
    <row r="49" spans="1:22">
      <c r="A49" s="17" t="s">
        <v>143</v>
      </c>
      <c r="B49" s="5" t="s">
        <v>144</v>
      </c>
      <c r="C49" s="5" t="s">
        <v>145</v>
      </c>
      <c r="D49" s="5" t="s">
        <v>31</v>
      </c>
      <c r="E49" s="17" t="s">
        <v>123</v>
      </c>
      <c r="F49" s="6"/>
      <c r="G49" s="7"/>
      <c r="H49" s="7"/>
      <c r="I49" s="7"/>
      <c r="J49" s="7"/>
      <c r="K49" s="7"/>
      <c r="L49" s="7"/>
      <c r="M49" s="8">
        <f>48</f>
        <v>48</v>
      </c>
      <c r="N49" s="8">
        <f t="shared" si="6"/>
        <v>0</v>
      </c>
      <c r="O49" s="8">
        <f>IF(COUNTIF(PARAMETRES_REGIMES!$A$3:$A$100,$A49)&gt;0,MIN(M49,SUM(F49:L49)*24),MIN(M49,SUM(F49:K49)*24))</f>
        <v>0</v>
      </c>
      <c r="P49" s="9">
        <f>IF(COUNTIF(PARAMETRES_REGIMES!$A$3:$A$100,$A49)&gt;0,FLOOR(MAX(SUM(F49:L49)*24-M49,0),0.5),FLOOR(MAX(SUM(F49:K49)*24-M49,0),0.5))</f>
        <v>0</v>
      </c>
      <c r="Q49" s="9">
        <f>IF(COUNTIF(PARAMETRES_REGIMES!$A$3:$A$100,$A49)&gt;0,0,IF(ISNUMBER(L49),FLOOR(MAX(L49*24,0),0.5),0))</f>
        <v>0</v>
      </c>
      <c r="R49" s="8">
        <f t="shared" si="7"/>
        <v>0</v>
      </c>
      <c r="S49" s="8">
        <f t="shared" si="8"/>
        <v>0</v>
      </c>
      <c r="T49" s="8">
        <f t="shared" si="9"/>
        <v>0</v>
      </c>
      <c r="U49" s="8">
        <f t="shared" si="10"/>
        <v>0</v>
      </c>
      <c r="V49" s="10" t="str">
        <f t="shared" si="11"/>
        <v>OK</v>
      </c>
    </row>
    <row r="50" spans="1:22">
      <c r="A50" s="17" t="s">
        <v>146</v>
      </c>
      <c r="B50" s="5" t="s">
        <v>147</v>
      </c>
      <c r="C50" s="5" t="s">
        <v>148</v>
      </c>
      <c r="D50" s="5" t="s">
        <v>31</v>
      </c>
      <c r="E50" s="17" t="s">
        <v>123</v>
      </c>
      <c r="F50" s="6"/>
      <c r="G50" s="7"/>
      <c r="H50" s="7"/>
      <c r="I50" s="7"/>
      <c r="J50" s="7"/>
      <c r="K50" s="7"/>
      <c r="L50" s="7"/>
      <c r="M50" s="8">
        <f>48</f>
        <v>48</v>
      </c>
      <c r="N50" s="8">
        <f t="shared" si="6"/>
        <v>0</v>
      </c>
      <c r="O50" s="8">
        <f>IF(COUNTIF(PARAMETRES_REGIMES!$A$3:$A$100,$A50)&gt;0,MIN(M50,SUM(F50:L50)*24),MIN(M50,SUM(F50:K50)*24))</f>
        <v>0</v>
      </c>
      <c r="P50" s="9">
        <f>IF(COUNTIF(PARAMETRES_REGIMES!$A$3:$A$100,$A50)&gt;0,FLOOR(MAX(SUM(F50:L50)*24-M50,0),0.5),FLOOR(MAX(SUM(F50:K50)*24-M50,0),0.5))</f>
        <v>0</v>
      </c>
      <c r="Q50" s="9">
        <f>IF(COUNTIF(PARAMETRES_REGIMES!$A$3:$A$100,$A50)&gt;0,0,IF(ISNUMBER(L50),FLOOR(MAX(L50*24,0),0.5),0))</f>
        <v>0</v>
      </c>
      <c r="R50" s="8">
        <f t="shared" si="7"/>
        <v>0</v>
      </c>
      <c r="S50" s="8">
        <f t="shared" si="8"/>
        <v>0</v>
      </c>
      <c r="T50" s="8">
        <f t="shared" si="9"/>
        <v>0</v>
      </c>
      <c r="U50" s="8">
        <f t="shared" si="10"/>
        <v>0</v>
      </c>
      <c r="V50" s="10" t="str">
        <f t="shared" si="11"/>
        <v>OK</v>
      </c>
    </row>
    <row r="51" spans="1:22">
      <c r="A51" s="17" t="s">
        <v>149</v>
      </c>
      <c r="B51" s="5" t="s">
        <v>150</v>
      </c>
      <c r="C51" s="5" t="s">
        <v>151</v>
      </c>
      <c r="D51" s="5" t="s">
        <v>31</v>
      </c>
      <c r="E51" s="17" t="s">
        <v>123</v>
      </c>
      <c r="F51" s="6"/>
      <c r="G51" s="7"/>
      <c r="H51" s="7"/>
      <c r="I51" s="7"/>
      <c r="J51" s="7"/>
      <c r="K51" s="7"/>
      <c r="L51" s="7"/>
      <c r="M51" s="8">
        <f>48</f>
        <v>48</v>
      </c>
      <c r="N51" s="8">
        <f t="shared" si="6"/>
        <v>0</v>
      </c>
      <c r="O51" s="8">
        <f>IF(COUNTIF(PARAMETRES_REGIMES!$A$3:$A$100,$A51)&gt;0,MIN(M51,SUM(F51:L51)*24),MIN(M51,SUM(F51:K51)*24))</f>
        <v>0</v>
      </c>
      <c r="P51" s="9">
        <f>IF(COUNTIF(PARAMETRES_REGIMES!$A$3:$A$100,$A51)&gt;0,FLOOR(MAX(SUM(F51:L51)*24-M51,0),0.5),FLOOR(MAX(SUM(F51:K51)*24-M51,0),0.5))</f>
        <v>0</v>
      </c>
      <c r="Q51" s="9">
        <f>IF(COUNTIF(PARAMETRES_REGIMES!$A$3:$A$100,$A51)&gt;0,0,IF(ISNUMBER(L51),FLOOR(MAX(L51*24,0),0.5),0))</f>
        <v>0</v>
      </c>
      <c r="R51" s="8">
        <f t="shared" si="7"/>
        <v>0</v>
      </c>
      <c r="S51" s="8">
        <f t="shared" si="8"/>
        <v>0</v>
      </c>
      <c r="T51" s="8">
        <f t="shared" si="9"/>
        <v>0</v>
      </c>
      <c r="U51" s="8">
        <f t="shared" si="10"/>
        <v>0</v>
      </c>
      <c r="V51" s="10" t="str">
        <f t="shared" si="11"/>
        <v>OK</v>
      </c>
    </row>
    <row r="52" spans="1:22">
      <c r="A52" s="17" t="s">
        <v>114</v>
      </c>
      <c r="B52" s="5" t="s">
        <v>150</v>
      </c>
      <c r="C52" s="5" t="s">
        <v>152</v>
      </c>
      <c r="D52" s="5" t="s">
        <v>31</v>
      </c>
      <c r="E52" s="17" t="s">
        <v>123</v>
      </c>
      <c r="F52" s="6"/>
      <c r="G52" s="7"/>
      <c r="H52" s="7"/>
      <c r="I52" s="7"/>
      <c r="J52" s="7"/>
      <c r="K52" s="7"/>
      <c r="L52" s="7"/>
      <c r="M52" s="8">
        <f>48</f>
        <v>48</v>
      </c>
      <c r="N52" s="8">
        <f t="shared" si="6"/>
        <v>0</v>
      </c>
      <c r="O52" s="8">
        <f>IF(COUNTIF(PARAMETRES_REGIMES!$A$3:$A$100,$A52)&gt;0,MIN(M52,SUM(F52:L52)*24),MIN(M52,SUM(F52:K52)*24))</f>
        <v>0</v>
      </c>
      <c r="P52" s="9">
        <f>IF(COUNTIF(PARAMETRES_REGIMES!$A$3:$A$100,$A52)&gt;0,FLOOR(MAX(SUM(F52:L52)*24-M52,0),0.5),FLOOR(MAX(SUM(F52:K52)*24-M52,0),0.5))</f>
        <v>0</v>
      </c>
      <c r="Q52" s="9">
        <f>IF(COUNTIF(PARAMETRES_REGIMES!$A$3:$A$100,$A52)&gt;0,0,IF(ISNUMBER(L52),FLOOR(MAX(L52*24,0),0.5),0))</f>
        <v>0</v>
      </c>
      <c r="R52" s="8">
        <f t="shared" si="7"/>
        <v>0</v>
      </c>
      <c r="S52" s="8">
        <f t="shared" si="8"/>
        <v>0</v>
      </c>
      <c r="T52" s="8">
        <f t="shared" si="9"/>
        <v>0</v>
      </c>
      <c r="U52" s="8">
        <f t="shared" si="10"/>
        <v>0</v>
      </c>
      <c r="V52" s="10" t="str">
        <f t="shared" si="11"/>
        <v>OK</v>
      </c>
    </row>
    <row r="53" spans="1:22">
      <c r="A53" s="17">
        <v>177</v>
      </c>
      <c r="B53" s="5" t="s">
        <v>153</v>
      </c>
      <c r="C53" s="5" t="s">
        <v>154</v>
      </c>
      <c r="D53" s="5" t="s">
        <v>31</v>
      </c>
      <c r="E53" s="17" t="s">
        <v>123</v>
      </c>
      <c r="F53" s="6"/>
      <c r="G53" s="7"/>
      <c r="H53" s="7"/>
      <c r="I53" s="7"/>
      <c r="J53" s="7"/>
      <c r="K53" s="7"/>
      <c r="L53" s="7"/>
      <c r="M53" s="8">
        <f>48</f>
        <v>48</v>
      </c>
      <c r="N53" s="8">
        <f t="shared" si="6"/>
        <v>0</v>
      </c>
      <c r="O53" s="8">
        <f>IF(COUNTIF(PARAMETRES_REGIMES!$A$3:$A$100,$A53)&gt;0,MIN(M53,SUM(F53:L53)*24),MIN(M53,SUM(F53:K53)*24))</f>
        <v>0</v>
      </c>
      <c r="P53" s="9">
        <f>IF(COUNTIF(PARAMETRES_REGIMES!$A$3:$A$100,$A53)&gt;0,FLOOR(MAX(SUM(F53:L53)*24-M53,0),0.5),FLOOR(MAX(SUM(F53:K53)*24-M53,0),0.5))</f>
        <v>0</v>
      </c>
      <c r="Q53" s="9">
        <f>IF(COUNTIF(PARAMETRES_REGIMES!$A$3:$A$100,$A53)&gt;0,0,IF(ISNUMBER(L53),FLOOR(MAX(L53*24,0),0.5),0))</f>
        <v>0</v>
      </c>
      <c r="R53" s="8">
        <f t="shared" si="7"/>
        <v>0</v>
      </c>
      <c r="S53" s="8">
        <f t="shared" si="8"/>
        <v>0</v>
      </c>
      <c r="T53" s="8">
        <f t="shared" si="9"/>
        <v>0</v>
      </c>
      <c r="U53" s="8">
        <f t="shared" si="10"/>
        <v>0</v>
      </c>
      <c r="V53" s="10" t="str">
        <f t="shared" si="11"/>
        <v>OK</v>
      </c>
    </row>
    <row r="54" spans="1:22">
      <c r="A54" s="17" t="s">
        <v>155</v>
      </c>
      <c r="B54" s="5" t="s">
        <v>156</v>
      </c>
      <c r="C54" s="5" t="s">
        <v>154</v>
      </c>
      <c r="D54" s="5" t="s">
        <v>31</v>
      </c>
      <c r="E54" s="17" t="s">
        <v>123</v>
      </c>
      <c r="F54" s="6"/>
      <c r="G54" s="7"/>
      <c r="H54" s="7"/>
      <c r="I54" s="7"/>
      <c r="J54" s="7"/>
      <c r="K54" s="7"/>
      <c r="L54" s="7"/>
      <c r="M54" s="8">
        <f>48</f>
        <v>48</v>
      </c>
      <c r="N54" s="8">
        <f t="shared" si="6"/>
        <v>0</v>
      </c>
      <c r="O54" s="8">
        <f>IF(COUNTIF(PARAMETRES_REGIMES!$A$3:$A$100,$A54)&gt;0,MIN(M54,SUM(F54:L54)*24),MIN(M54,SUM(F54:K54)*24))</f>
        <v>0</v>
      </c>
      <c r="P54" s="9">
        <f>IF(COUNTIF(PARAMETRES_REGIMES!$A$3:$A$100,$A54)&gt;0,FLOOR(MAX(SUM(F54:L54)*24-M54,0),0.5),FLOOR(MAX(SUM(F54:K54)*24-M54,0),0.5))</f>
        <v>0</v>
      </c>
      <c r="Q54" s="9">
        <f>IF(COUNTIF(PARAMETRES_REGIMES!$A$3:$A$100,$A54)&gt;0,0,IF(ISNUMBER(L54),FLOOR(MAX(L54*24,0),0.5),0))</f>
        <v>0</v>
      </c>
      <c r="R54" s="8">
        <f t="shared" si="7"/>
        <v>0</v>
      </c>
      <c r="S54" s="8">
        <f t="shared" si="8"/>
        <v>0</v>
      </c>
      <c r="T54" s="8">
        <f t="shared" si="9"/>
        <v>0</v>
      </c>
      <c r="U54" s="8">
        <f t="shared" si="10"/>
        <v>0</v>
      </c>
      <c r="V54" s="10" t="str">
        <f t="shared" si="11"/>
        <v>OK</v>
      </c>
    </row>
    <row r="55" spans="1:22">
      <c r="A55" s="17" t="s">
        <v>157</v>
      </c>
      <c r="B55" s="5" t="s">
        <v>158</v>
      </c>
      <c r="C55" s="5" t="s">
        <v>159</v>
      </c>
      <c r="D55" s="5" t="s">
        <v>31</v>
      </c>
      <c r="E55" s="17" t="s">
        <v>123</v>
      </c>
      <c r="F55" s="6"/>
      <c r="G55" s="7"/>
      <c r="H55" s="7"/>
      <c r="I55" s="7"/>
      <c r="J55" s="7"/>
      <c r="K55" s="7"/>
      <c r="L55" s="7"/>
      <c r="M55" s="8">
        <f>48</f>
        <v>48</v>
      </c>
      <c r="N55" s="8">
        <f t="shared" si="6"/>
        <v>0</v>
      </c>
      <c r="O55" s="8">
        <f>IF(COUNTIF(PARAMETRES_REGIMES!$A$3:$A$100,$A55)&gt;0,MIN(M55,SUM(F55:L55)*24),MIN(M55,SUM(F55:K55)*24))</f>
        <v>0</v>
      </c>
      <c r="P55" s="9">
        <f>IF(COUNTIF(PARAMETRES_REGIMES!$A$3:$A$100,$A55)&gt;0,FLOOR(MAX(SUM(F55:L55)*24-M55,0),0.5),FLOOR(MAX(SUM(F55:K55)*24-M55,0),0.5))</f>
        <v>0</v>
      </c>
      <c r="Q55" s="9">
        <f>IF(COUNTIF(PARAMETRES_REGIMES!$A$3:$A$100,$A55)&gt;0,0,IF(ISNUMBER(L55),FLOOR(MAX(L55*24,0),0.5),0))</f>
        <v>0</v>
      </c>
      <c r="R55" s="8">
        <f t="shared" si="7"/>
        <v>0</v>
      </c>
      <c r="S55" s="8">
        <f t="shared" si="8"/>
        <v>0</v>
      </c>
      <c r="T55" s="8">
        <f t="shared" si="9"/>
        <v>0</v>
      </c>
      <c r="U55" s="8">
        <f t="shared" si="10"/>
        <v>0</v>
      </c>
      <c r="V55" s="10" t="str">
        <f t="shared" si="11"/>
        <v>OK</v>
      </c>
    </row>
    <row r="56" spans="1:22">
      <c r="A56" s="17">
        <v>163</v>
      </c>
      <c r="B56" s="5" t="s">
        <v>160</v>
      </c>
      <c r="C56" s="5" t="s">
        <v>161</v>
      </c>
      <c r="D56" s="5" t="s">
        <v>31</v>
      </c>
      <c r="E56" s="17" t="s">
        <v>123</v>
      </c>
      <c r="F56" s="6"/>
      <c r="G56" s="7"/>
      <c r="H56" s="7"/>
      <c r="I56" s="7"/>
      <c r="J56" s="7"/>
      <c r="K56" s="7"/>
      <c r="L56" s="7"/>
      <c r="M56" s="8">
        <f>48</f>
        <v>48</v>
      </c>
      <c r="N56" s="8">
        <f t="shared" si="6"/>
        <v>0</v>
      </c>
      <c r="O56" s="8">
        <f>IF(COUNTIF(PARAMETRES_REGIMES!$A$3:$A$100,$A56)&gt;0,MIN(M56,SUM(F56:L56)*24),MIN(M56,SUM(F56:K56)*24))</f>
        <v>0</v>
      </c>
      <c r="P56" s="9">
        <f>IF(COUNTIF(PARAMETRES_REGIMES!$A$3:$A$100,$A56)&gt;0,FLOOR(MAX(SUM(F56:L56)*24-M56,0),0.5),FLOOR(MAX(SUM(F56:K56)*24-M56,0),0.5))</f>
        <v>0</v>
      </c>
      <c r="Q56" s="9">
        <f>IF(COUNTIF(PARAMETRES_REGIMES!$A$3:$A$100,$A56)&gt;0,0,IF(ISNUMBER(L56),FLOOR(MAX(L56*24,0),0.5),0))</f>
        <v>0</v>
      </c>
      <c r="R56" s="8">
        <f t="shared" si="7"/>
        <v>0</v>
      </c>
      <c r="S56" s="8">
        <f t="shared" si="8"/>
        <v>0</v>
      </c>
      <c r="T56" s="8">
        <f t="shared" si="9"/>
        <v>0</v>
      </c>
      <c r="U56" s="8">
        <f t="shared" si="10"/>
        <v>0</v>
      </c>
      <c r="V56" s="10" t="str">
        <f t="shared" si="11"/>
        <v>OK</v>
      </c>
    </row>
    <row r="57" spans="1:22">
      <c r="A57" s="17">
        <v>240</v>
      </c>
      <c r="B57" s="5" t="s">
        <v>162</v>
      </c>
      <c r="C57" s="5" t="s">
        <v>163</v>
      </c>
      <c r="D57" s="5" t="s">
        <v>31</v>
      </c>
      <c r="E57" s="17" t="s">
        <v>123</v>
      </c>
      <c r="F57" s="6"/>
      <c r="G57" s="7"/>
      <c r="H57" s="7"/>
      <c r="I57" s="7"/>
      <c r="J57" s="7"/>
      <c r="K57" s="7"/>
      <c r="L57" s="7"/>
      <c r="M57" s="8">
        <f>48</f>
        <v>48</v>
      </c>
      <c r="N57" s="8">
        <f t="shared" si="6"/>
        <v>0</v>
      </c>
      <c r="O57" s="8">
        <f>IF(COUNTIF(PARAMETRES_REGIMES!$A$3:$A$100,$A57)&gt;0,MIN(M57,SUM(F57:L57)*24),MIN(M57,SUM(F57:K57)*24))</f>
        <v>0</v>
      </c>
      <c r="P57" s="9">
        <f>IF(COUNTIF(PARAMETRES_REGIMES!$A$3:$A$100,$A57)&gt;0,FLOOR(MAX(SUM(F57:L57)*24-M57,0),0.5),FLOOR(MAX(SUM(F57:K57)*24-M57,0),0.5))</f>
        <v>0</v>
      </c>
      <c r="Q57" s="9">
        <f>IF(COUNTIF(PARAMETRES_REGIMES!$A$3:$A$100,$A57)&gt;0,0,IF(ISNUMBER(L57),FLOOR(MAX(L57*24,0),0.5),0))</f>
        <v>0</v>
      </c>
      <c r="R57" s="8">
        <f t="shared" si="7"/>
        <v>0</v>
      </c>
      <c r="S57" s="8">
        <f t="shared" si="8"/>
        <v>0</v>
      </c>
      <c r="T57" s="8">
        <f t="shared" si="9"/>
        <v>0</v>
      </c>
      <c r="U57" s="8">
        <f t="shared" si="10"/>
        <v>0</v>
      </c>
      <c r="V57" s="10" t="str">
        <f t="shared" si="11"/>
        <v>OK</v>
      </c>
    </row>
    <row r="58" spans="1:22">
      <c r="A58" s="17" t="s">
        <v>164</v>
      </c>
      <c r="B58" s="5" t="s">
        <v>165</v>
      </c>
      <c r="C58" s="5" t="s">
        <v>166</v>
      </c>
      <c r="D58" s="5" t="s">
        <v>31</v>
      </c>
      <c r="E58" s="17" t="s">
        <v>123</v>
      </c>
      <c r="F58" s="6"/>
      <c r="G58" s="7"/>
      <c r="H58" s="7"/>
      <c r="I58" s="7"/>
      <c r="J58" s="7"/>
      <c r="K58" s="7"/>
      <c r="L58" s="7"/>
      <c r="M58" s="8">
        <f>48</f>
        <v>48</v>
      </c>
      <c r="N58" s="8">
        <f t="shared" si="6"/>
        <v>0</v>
      </c>
      <c r="O58" s="8">
        <f>IF(COUNTIF(PARAMETRES_REGIMES!$A$3:$A$100,$A58)&gt;0,MIN(M58,SUM(F58:L58)*24),MIN(M58,SUM(F58:K58)*24))</f>
        <v>0</v>
      </c>
      <c r="P58" s="9">
        <f>IF(COUNTIF(PARAMETRES_REGIMES!$A$3:$A$100,$A58)&gt;0,FLOOR(MAX(SUM(F58:L58)*24-M58,0),0.5),FLOOR(MAX(SUM(F58:K58)*24-M58,0),0.5))</f>
        <v>0</v>
      </c>
      <c r="Q58" s="9">
        <f>IF(COUNTIF(PARAMETRES_REGIMES!$A$3:$A$100,$A58)&gt;0,0,IF(ISNUMBER(L58),FLOOR(MAX(L58*24,0),0.5),0))</f>
        <v>0</v>
      </c>
      <c r="R58" s="8">
        <f t="shared" si="7"/>
        <v>0</v>
      </c>
      <c r="S58" s="8">
        <f t="shared" si="8"/>
        <v>0</v>
      </c>
      <c r="T58" s="8">
        <f t="shared" si="9"/>
        <v>0</v>
      </c>
      <c r="U58" s="8">
        <f t="shared" si="10"/>
        <v>0</v>
      </c>
      <c r="V58" s="10" t="str">
        <f t="shared" si="11"/>
        <v>OK</v>
      </c>
    </row>
    <row r="59" spans="1:22">
      <c r="A59" s="17" t="s">
        <v>167</v>
      </c>
      <c r="B59" s="5" t="s">
        <v>168</v>
      </c>
      <c r="C59" s="5" t="s">
        <v>169</v>
      </c>
      <c r="D59" s="5" t="s">
        <v>31</v>
      </c>
      <c r="E59" s="17" t="s">
        <v>123</v>
      </c>
      <c r="F59" s="6"/>
      <c r="G59" s="7"/>
      <c r="H59" s="7"/>
      <c r="I59" s="7"/>
      <c r="J59" s="7"/>
      <c r="K59" s="7"/>
      <c r="L59" s="7"/>
      <c r="M59" s="8">
        <f>48</f>
        <v>48</v>
      </c>
      <c r="N59" s="8">
        <f t="shared" si="6"/>
        <v>0</v>
      </c>
      <c r="O59" s="8">
        <f>IF(COUNTIF(PARAMETRES_REGIMES!$A$3:$A$100,$A59)&gt;0,MIN(M59,SUM(F59:L59)*24),MIN(M59,SUM(F59:K59)*24))</f>
        <v>0</v>
      </c>
      <c r="P59" s="9">
        <f>IF(COUNTIF(PARAMETRES_REGIMES!$A$3:$A$100,$A59)&gt;0,FLOOR(MAX(SUM(F59:L59)*24-M59,0),0.5),FLOOR(MAX(SUM(F59:K59)*24-M59,0),0.5))</f>
        <v>0</v>
      </c>
      <c r="Q59" s="9">
        <f>IF(COUNTIF(PARAMETRES_REGIMES!$A$3:$A$100,$A59)&gt;0,0,IF(ISNUMBER(L59),FLOOR(MAX(L59*24,0),0.5),0))</f>
        <v>0</v>
      </c>
      <c r="R59" s="8">
        <f t="shared" si="7"/>
        <v>0</v>
      </c>
      <c r="S59" s="8">
        <f t="shared" si="8"/>
        <v>0</v>
      </c>
      <c r="T59" s="8">
        <f t="shared" si="9"/>
        <v>0</v>
      </c>
      <c r="U59" s="8">
        <f t="shared" si="10"/>
        <v>0</v>
      </c>
      <c r="V59" s="10" t="str">
        <f t="shared" si="11"/>
        <v>OK</v>
      </c>
    </row>
    <row r="60" spans="1:22">
      <c r="A60" s="17">
        <v>192</v>
      </c>
      <c r="B60" s="5" t="s">
        <v>170</v>
      </c>
      <c r="C60" s="5" t="s">
        <v>171</v>
      </c>
      <c r="D60" s="5" t="s">
        <v>31</v>
      </c>
      <c r="E60" s="17" t="s">
        <v>123</v>
      </c>
      <c r="F60" s="6"/>
      <c r="G60" s="7"/>
      <c r="H60" s="7"/>
      <c r="I60" s="7"/>
      <c r="J60" s="7"/>
      <c r="K60" s="7"/>
      <c r="L60" s="7"/>
      <c r="M60" s="8">
        <f>48</f>
        <v>48</v>
      </c>
      <c r="N60" s="8">
        <f t="shared" si="6"/>
        <v>0</v>
      </c>
      <c r="O60" s="8">
        <f>IF(COUNTIF(PARAMETRES_REGIMES!$A$3:$A$100,$A60)&gt;0,MIN(M60,SUM(F60:L60)*24),MIN(M60,SUM(F60:K60)*24))</f>
        <v>0</v>
      </c>
      <c r="P60" s="9">
        <f>IF(COUNTIF(PARAMETRES_REGIMES!$A$3:$A$100,$A60)&gt;0,FLOOR(MAX(SUM(F60:L60)*24-M60,0),0.5),FLOOR(MAX(SUM(F60:K60)*24-M60,0),0.5))</f>
        <v>0</v>
      </c>
      <c r="Q60" s="9">
        <f>IF(COUNTIF(PARAMETRES_REGIMES!$A$3:$A$100,$A60)&gt;0,0,IF(ISNUMBER(L60),FLOOR(MAX(L60*24,0),0.5),0))</f>
        <v>0</v>
      </c>
      <c r="R60" s="8">
        <f t="shared" si="7"/>
        <v>0</v>
      </c>
      <c r="S60" s="8">
        <f t="shared" si="8"/>
        <v>0</v>
      </c>
      <c r="T60" s="8">
        <f t="shared" si="9"/>
        <v>0</v>
      </c>
      <c r="U60" s="8">
        <f t="shared" si="10"/>
        <v>0</v>
      </c>
      <c r="V60" s="10" t="str">
        <f t="shared" si="11"/>
        <v>OK</v>
      </c>
    </row>
    <row r="61" spans="1:22">
      <c r="A61" s="17" t="s">
        <v>172</v>
      </c>
      <c r="B61" s="5" t="s">
        <v>173</v>
      </c>
      <c r="C61" s="5" t="s">
        <v>174</v>
      </c>
      <c r="D61" s="5" t="s">
        <v>31</v>
      </c>
      <c r="E61" s="17" t="s">
        <v>123</v>
      </c>
      <c r="F61" s="6"/>
      <c r="G61" s="7"/>
      <c r="H61" s="7"/>
      <c r="I61" s="7"/>
      <c r="J61" s="7"/>
      <c r="K61" s="7"/>
      <c r="L61" s="7"/>
      <c r="M61" s="8">
        <f>48</f>
        <v>48</v>
      </c>
      <c r="N61" s="8">
        <f t="shared" si="6"/>
        <v>0</v>
      </c>
      <c r="O61" s="8">
        <f>IF(COUNTIF(PARAMETRES_REGIMES!$A$3:$A$100,$A61)&gt;0,MIN(M61,SUM(F61:L61)*24),MIN(M61,SUM(F61:K61)*24))</f>
        <v>0</v>
      </c>
      <c r="P61" s="9">
        <f>IF(COUNTIF(PARAMETRES_REGIMES!$A$3:$A$100,$A61)&gt;0,FLOOR(MAX(SUM(F61:L61)*24-M61,0),0.5),FLOOR(MAX(SUM(F61:K61)*24-M61,0),0.5))</f>
        <v>0</v>
      </c>
      <c r="Q61" s="9">
        <f>IF(COUNTIF(PARAMETRES_REGIMES!$A$3:$A$100,$A61)&gt;0,0,IF(ISNUMBER(L61),FLOOR(MAX(L61*24,0),0.5),0))</f>
        <v>0</v>
      </c>
      <c r="R61" s="8">
        <f t="shared" si="7"/>
        <v>0</v>
      </c>
      <c r="S61" s="8">
        <f t="shared" si="8"/>
        <v>0</v>
      </c>
      <c r="T61" s="8">
        <f t="shared" si="9"/>
        <v>0</v>
      </c>
      <c r="U61" s="8">
        <f t="shared" si="10"/>
        <v>0</v>
      </c>
      <c r="V61" s="10" t="str">
        <f t="shared" si="11"/>
        <v>OK</v>
      </c>
    </row>
    <row r="62" spans="1:22">
      <c r="A62" s="17" t="s">
        <v>175</v>
      </c>
      <c r="B62" s="5" t="s">
        <v>176</v>
      </c>
      <c r="C62" s="5" t="s">
        <v>177</v>
      </c>
      <c r="D62" s="5" t="s">
        <v>31</v>
      </c>
      <c r="E62" s="17" t="s">
        <v>123</v>
      </c>
      <c r="F62" s="6"/>
      <c r="G62" s="7"/>
      <c r="H62" s="7"/>
      <c r="I62" s="7"/>
      <c r="J62" s="7"/>
      <c r="K62" s="7"/>
      <c r="L62" s="7"/>
      <c r="M62" s="8">
        <f>48</f>
        <v>48</v>
      </c>
      <c r="N62" s="8">
        <f t="shared" si="6"/>
        <v>0</v>
      </c>
      <c r="O62" s="8">
        <f>IF(COUNTIF(PARAMETRES_REGIMES!$A$3:$A$100,$A62)&gt;0,MIN(M62,SUM(F62:L62)*24),MIN(M62,SUM(F62:K62)*24))</f>
        <v>0</v>
      </c>
      <c r="P62" s="9">
        <f>IF(COUNTIF(PARAMETRES_REGIMES!$A$3:$A$100,$A62)&gt;0,FLOOR(MAX(SUM(F62:L62)*24-M62,0),0.5),FLOOR(MAX(SUM(F62:K62)*24-M62,0),0.5))</f>
        <v>0</v>
      </c>
      <c r="Q62" s="9">
        <f>IF(COUNTIF(PARAMETRES_REGIMES!$A$3:$A$100,$A62)&gt;0,0,IF(ISNUMBER(L62),FLOOR(MAX(L62*24,0),0.5),0))</f>
        <v>0</v>
      </c>
      <c r="R62" s="8">
        <f t="shared" si="7"/>
        <v>0</v>
      </c>
      <c r="S62" s="8">
        <f t="shared" si="8"/>
        <v>0</v>
      </c>
      <c r="T62" s="8">
        <f t="shared" si="9"/>
        <v>0</v>
      </c>
      <c r="U62" s="8">
        <f t="shared" si="10"/>
        <v>0</v>
      </c>
      <c r="V62" s="10" t="str">
        <f t="shared" si="11"/>
        <v>OK</v>
      </c>
    </row>
    <row r="63" spans="1:22">
      <c r="A63" s="17" t="s">
        <v>178</v>
      </c>
      <c r="B63" s="5" t="s">
        <v>179</v>
      </c>
      <c r="C63" s="5" t="s">
        <v>180</v>
      </c>
      <c r="D63" s="5" t="s">
        <v>31</v>
      </c>
      <c r="E63" s="17" t="s">
        <v>123</v>
      </c>
      <c r="F63" s="6"/>
      <c r="G63" s="7"/>
      <c r="H63" s="7"/>
      <c r="I63" s="7"/>
      <c r="J63" s="7"/>
      <c r="K63" s="7"/>
      <c r="L63" s="7"/>
      <c r="M63" s="8">
        <f>48</f>
        <v>48</v>
      </c>
      <c r="N63" s="8">
        <f t="shared" si="6"/>
        <v>0</v>
      </c>
      <c r="O63" s="8">
        <f>IF(COUNTIF(PARAMETRES_REGIMES!$A$3:$A$100,$A63)&gt;0,MIN(M63,SUM(F63:L63)*24),MIN(M63,SUM(F63:K63)*24))</f>
        <v>0</v>
      </c>
      <c r="P63" s="9">
        <f>IF(COUNTIF(PARAMETRES_REGIMES!$A$3:$A$100,$A63)&gt;0,FLOOR(MAX(SUM(F63:L63)*24-M63,0),0.5),FLOOR(MAX(SUM(F63:K63)*24-M63,0),0.5))</f>
        <v>0</v>
      </c>
      <c r="Q63" s="9">
        <f>IF(COUNTIF(PARAMETRES_REGIMES!$A$3:$A$100,$A63)&gt;0,0,IF(ISNUMBER(L63),FLOOR(MAX(L63*24,0),0.5),0))</f>
        <v>0</v>
      </c>
      <c r="R63" s="8">
        <f t="shared" si="7"/>
        <v>0</v>
      </c>
      <c r="S63" s="8">
        <f t="shared" si="8"/>
        <v>0</v>
      </c>
      <c r="T63" s="8">
        <f t="shared" si="9"/>
        <v>0</v>
      </c>
      <c r="U63" s="8">
        <f t="shared" si="10"/>
        <v>0</v>
      </c>
      <c r="V63" s="10" t="str">
        <f t="shared" si="11"/>
        <v>OK</v>
      </c>
    </row>
    <row r="64" spans="1:22">
      <c r="A64" s="17" t="s">
        <v>181</v>
      </c>
      <c r="B64" s="5" t="s">
        <v>182</v>
      </c>
      <c r="C64" s="5" t="s">
        <v>183</v>
      </c>
      <c r="D64" s="5" t="s">
        <v>31</v>
      </c>
      <c r="E64" s="17" t="s">
        <v>123</v>
      </c>
      <c r="F64" s="6"/>
      <c r="G64" s="7"/>
      <c r="H64" s="7"/>
      <c r="I64" s="7"/>
      <c r="J64" s="7"/>
      <c r="K64" s="7"/>
      <c r="L64" s="7"/>
      <c r="M64" s="8">
        <f>48</f>
        <v>48</v>
      </c>
      <c r="N64" s="8">
        <f t="shared" si="6"/>
        <v>0</v>
      </c>
      <c r="O64" s="8">
        <f>IF(COUNTIF(PARAMETRES_REGIMES!$A$3:$A$100,$A64)&gt;0,MIN(M64,SUM(F64:L64)*24),MIN(M64,SUM(F64:K64)*24))</f>
        <v>0</v>
      </c>
      <c r="P64" s="9">
        <f>IF(COUNTIF(PARAMETRES_REGIMES!$A$3:$A$100,$A64)&gt;0,FLOOR(MAX(SUM(F64:L64)*24-M64,0),0.5),FLOOR(MAX(SUM(F64:K64)*24-M64,0),0.5))</f>
        <v>0</v>
      </c>
      <c r="Q64" s="9">
        <f>IF(COUNTIF(PARAMETRES_REGIMES!$A$3:$A$100,$A64)&gt;0,0,IF(ISNUMBER(L64),FLOOR(MAX(L64*24,0),0.5),0))</f>
        <v>0</v>
      </c>
      <c r="R64" s="8">
        <f t="shared" si="7"/>
        <v>0</v>
      </c>
      <c r="S64" s="8">
        <f t="shared" si="8"/>
        <v>0</v>
      </c>
      <c r="T64" s="8">
        <f t="shared" si="9"/>
        <v>0</v>
      </c>
      <c r="U64" s="8">
        <f t="shared" si="10"/>
        <v>0</v>
      </c>
      <c r="V64" s="10" t="str">
        <f t="shared" si="11"/>
        <v>OK</v>
      </c>
    </row>
    <row r="65" spans="1:22">
      <c r="A65" s="17">
        <v>169</v>
      </c>
      <c r="B65" s="5" t="s">
        <v>184</v>
      </c>
      <c r="C65" s="5" t="s">
        <v>185</v>
      </c>
      <c r="D65" s="5" t="s">
        <v>31</v>
      </c>
      <c r="E65" s="17" t="s">
        <v>123</v>
      </c>
      <c r="F65" s="6"/>
      <c r="G65" s="7"/>
      <c r="H65" s="7"/>
      <c r="I65" s="7"/>
      <c r="J65" s="7"/>
      <c r="K65" s="7"/>
      <c r="L65" s="7"/>
      <c r="M65" s="8">
        <f>48</f>
        <v>48</v>
      </c>
      <c r="N65" s="8">
        <f t="shared" si="6"/>
        <v>0</v>
      </c>
      <c r="O65" s="8">
        <f>IF(COUNTIF(PARAMETRES_REGIMES!$A$3:$A$100,$A65)&gt;0,MIN(M65,SUM(F65:L65)*24),MIN(M65,SUM(F65:K65)*24))</f>
        <v>0</v>
      </c>
      <c r="P65" s="9">
        <f>IF(COUNTIF(PARAMETRES_REGIMES!$A$3:$A$100,$A65)&gt;0,FLOOR(MAX(SUM(F65:L65)*24-M65,0),0.5),FLOOR(MAX(SUM(F65:K65)*24-M65,0),0.5))</f>
        <v>0</v>
      </c>
      <c r="Q65" s="9">
        <f>IF(COUNTIF(PARAMETRES_REGIMES!$A$3:$A$100,$A65)&gt;0,0,IF(ISNUMBER(L65),FLOOR(MAX(L65*24,0),0.5),0))</f>
        <v>0</v>
      </c>
      <c r="R65" s="8">
        <f t="shared" si="7"/>
        <v>0</v>
      </c>
      <c r="S65" s="8">
        <f t="shared" si="8"/>
        <v>0</v>
      </c>
      <c r="T65" s="8">
        <f t="shared" si="9"/>
        <v>0</v>
      </c>
      <c r="U65" s="8">
        <f t="shared" si="10"/>
        <v>0</v>
      </c>
      <c r="V65" s="10" t="str">
        <f t="shared" si="11"/>
        <v>OK</v>
      </c>
    </row>
    <row r="66" spans="1:22">
      <c r="A66" s="17" t="s">
        <v>186</v>
      </c>
      <c r="B66" s="5" t="s">
        <v>187</v>
      </c>
      <c r="C66" s="5" t="s">
        <v>188</v>
      </c>
      <c r="D66" s="5" t="s">
        <v>31</v>
      </c>
      <c r="E66" s="17" t="s">
        <v>123</v>
      </c>
      <c r="F66" s="6"/>
      <c r="G66" s="7"/>
      <c r="H66" s="7"/>
      <c r="I66" s="7"/>
      <c r="J66" s="7"/>
      <c r="K66" s="7"/>
      <c r="L66" s="7"/>
      <c r="M66" s="8">
        <f>48</f>
        <v>48</v>
      </c>
      <c r="N66" s="8">
        <f t="shared" si="6"/>
        <v>0</v>
      </c>
      <c r="O66" s="8">
        <f>IF(COUNTIF(PARAMETRES_REGIMES!$A$3:$A$100,$A66)&gt;0,MIN(M66,SUM(F66:L66)*24),MIN(M66,SUM(F66:K66)*24))</f>
        <v>0</v>
      </c>
      <c r="P66" s="9">
        <f>IF(COUNTIF(PARAMETRES_REGIMES!$A$3:$A$100,$A66)&gt;0,FLOOR(MAX(SUM(F66:L66)*24-M66,0),0.5),FLOOR(MAX(SUM(F66:K66)*24-M66,0),0.5))</f>
        <v>0</v>
      </c>
      <c r="Q66" s="9">
        <f>IF(COUNTIF(PARAMETRES_REGIMES!$A$3:$A$100,$A66)&gt;0,0,IF(ISNUMBER(L66),FLOOR(MAX(L66*24,0),0.5),0))</f>
        <v>0</v>
      </c>
      <c r="R66" s="8">
        <f t="shared" si="7"/>
        <v>0</v>
      </c>
      <c r="S66" s="8">
        <f t="shared" si="8"/>
        <v>0</v>
      </c>
      <c r="T66" s="8">
        <f t="shared" si="9"/>
        <v>0</v>
      </c>
      <c r="U66" s="8">
        <f t="shared" si="10"/>
        <v>0</v>
      </c>
      <c r="V66" s="10" t="str">
        <f t="shared" si="11"/>
        <v>OK</v>
      </c>
    </row>
    <row r="67" spans="1:22">
      <c r="A67" s="17" t="s">
        <v>189</v>
      </c>
      <c r="B67" s="5" t="s">
        <v>190</v>
      </c>
      <c r="C67" s="5" t="s">
        <v>191</v>
      </c>
      <c r="D67" s="5" t="s">
        <v>31</v>
      </c>
      <c r="E67" s="17" t="s">
        <v>123</v>
      </c>
      <c r="F67" s="6"/>
      <c r="G67" s="7"/>
      <c r="H67" s="7"/>
      <c r="I67" s="7"/>
      <c r="J67" s="7"/>
      <c r="K67" s="7"/>
      <c r="L67" s="7"/>
      <c r="M67" s="8">
        <f>48</f>
        <v>48</v>
      </c>
      <c r="N67" s="8">
        <f t="shared" ref="N67:N98" si="12">SUM(F67:L67)*24</f>
        <v>0</v>
      </c>
      <c r="O67" s="8">
        <f>IF(COUNTIF(PARAMETRES_REGIMES!$A$3:$A$100,$A67)&gt;0,MIN(M67,SUM(F67:L67)*24),MIN(M67,SUM(F67:K67)*24))</f>
        <v>0</v>
      </c>
      <c r="P67" s="9">
        <f>IF(COUNTIF(PARAMETRES_REGIMES!$A$3:$A$100,$A67)&gt;0,FLOOR(MAX(SUM(F67:L67)*24-M67,0),0.5),FLOOR(MAX(SUM(F67:K67)*24-M67,0),0.5))</f>
        <v>0</v>
      </c>
      <c r="Q67" s="9">
        <f>IF(COUNTIF(PARAMETRES_REGIMES!$A$3:$A$100,$A67)&gt;0,0,IF(ISNUMBER(L67),FLOOR(MAX(L67*24,0),0.5),0))</f>
        <v>0</v>
      </c>
      <c r="R67" s="8">
        <f t="shared" ref="R67:R98" si="13">COUNTIF(F67:L67,"ABS")</f>
        <v>0</v>
      </c>
      <c r="S67" s="8">
        <f t="shared" ref="S67:S98" si="14">COUNTIF(F67:L67,"Congé")</f>
        <v>0</v>
      </c>
      <c r="T67" s="8">
        <f t="shared" ref="T67:T98" si="15">COUNTIF(F67:L67,"Férié")</f>
        <v>0</v>
      </c>
      <c r="U67" s="8">
        <f t="shared" ref="U67:U98" si="16">O67+P67+Q67+(T67*8.5)</f>
        <v>0</v>
      </c>
      <c r="V67" s="10" t="str">
        <f t="shared" ref="V67:V98" si="17">IF(COUNTIF(F67:L67,"STC")&gt;0,"STC",IF(COUNTIF(F67:L67,"*!*")&gt;0,"À vérifier","OK"))</f>
        <v>OK</v>
      </c>
    </row>
    <row r="68" spans="1:22">
      <c r="A68" s="17" t="s">
        <v>192</v>
      </c>
      <c r="B68" s="5" t="s">
        <v>193</v>
      </c>
      <c r="C68" s="5" t="s">
        <v>194</v>
      </c>
      <c r="D68" s="5" t="s">
        <v>31</v>
      </c>
      <c r="E68" s="17" t="s">
        <v>123</v>
      </c>
      <c r="F68" s="6"/>
      <c r="G68" s="7"/>
      <c r="H68" s="7"/>
      <c r="I68" s="7"/>
      <c r="J68" s="7"/>
      <c r="K68" s="7"/>
      <c r="L68" s="7"/>
      <c r="M68" s="8">
        <f>48</f>
        <v>48</v>
      </c>
      <c r="N68" s="8">
        <f t="shared" si="12"/>
        <v>0</v>
      </c>
      <c r="O68" s="8">
        <f>IF(COUNTIF(PARAMETRES_REGIMES!$A$3:$A$100,$A68)&gt;0,MIN(M68,SUM(F68:L68)*24),MIN(M68,SUM(F68:K68)*24))</f>
        <v>0</v>
      </c>
      <c r="P68" s="9">
        <f>IF(COUNTIF(PARAMETRES_REGIMES!$A$3:$A$100,$A68)&gt;0,FLOOR(MAX(SUM(F68:L68)*24-M68,0),0.5),FLOOR(MAX(SUM(F68:K68)*24-M68,0),0.5))</f>
        <v>0</v>
      </c>
      <c r="Q68" s="9">
        <f>IF(COUNTIF(PARAMETRES_REGIMES!$A$3:$A$100,$A68)&gt;0,0,IF(ISNUMBER(L68),FLOOR(MAX(L68*24,0),0.5),0))</f>
        <v>0</v>
      </c>
      <c r="R68" s="8">
        <f t="shared" si="13"/>
        <v>0</v>
      </c>
      <c r="S68" s="8">
        <f t="shared" si="14"/>
        <v>0</v>
      </c>
      <c r="T68" s="8">
        <f t="shared" si="15"/>
        <v>0</v>
      </c>
      <c r="U68" s="8">
        <f t="shared" si="16"/>
        <v>0</v>
      </c>
      <c r="V68" s="10" t="str">
        <f t="shared" si="17"/>
        <v>OK</v>
      </c>
    </row>
    <row r="69" spans="1:22">
      <c r="A69" s="17">
        <v>166</v>
      </c>
      <c r="B69" s="5" t="s">
        <v>195</v>
      </c>
      <c r="C69" s="5" t="s">
        <v>196</v>
      </c>
      <c r="D69" s="5" t="s">
        <v>31</v>
      </c>
      <c r="E69" s="17" t="s">
        <v>123</v>
      </c>
      <c r="F69" s="6"/>
      <c r="G69" s="7"/>
      <c r="H69" s="7"/>
      <c r="I69" s="7"/>
      <c r="J69" s="7"/>
      <c r="K69" s="7"/>
      <c r="L69" s="7"/>
      <c r="M69" s="8">
        <f>48</f>
        <v>48</v>
      </c>
      <c r="N69" s="8">
        <f t="shared" si="12"/>
        <v>0</v>
      </c>
      <c r="O69" s="8">
        <f>IF(COUNTIF(PARAMETRES_REGIMES!$A$3:$A$100,$A69)&gt;0,MIN(M69,SUM(F69:L69)*24),MIN(M69,SUM(F69:K69)*24))</f>
        <v>0</v>
      </c>
      <c r="P69" s="9">
        <f>IF(COUNTIF(PARAMETRES_REGIMES!$A$3:$A$100,$A69)&gt;0,FLOOR(MAX(SUM(F69:L69)*24-M69,0),0.5),FLOOR(MAX(SUM(F69:K69)*24-M69,0),0.5))</f>
        <v>0</v>
      </c>
      <c r="Q69" s="9">
        <f>IF(COUNTIF(PARAMETRES_REGIMES!$A$3:$A$100,$A69)&gt;0,0,IF(ISNUMBER(L69),FLOOR(MAX(L69*24,0),0.5),0))</f>
        <v>0</v>
      </c>
      <c r="R69" s="8">
        <f t="shared" si="13"/>
        <v>0</v>
      </c>
      <c r="S69" s="8">
        <f t="shared" si="14"/>
        <v>0</v>
      </c>
      <c r="T69" s="8">
        <f t="shared" si="15"/>
        <v>0</v>
      </c>
      <c r="U69" s="8">
        <f t="shared" si="16"/>
        <v>0</v>
      </c>
      <c r="V69" s="10" t="str">
        <f t="shared" si="17"/>
        <v>OK</v>
      </c>
    </row>
    <row r="70" spans="1:22">
      <c r="A70" s="17" t="s">
        <v>197</v>
      </c>
      <c r="B70" s="5" t="s">
        <v>195</v>
      </c>
      <c r="C70" s="5" t="s">
        <v>198</v>
      </c>
      <c r="D70" s="5" t="s">
        <v>31</v>
      </c>
      <c r="E70" s="17" t="s">
        <v>123</v>
      </c>
      <c r="F70" s="6"/>
      <c r="G70" s="7"/>
      <c r="H70" s="7"/>
      <c r="I70" s="7"/>
      <c r="J70" s="7"/>
      <c r="K70" s="7"/>
      <c r="L70" s="7"/>
      <c r="M70" s="8">
        <f>48</f>
        <v>48</v>
      </c>
      <c r="N70" s="8">
        <f t="shared" si="12"/>
        <v>0</v>
      </c>
      <c r="O70" s="8">
        <f>IF(COUNTIF(PARAMETRES_REGIMES!$A$3:$A$100,$A70)&gt;0,MIN(M70,SUM(F70:L70)*24),MIN(M70,SUM(F70:K70)*24))</f>
        <v>0</v>
      </c>
      <c r="P70" s="9">
        <f>IF(COUNTIF(PARAMETRES_REGIMES!$A$3:$A$100,$A70)&gt;0,FLOOR(MAX(SUM(F70:L70)*24-M70,0),0.5),FLOOR(MAX(SUM(F70:K70)*24-M70,0),0.5))</f>
        <v>0</v>
      </c>
      <c r="Q70" s="9">
        <f>IF(COUNTIF(PARAMETRES_REGIMES!$A$3:$A$100,$A70)&gt;0,0,IF(ISNUMBER(L70),FLOOR(MAX(L70*24,0),0.5),0))</f>
        <v>0</v>
      </c>
      <c r="R70" s="8">
        <f t="shared" si="13"/>
        <v>0</v>
      </c>
      <c r="S70" s="8">
        <f t="shared" si="14"/>
        <v>0</v>
      </c>
      <c r="T70" s="8">
        <f t="shared" si="15"/>
        <v>0</v>
      </c>
      <c r="U70" s="8">
        <f t="shared" si="16"/>
        <v>0</v>
      </c>
      <c r="V70" s="10" t="str">
        <f t="shared" si="17"/>
        <v>OK</v>
      </c>
    </row>
    <row r="71" spans="1:22">
      <c r="A71" s="17" t="s">
        <v>199</v>
      </c>
      <c r="B71" s="5" t="s">
        <v>195</v>
      </c>
      <c r="C71" s="5" t="s">
        <v>200</v>
      </c>
      <c r="D71" s="5" t="s">
        <v>31</v>
      </c>
      <c r="E71" s="17" t="s">
        <v>123</v>
      </c>
      <c r="F71" s="6"/>
      <c r="G71" s="7"/>
      <c r="H71" s="7"/>
      <c r="I71" s="7"/>
      <c r="J71" s="7"/>
      <c r="K71" s="7"/>
      <c r="L71" s="7"/>
      <c r="M71" s="8">
        <f>48</f>
        <v>48</v>
      </c>
      <c r="N71" s="8">
        <f t="shared" si="12"/>
        <v>0</v>
      </c>
      <c r="O71" s="8">
        <f>IF(COUNTIF(PARAMETRES_REGIMES!$A$3:$A$100,$A71)&gt;0,MIN(M71,SUM(F71:L71)*24),MIN(M71,SUM(F71:K71)*24))</f>
        <v>0</v>
      </c>
      <c r="P71" s="9">
        <f>IF(COUNTIF(PARAMETRES_REGIMES!$A$3:$A$100,$A71)&gt;0,FLOOR(MAX(SUM(F71:L71)*24-M71,0),0.5),FLOOR(MAX(SUM(F71:K71)*24-M71,0),0.5))</f>
        <v>0</v>
      </c>
      <c r="Q71" s="9">
        <f>IF(COUNTIF(PARAMETRES_REGIMES!$A$3:$A$100,$A71)&gt;0,0,IF(ISNUMBER(L71),FLOOR(MAX(L71*24,0),0.5),0))</f>
        <v>0</v>
      </c>
      <c r="R71" s="8">
        <f t="shared" si="13"/>
        <v>0</v>
      </c>
      <c r="S71" s="8">
        <f t="shared" si="14"/>
        <v>0</v>
      </c>
      <c r="T71" s="8">
        <f t="shared" si="15"/>
        <v>0</v>
      </c>
      <c r="U71" s="8">
        <f t="shared" si="16"/>
        <v>0</v>
      </c>
      <c r="V71" s="10" t="str">
        <f t="shared" si="17"/>
        <v>OK</v>
      </c>
    </row>
    <row r="72" spans="1:22">
      <c r="A72" s="17" t="s">
        <v>201</v>
      </c>
      <c r="B72" s="5" t="s">
        <v>195</v>
      </c>
      <c r="C72" s="5" t="s">
        <v>202</v>
      </c>
      <c r="D72" s="5" t="s">
        <v>31</v>
      </c>
      <c r="E72" s="17" t="s">
        <v>123</v>
      </c>
      <c r="F72" s="6"/>
      <c r="G72" s="7"/>
      <c r="H72" s="7"/>
      <c r="I72" s="7"/>
      <c r="J72" s="7"/>
      <c r="K72" s="7"/>
      <c r="L72" s="7"/>
      <c r="M72" s="8">
        <f>48</f>
        <v>48</v>
      </c>
      <c r="N72" s="8">
        <f t="shared" si="12"/>
        <v>0</v>
      </c>
      <c r="O72" s="8">
        <f>IF(COUNTIF(PARAMETRES_REGIMES!$A$3:$A$100,$A72)&gt;0,MIN(M72,SUM(F72:L72)*24),MIN(M72,SUM(F72:K72)*24))</f>
        <v>0</v>
      </c>
      <c r="P72" s="9">
        <f>IF(COUNTIF(PARAMETRES_REGIMES!$A$3:$A$100,$A72)&gt;0,FLOOR(MAX(SUM(F72:L72)*24-M72,0),0.5),FLOOR(MAX(SUM(F72:K72)*24-M72,0),0.5))</f>
        <v>0</v>
      </c>
      <c r="Q72" s="9">
        <f>IF(COUNTIF(PARAMETRES_REGIMES!$A$3:$A$100,$A72)&gt;0,0,IF(ISNUMBER(L72),FLOOR(MAX(L72*24,0),0.5),0))</f>
        <v>0</v>
      </c>
      <c r="R72" s="8">
        <f t="shared" si="13"/>
        <v>0</v>
      </c>
      <c r="S72" s="8">
        <f t="shared" si="14"/>
        <v>0</v>
      </c>
      <c r="T72" s="8">
        <f t="shared" si="15"/>
        <v>0</v>
      </c>
      <c r="U72" s="8">
        <f t="shared" si="16"/>
        <v>0</v>
      </c>
      <c r="V72" s="10" t="str">
        <f t="shared" si="17"/>
        <v>OK</v>
      </c>
    </row>
    <row r="73" spans="1:22">
      <c r="A73" s="17" t="s">
        <v>203</v>
      </c>
      <c r="B73" s="5" t="s">
        <v>204</v>
      </c>
      <c r="C73" s="5" t="s">
        <v>205</v>
      </c>
      <c r="D73" s="5" t="s">
        <v>31</v>
      </c>
      <c r="E73" s="17" t="s">
        <v>123</v>
      </c>
      <c r="F73" s="6"/>
      <c r="G73" s="7"/>
      <c r="H73" s="7"/>
      <c r="I73" s="7"/>
      <c r="J73" s="7"/>
      <c r="K73" s="7"/>
      <c r="L73" s="7"/>
      <c r="M73" s="8">
        <f>48</f>
        <v>48</v>
      </c>
      <c r="N73" s="8">
        <f t="shared" si="12"/>
        <v>0</v>
      </c>
      <c r="O73" s="8">
        <f>IF(COUNTIF(PARAMETRES_REGIMES!$A$3:$A$100,$A73)&gt;0,MIN(M73,SUM(F73:L73)*24),MIN(M73,SUM(F73:K73)*24))</f>
        <v>0</v>
      </c>
      <c r="P73" s="9">
        <f>IF(COUNTIF(PARAMETRES_REGIMES!$A$3:$A$100,$A73)&gt;0,FLOOR(MAX(SUM(F73:L73)*24-M73,0),0.5),FLOOR(MAX(SUM(F73:K73)*24-M73,0),0.5))</f>
        <v>0</v>
      </c>
      <c r="Q73" s="9">
        <f>IF(COUNTIF(PARAMETRES_REGIMES!$A$3:$A$100,$A73)&gt;0,0,IF(ISNUMBER(L73),FLOOR(MAX(L73*24,0),0.5),0))</f>
        <v>0</v>
      </c>
      <c r="R73" s="8">
        <f t="shared" si="13"/>
        <v>0</v>
      </c>
      <c r="S73" s="8">
        <f t="shared" si="14"/>
        <v>0</v>
      </c>
      <c r="T73" s="8">
        <f t="shared" si="15"/>
        <v>0</v>
      </c>
      <c r="U73" s="8">
        <f t="shared" si="16"/>
        <v>0</v>
      </c>
      <c r="V73" s="10" t="str">
        <f t="shared" si="17"/>
        <v>OK</v>
      </c>
    </row>
    <row r="74" spans="1:22">
      <c r="A74" s="17" t="s">
        <v>206</v>
      </c>
      <c r="B74" s="5" t="s">
        <v>207</v>
      </c>
      <c r="C74" s="5" t="s">
        <v>208</v>
      </c>
      <c r="D74" s="5" t="s">
        <v>31</v>
      </c>
      <c r="E74" s="17" t="s">
        <v>123</v>
      </c>
      <c r="F74" s="6"/>
      <c r="G74" s="7"/>
      <c r="H74" s="7"/>
      <c r="I74" s="7"/>
      <c r="J74" s="7"/>
      <c r="K74" s="7"/>
      <c r="L74" s="7"/>
      <c r="M74" s="8">
        <f>48</f>
        <v>48</v>
      </c>
      <c r="N74" s="8">
        <f t="shared" si="12"/>
        <v>0</v>
      </c>
      <c r="O74" s="8">
        <f>IF(COUNTIF(PARAMETRES_REGIMES!$A$3:$A$100,$A74)&gt;0,MIN(M74,SUM(F74:L74)*24),MIN(M74,SUM(F74:K74)*24))</f>
        <v>0</v>
      </c>
      <c r="P74" s="9">
        <f>IF(COUNTIF(PARAMETRES_REGIMES!$A$3:$A$100,$A74)&gt;0,FLOOR(MAX(SUM(F74:L74)*24-M74,0),0.5),FLOOR(MAX(SUM(F74:K74)*24-M74,0),0.5))</f>
        <v>0</v>
      </c>
      <c r="Q74" s="9">
        <f>IF(COUNTIF(PARAMETRES_REGIMES!$A$3:$A$100,$A74)&gt;0,0,IF(ISNUMBER(L74),FLOOR(MAX(L74*24,0),0.5),0))</f>
        <v>0</v>
      </c>
      <c r="R74" s="8">
        <f t="shared" si="13"/>
        <v>0</v>
      </c>
      <c r="S74" s="8">
        <f t="shared" si="14"/>
        <v>0</v>
      </c>
      <c r="T74" s="8">
        <f t="shared" si="15"/>
        <v>0</v>
      </c>
      <c r="U74" s="8">
        <f t="shared" si="16"/>
        <v>0</v>
      </c>
      <c r="V74" s="10" t="str">
        <f t="shared" si="17"/>
        <v>OK</v>
      </c>
    </row>
    <row r="75" spans="1:22">
      <c r="A75" s="17" t="s">
        <v>209</v>
      </c>
      <c r="B75" s="5" t="s">
        <v>210</v>
      </c>
      <c r="C75" s="5" t="s">
        <v>211</v>
      </c>
      <c r="D75" s="5" t="s">
        <v>31</v>
      </c>
      <c r="E75" s="17" t="s">
        <v>123</v>
      </c>
      <c r="F75" s="6"/>
      <c r="G75" s="7"/>
      <c r="H75" s="7"/>
      <c r="I75" s="7"/>
      <c r="J75" s="7"/>
      <c r="K75" s="7"/>
      <c r="L75" s="7"/>
      <c r="M75" s="8">
        <f>48</f>
        <v>48</v>
      </c>
      <c r="N75" s="8">
        <f t="shared" si="12"/>
        <v>0</v>
      </c>
      <c r="O75" s="8">
        <f>IF(COUNTIF(PARAMETRES_REGIMES!$A$3:$A$100,$A75)&gt;0,MIN(M75,SUM(F75:L75)*24),MIN(M75,SUM(F75:K75)*24))</f>
        <v>0</v>
      </c>
      <c r="P75" s="9">
        <f>IF(COUNTIF(PARAMETRES_REGIMES!$A$3:$A$100,$A75)&gt;0,FLOOR(MAX(SUM(F75:L75)*24-M75,0),0.5),FLOOR(MAX(SUM(F75:K75)*24-M75,0),0.5))</f>
        <v>0</v>
      </c>
      <c r="Q75" s="9">
        <f>IF(COUNTIF(PARAMETRES_REGIMES!$A$3:$A$100,$A75)&gt;0,0,IF(ISNUMBER(L75),FLOOR(MAX(L75*24,0),0.5),0))</f>
        <v>0</v>
      </c>
      <c r="R75" s="8">
        <f t="shared" si="13"/>
        <v>0</v>
      </c>
      <c r="S75" s="8">
        <f t="shared" si="14"/>
        <v>0</v>
      </c>
      <c r="T75" s="8">
        <f t="shared" si="15"/>
        <v>0</v>
      </c>
      <c r="U75" s="8">
        <f t="shared" si="16"/>
        <v>0</v>
      </c>
      <c r="V75" s="10" t="str">
        <f t="shared" si="17"/>
        <v>OK</v>
      </c>
    </row>
    <row r="76" spans="1:22">
      <c r="A76" s="17">
        <v>244</v>
      </c>
      <c r="B76" s="5" t="s">
        <v>212</v>
      </c>
      <c r="C76" s="5" t="s">
        <v>163</v>
      </c>
      <c r="D76" s="5" t="s">
        <v>31</v>
      </c>
      <c r="E76" s="17" t="s">
        <v>123</v>
      </c>
      <c r="F76" s="6"/>
      <c r="G76" s="7"/>
      <c r="H76" s="7"/>
      <c r="I76" s="7"/>
      <c r="J76" s="7"/>
      <c r="K76" s="7"/>
      <c r="L76" s="7"/>
      <c r="M76" s="8">
        <f>48</f>
        <v>48</v>
      </c>
      <c r="N76" s="8">
        <f t="shared" si="12"/>
        <v>0</v>
      </c>
      <c r="O76" s="8">
        <f>IF(COUNTIF(PARAMETRES_REGIMES!$A$3:$A$100,$A76)&gt;0,MIN(M76,SUM(F76:L76)*24),MIN(M76,SUM(F76:K76)*24))</f>
        <v>0</v>
      </c>
      <c r="P76" s="9">
        <f>IF(COUNTIF(PARAMETRES_REGIMES!$A$3:$A$100,$A76)&gt;0,FLOOR(MAX(SUM(F76:L76)*24-M76,0),0.5),FLOOR(MAX(SUM(F76:K76)*24-M76,0),0.5))</f>
        <v>0</v>
      </c>
      <c r="Q76" s="9">
        <f>IF(COUNTIF(PARAMETRES_REGIMES!$A$3:$A$100,$A76)&gt;0,0,IF(ISNUMBER(L76),FLOOR(MAX(L76*24,0),0.5),0))</f>
        <v>0</v>
      </c>
      <c r="R76" s="8">
        <f t="shared" si="13"/>
        <v>0</v>
      </c>
      <c r="S76" s="8">
        <f t="shared" si="14"/>
        <v>0</v>
      </c>
      <c r="T76" s="8">
        <f t="shared" si="15"/>
        <v>0</v>
      </c>
      <c r="U76" s="8">
        <f t="shared" si="16"/>
        <v>0</v>
      </c>
      <c r="V76" s="10" t="str">
        <f t="shared" si="17"/>
        <v>OK</v>
      </c>
    </row>
    <row r="77" spans="1:22">
      <c r="A77" s="17" t="s">
        <v>213</v>
      </c>
      <c r="B77" s="5" t="s">
        <v>214</v>
      </c>
      <c r="C77" s="5" t="s">
        <v>61</v>
      </c>
      <c r="D77" s="5" t="s">
        <v>31</v>
      </c>
      <c r="E77" s="17" t="s">
        <v>123</v>
      </c>
      <c r="F77" s="6"/>
      <c r="G77" s="7"/>
      <c r="H77" s="7"/>
      <c r="I77" s="7"/>
      <c r="J77" s="7"/>
      <c r="K77" s="7"/>
      <c r="L77" s="7"/>
      <c r="M77" s="8">
        <f>48</f>
        <v>48</v>
      </c>
      <c r="N77" s="8">
        <f t="shared" si="12"/>
        <v>0</v>
      </c>
      <c r="O77" s="8">
        <f>IF(COUNTIF(PARAMETRES_REGIMES!$A$3:$A$100,$A77)&gt;0,MIN(M77,SUM(F77:L77)*24),MIN(M77,SUM(F77:K77)*24))</f>
        <v>0</v>
      </c>
      <c r="P77" s="9">
        <f>IF(COUNTIF(PARAMETRES_REGIMES!$A$3:$A$100,$A77)&gt;0,FLOOR(MAX(SUM(F77:L77)*24-M77,0),0.5),FLOOR(MAX(SUM(F77:K77)*24-M77,0),0.5))</f>
        <v>0</v>
      </c>
      <c r="Q77" s="9">
        <f>IF(COUNTIF(PARAMETRES_REGIMES!$A$3:$A$100,$A77)&gt;0,0,IF(ISNUMBER(L77),FLOOR(MAX(L77*24,0),0.5),0))</f>
        <v>0</v>
      </c>
      <c r="R77" s="8">
        <f t="shared" si="13"/>
        <v>0</v>
      </c>
      <c r="S77" s="8">
        <f t="shared" si="14"/>
        <v>0</v>
      </c>
      <c r="T77" s="8">
        <f t="shared" si="15"/>
        <v>0</v>
      </c>
      <c r="U77" s="8">
        <f t="shared" si="16"/>
        <v>0</v>
      </c>
      <c r="V77" s="10" t="str">
        <f t="shared" si="17"/>
        <v>OK</v>
      </c>
    </row>
    <row r="78" spans="1:22">
      <c r="A78" s="17">
        <v>183</v>
      </c>
      <c r="B78" s="5" t="s">
        <v>215</v>
      </c>
      <c r="C78" s="5" t="s">
        <v>216</v>
      </c>
      <c r="D78" s="5" t="s">
        <v>31</v>
      </c>
      <c r="E78" s="17" t="s">
        <v>123</v>
      </c>
      <c r="F78" s="6"/>
      <c r="G78" s="7"/>
      <c r="H78" s="7"/>
      <c r="I78" s="7"/>
      <c r="J78" s="7"/>
      <c r="K78" s="7"/>
      <c r="L78" s="7"/>
      <c r="M78" s="8">
        <f>48</f>
        <v>48</v>
      </c>
      <c r="N78" s="8">
        <f t="shared" si="12"/>
        <v>0</v>
      </c>
      <c r="O78" s="8">
        <f>IF(COUNTIF(PARAMETRES_REGIMES!$A$3:$A$100,$A78)&gt;0,MIN(M78,SUM(F78:L78)*24),MIN(M78,SUM(F78:K78)*24))</f>
        <v>0</v>
      </c>
      <c r="P78" s="9">
        <f>IF(COUNTIF(PARAMETRES_REGIMES!$A$3:$A$100,$A78)&gt;0,FLOOR(MAX(SUM(F78:L78)*24-M78,0),0.5),FLOOR(MAX(SUM(F78:K78)*24-M78,0),0.5))</f>
        <v>0</v>
      </c>
      <c r="Q78" s="9">
        <f>IF(COUNTIF(PARAMETRES_REGIMES!$A$3:$A$100,$A78)&gt;0,0,IF(ISNUMBER(L78),FLOOR(MAX(L78*24,0),0.5),0))</f>
        <v>0</v>
      </c>
      <c r="R78" s="8">
        <f t="shared" si="13"/>
        <v>0</v>
      </c>
      <c r="S78" s="8">
        <f t="shared" si="14"/>
        <v>0</v>
      </c>
      <c r="T78" s="8">
        <f t="shared" si="15"/>
        <v>0</v>
      </c>
      <c r="U78" s="8">
        <f t="shared" si="16"/>
        <v>0</v>
      </c>
      <c r="V78" s="10" t="str">
        <f t="shared" si="17"/>
        <v>OK</v>
      </c>
    </row>
    <row r="79" spans="1:22">
      <c r="A79" s="17">
        <v>234</v>
      </c>
      <c r="B79" s="5" t="s">
        <v>217</v>
      </c>
      <c r="C79" s="5" t="s">
        <v>218</v>
      </c>
      <c r="D79" s="5" t="s">
        <v>31</v>
      </c>
      <c r="E79" s="17" t="s">
        <v>123</v>
      </c>
      <c r="F79" s="6"/>
      <c r="G79" s="7"/>
      <c r="H79" s="7"/>
      <c r="I79" s="7"/>
      <c r="J79" s="7"/>
      <c r="K79" s="7"/>
      <c r="L79" s="7"/>
      <c r="M79" s="8">
        <f>48</f>
        <v>48</v>
      </c>
      <c r="N79" s="8">
        <f t="shared" si="12"/>
        <v>0</v>
      </c>
      <c r="O79" s="8">
        <f>IF(COUNTIF(PARAMETRES_REGIMES!$A$3:$A$100,$A79)&gt;0,MIN(M79,SUM(F79:L79)*24),MIN(M79,SUM(F79:K79)*24))</f>
        <v>0</v>
      </c>
      <c r="P79" s="9">
        <f>IF(COUNTIF(PARAMETRES_REGIMES!$A$3:$A$100,$A79)&gt;0,FLOOR(MAX(SUM(F79:L79)*24-M79,0),0.5),FLOOR(MAX(SUM(F79:K79)*24-M79,0),0.5))</f>
        <v>0</v>
      </c>
      <c r="Q79" s="9">
        <f>IF(COUNTIF(PARAMETRES_REGIMES!$A$3:$A$100,$A79)&gt;0,0,IF(ISNUMBER(L79),FLOOR(MAX(L79*24,0),0.5),0))</f>
        <v>0</v>
      </c>
      <c r="R79" s="8">
        <f t="shared" si="13"/>
        <v>0</v>
      </c>
      <c r="S79" s="8">
        <f t="shared" si="14"/>
        <v>0</v>
      </c>
      <c r="T79" s="8">
        <f t="shared" si="15"/>
        <v>0</v>
      </c>
      <c r="U79" s="8">
        <f t="shared" si="16"/>
        <v>0</v>
      </c>
      <c r="V79" s="10" t="str">
        <f t="shared" si="17"/>
        <v>OK</v>
      </c>
    </row>
    <row r="80" spans="1:22">
      <c r="A80" s="17" t="s">
        <v>219</v>
      </c>
      <c r="B80" s="5" t="s">
        <v>220</v>
      </c>
      <c r="C80" s="5" t="s">
        <v>221</v>
      </c>
      <c r="D80" s="5" t="s">
        <v>31</v>
      </c>
      <c r="E80" s="17" t="s">
        <v>123</v>
      </c>
      <c r="F80" s="6"/>
      <c r="G80" s="7"/>
      <c r="H80" s="7"/>
      <c r="I80" s="7"/>
      <c r="J80" s="7"/>
      <c r="K80" s="7"/>
      <c r="L80" s="7"/>
      <c r="M80" s="8">
        <f>48</f>
        <v>48</v>
      </c>
      <c r="N80" s="8">
        <f t="shared" si="12"/>
        <v>0</v>
      </c>
      <c r="O80" s="8">
        <f>IF(COUNTIF(PARAMETRES_REGIMES!$A$3:$A$100,$A80)&gt;0,MIN(M80,SUM(F80:L80)*24),MIN(M80,SUM(F80:K80)*24))</f>
        <v>0</v>
      </c>
      <c r="P80" s="9">
        <f>IF(COUNTIF(PARAMETRES_REGIMES!$A$3:$A$100,$A80)&gt;0,FLOOR(MAX(SUM(F80:L80)*24-M80,0),0.5),FLOOR(MAX(SUM(F80:K80)*24-M80,0),0.5))</f>
        <v>0</v>
      </c>
      <c r="Q80" s="9">
        <f>IF(COUNTIF(PARAMETRES_REGIMES!$A$3:$A$100,$A80)&gt;0,0,IF(ISNUMBER(L80),FLOOR(MAX(L80*24,0),0.5),0))</f>
        <v>0</v>
      </c>
      <c r="R80" s="8">
        <f t="shared" si="13"/>
        <v>0</v>
      </c>
      <c r="S80" s="8">
        <f t="shared" si="14"/>
        <v>0</v>
      </c>
      <c r="T80" s="8">
        <f t="shared" si="15"/>
        <v>0</v>
      </c>
      <c r="U80" s="8">
        <f t="shared" si="16"/>
        <v>0</v>
      </c>
      <c r="V80" s="10" t="str">
        <f t="shared" si="17"/>
        <v>OK</v>
      </c>
    </row>
    <row r="81" spans="1:22">
      <c r="A81" s="17" t="s">
        <v>222</v>
      </c>
      <c r="B81" s="5" t="s">
        <v>223</v>
      </c>
      <c r="C81" s="5" t="s">
        <v>19</v>
      </c>
      <c r="D81" s="5" t="s">
        <v>31</v>
      </c>
      <c r="E81" s="17" t="s">
        <v>123</v>
      </c>
      <c r="F81" s="6"/>
      <c r="G81" s="7"/>
      <c r="H81" s="7"/>
      <c r="I81" s="7"/>
      <c r="J81" s="7"/>
      <c r="K81" s="7"/>
      <c r="L81" s="7"/>
      <c r="M81" s="8">
        <f>48</f>
        <v>48</v>
      </c>
      <c r="N81" s="8">
        <f t="shared" si="12"/>
        <v>0</v>
      </c>
      <c r="O81" s="8">
        <f>IF(COUNTIF(PARAMETRES_REGIMES!$A$3:$A$100,$A81)&gt;0,MIN(M81,SUM(F81:L81)*24),MIN(M81,SUM(F81:K81)*24))</f>
        <v>0</v>
      </c>
      <c r="P81" s="9">
        <f>IF(COUNTIF(PARAMETRES_REGIMES!$A$3:$A$100,$A81)&gt;0,FLOOR(MAX(SUM(F81:L81)*24-M81,0),0.5),FLOOR(MAX(SUM(F81:K81)*24-M81,0),0.5))</f>
        <v>0</v>
      </c>
      <c r="Q81" s="9">
        <f>IF(COUNTIF(PARAMETRES_REGIMES!$A$3:$A$100,$A81)&gt;0,0,IF(ISNUMBER(L81),FLOOR(MAX(L81*24,0),0.5),0))</f>
        <v>0</v>
      </c>
      <c r="R81" s="8">
        <f t="shared" si="13"/>
        <v>0</v>
      </c>
      <c r="S81" s="8">
        <f t="shared" si="14"/>
        <v>0</v>
      </c>
      <c r="T81" s="8">
        <f t="shared" si="15"/>
        <v>0</v>
      </c>
      <c r="U81" s="8">
        <f t="shared" si="16"/>
        <v>0</v>
      </c>
      <c r="V81" s="10" t="str">
        <f t="shared" si="17"/>
        <v>OK</v>
      </c>
    </row>
    <row r="82" spans="1:22">
      <c r="A82" s="17">
        <v>118</v>
      </c>
      <c r="B82" s="5" t="s">
        <v>224</v>
      </c>
      <c r="C82" s="5" t="s">
        <v>225</v>
      </c>
      <c r="D82" s="5" t="s">
        <v>31</v>
      </c>
      <c r="E82" s="17" t="s">
        <v>123</v>
      </c>
      <c r="F82" s="6"/>
      <c r="G82" s="7"/>
      <c r="H82" s="7"/>
      <c r="I82" s="7"/>
      <c r="J82" s="7"/>
      <c r="K82" s="7"/>
      <c r="L82" s="7"/>
      <c r="M82" s="8">
        <f>48</f>
        <v>48</v>
      </c>
      <c r="N82" s="8">
        <f t="shared" si="12"/>
        <v>0</v>
      </c>
      <c r="O82" s="8">
        <f>IF(COUNTIF(PARAMETRES_REGIMES!$A$3:$A$100,$A82)&gt;0,MIN(M82,SUM(F82:L82)*24),MIN(M82,SUM(F82:K82)*24))</f>
        <v>0</v>
      </c>
      <c r="P82" s="9">
        <f>IF(COUNTIF(PARAMETRES_REGIMES!$A$3:$A$100,$A82)&gt;0,FLOOR(MAX(SUM(F82:L82)*24-M82,0),0.5),FLOOR(MAX(SUM(F82:K82)*24-M82,0),0.5))</f>
        <v>0</v>
      </c>
      <c r="Q82" s="9">
        <f>IF(COUNTIF(PARAMETRES_REGIMES!$A$3:$A$100,$A82)&gt;0,0,IF(ISNUMBER(L82),FLOOR(MAX(L82*24,0),0.5),0))</f>
        <v>0</v>
      </c>
      <c r="R82" s="8">
        <f t="shared" si="13"/>
        <v>0</v>
      </c>
      <c r="S82" s="8">
        <f t="shared" si="14"/>
        <v>0</v>
      </c>
      <c r="T82" s="8">
        <f t="shared" si="15"/>
        <v>0</v>
      </c>
      <c r="U82" s="8">
        <f t="shared" si="16"/>
        <v>0</v>
      </c>
      <c r="V82" s="10" t="str">
        <f t="shared" si="17"/>
        <v>OK</v>
      </c>
    </row>
    <row r="83" spans="1:22">
      <c r="A83" s="17">
        <v>199</v>
      </c>
      <c r="B83" s="5" t="s">
        <v>226</v>
      </c>
      <c r="C83" s="5" t="s">
        <v>227</v>
      </c>
      <c r="D83" s="5" t="s">
        <v>31</v>
      </c>
      <c r="E83" s="17" t="s">
        <v>123</v>
      </c>
      <c r="F83" s="6"/>
      <c r="G83" s="7"/>
      <c r="H83" s="7"/>
      <c r="I83" s="7"/>
      <c r="J83" s="7"/>
      <c r="K83" s="7"/>
      <c r="L83" s="7"/>
      <c r="M83" s="8">
        <f>48</f>
        <v>48</v>
      </c>
      <c r="N83" s="8">
        <f t="shared" si="12"/>
        <v>0</v>
      </c>
      <c r="O83" s="8">
        <f>IF(COUNTIF(PARAMETRES_REGIMES!$A$3:$A$100,$A83)&gt;0,MIN(M83,SUM(F83:L83)*24),MIN(M83,SUM(F83:K83)*24))</f>
        <v>0</v>
      </c>
      <c r="P83" s="9">
        <f>IF(COUNTIF(PARAMETRES_REGIMES!$A$3:$A$100,$A83)&gt;0,FLOOR(MAX(SUM(F83:L83)*24-M83,0),0.5),FLOOR(MAX(SUM(F83:K83)*24-M83,0),0.5))</f>
        <v>0</v>
      </c>
      <c r="Q83" s="9">
        <f>IF(COUNTIF(PARAMETRES_REGIMES!$A$3:$A$100,$A83)&gt;0,0,IF(ISNUMBER(L83),FLOOR(MAX(L83*24,0),0.5),0))</f>
        <v>0</v>
      </c>
      <c r="R83" s="8">
        <f t="shared" si="13"/>
        <v>0</v>
      </c>
      <c r="S83" s="8">
        <f t="shared" si="14"/>
        <v>0</v>
      </c>
      <c r="T83" s="8">
        <f t="shared" si="15"/>
        <v>0</v>
      </c>
      <c r="U83" s="8">
        <f t="shared" si="16"/>
        <v>0</v>
      </c>
      <c r="V83" s="10" t="str">
        <f t="shared" si="17"/>
        <v>OK</v>
      </c>
    </row>
    <row r="84" spans="1:22">
      <c r="A84" s="17" t="s">
        <v>228</v>
      </c>
      <c r="B84" s="5" t="s">
        <v>226</v>
      </c>
      <c r="C84" s="5" t="s">
        <v>229</v>
      </c>
      <c r="D84" s="5" t="s">
        <v>31</v>
      </c>
      <c r="E84" s="17" t="s">
        <v>123</v>
      </c>
      <c r="F84" s="6"/>
      <c r="G84" s="7"/>
      <c r="H84" s="7"/>
      <c r="I84" s="7"/>
      <c r="J84" s="7"/>
      <c r="K84" s="7"/>
      <c r="L84" s="7"/>
      <c r="M84" s="8">
        <f>48</f>
        <v>48</v>
      </c>
      <c r="N84" s="8">
        <f t="shared" si="12"/>
        <v>0</v>
      </c>
      <c r="O84" s="8">
        <f>IF(COUNTIF(PARAMETRES_REGIMES!$A$3:$A$100,$A84)&gt;0,MIN(M84,SUM(F84:L84)*24),MIN(M84,SUM(F84:K84)*24))</f>
        <v>0</v>
      </c>
      <c r="P84" s="9">
        <f>IF(COUNTIF(PARAMETRES_REGIMES!$A$3:$A$100,$A84)&gt;0,FLOOR(MAX(SUM(F84:L84)*24-M84,0),0.5),FLOOR(MAX(SUM(F84:K84)*24-M84,0),0.5))</f>
        <v>0</v>
      </c>
      <c r="Q84" s="9">
        <f>IF(COUNTIF(PARAMETRES_REGIMES!$A$3:$A$100,$A84)&gt;0,0,IF(ISNUMBER(L84),FLOOR(MAX(L84*24,0),0.5),0))</f>
        <v>0</v>
      </c>
      <c r="R84" s="8">
        <f t="shared" si="13"/>
        <v>0</v>
      </c>
      <c r="S84" s="8">
        <f t="shared" si="14"/>
        <v>0</v>
      </c>
      <c r="T84" s="8">
        <f t="shared" si="15"/>
        <v>0</v>
      </c>
      <c r="U84" s="8">
        <f t="shared" si="16"/>
        <v>0</v>
      </c>
      <c r="V84" s="10" t="str">
        <f t="shared" si="17"/>
        <v>OK</v>
      </c>
    </row>
    <row r="85" spans="1:22">
      <c r="A85" s="17">
        <v>243</v>
      </c>
      <c r="B85" s="5" t="s">
        <v>230</v>
      </c>
      <c r="C85" s="5" t="s">
        <v>205</v>
      </c>
      <c r="D85" s="5" t="s">
        <v>31</v>
      </c>
      <c r="E85" s="17" t="s">
        <v>123</v>
      </c>
      <c r="F85" s="6"/>
      <c r="G85" s="7"/>
      <c r="H85" s="7"/>
      <c r="I85" s="7"/>
      <c r="J85" s="7"/>
      <c r="K85" s="7"/>
      <c r="L85" s="7"/>
      <c r="M85" s="8">
        <f>48</f>
        <v>48</v>
      </c>
      <c r="N85" s="8">
        <f t="shared" si="12"/>
        <v>0</v>
      </c>
      <c r="O85" s="8">
        <f>IF(COUNTIF(PARAMETRES_REGIMES!$A$3:$A$100,$A85)&gt;0,MIN(M85,SUM(F85:L85)*24),MIN(M85,SUM(F85:K85)*24))</f>
        <v>0</v>
      </c>
      <c r="P85" s="9">
        <f>IF(COUNTIF(PARAMETRES_REGIMES!$A$3:$A$100,$A85)&gt;0,FLOOR(MAX(SUM(F85:L85)*24-M85,0),0.5),FLOOR(MAX(SUM(F85:K85)*24-M85,0),0.5))</f>
        <v>0</v>
      </c>
      <c r="Q85" s="9">
        <f>IF(COUNTIF(PARAMETRES_REGIMES!$A$3:$A$100,$A85)&gt;0,0,IF(ISNUMBER(L85),FLOOR(MAX(L85*24,0),0.5),0))</f>
        <v>0</v>
      </c>
      <c r="R85" s="8">
        <f t="shared" si="13"/>
        <v>0</v>
      </c>
      <c r="S85" s="8">
        <f t="shared" si="14"/>
        <v>0</v>
      </c>
      <c r="T85" s="8">
        <f t="shared" si="15"/>
        <v>0</v>
      </c>
      <c r="U85" s="8">
        <f t="shared" si="16"/>
        <v>0</v>
      </c>
      <c r="V85" s="10" t="str">
        <f t="shared" si="17"/>
        <v>OK</v>
      </c>
    </row>
    <row r="86" spans="1:22">
      <c r="A86" s="17" t="s">
        <v>231</v>
      </c>
      <c r="B86" s="5" t="s">
        <v>232</v>
      </c>
      <c r="C86" s="5" t="s">
        <v>233</v>
      </c>
      <c r="D86" s="5" t="s">
        <v>31</v>
      </c>
      <c r="E86" s="17" t="s">
        <v>123</v>
      </c>
      <c r="F86" s="6"/>
      <c r="G86" s="7"/>
      <c r="H86" s="7"/>
      <c r="I86" s="7"/>
      <c r="J86" s="7"/>
      <c r="K86" s="7"/>
      <c r="L86" s="7"/>
      <c r="M86" s="8">
        <f>48</f>
        <v>48</v>
      </c>
      <c r="N86" s="8">
        <f t="shared" si="12"/>
        <v>0</v>
      </c>
      <c r="O86" s="8">
        <f>IF(COUNTIF(PARAMETRES_REGIMES!$A$3:$A$100,$A86)&gt;0,MIN(M86,SUM(F86:L86)*24),MIN(M86,SUM(F86:K86)*24))</f>
        <v>0</v>
      </c>
      <c r="P86" s="9">
        <f>IF(COUNTIF(PARAMETRES_REGIMES!$A$3:$A$100,$A86)&gt;0,FLOOR(MAX(SUM(F86:L86)*24-M86,0),0.5),FLOOR(MAX(SUM(F86:K86)*24-M86,0),0.5))</f>
        <v>0</v>
      </c>
      <c r="Q86" s="9">
        <f>IF(COUNTIF(PARAMETRES_REGIMES!$A$3:$A$100,$A86)&gt;0,0,IF(ISNUMBER(L86),FLOOR(MAX(L86*24,0),0.5),0))</f>
        <v>0</v>
      </c>
      <c r="R86" s="8">
        <f t="shared" si="13"/>
        <v>0</v>
      </c>
      <c r="S86" s="8">
        <f t="shared" si="14"/>
        <v>0</v>
      </c>
      <c r="T86" s="8">
        <f t="shared" si="15"/>
        <v>0</v>
      </c>
      <c r="U86" s="8">
        <f t="shared" si="16"/>
        <v>0</v>
      </c>
      <c r="V86" s="10" t="str">
        <f t="shared" si="17"/>
        <v>OK</v>
      </c>
    </row>
    <row r="87" spans="1:22">
      <c r="A87" s="17">
        <v>96</v>
      </c>
      <c r="B87" s="5" t="s">
        <v>232</v>
      </c>
      <c r="C87" s="5" t="s">
        <v>234</v>
      </c>
      <c r="D87" s="5" t="s">
        <v>31</v>
      </c>
      <c r="E87" s="17" t="s">
        <v>123</v>
      </c>
      <c r="F87" s="6"/>
      <c r="G87" s="7"/>
      <c r="H87" s="7"/>
      <c r="I87" s="7"/>
      <c r="J87" s="7"/>
      <c r="K87" s="7"/>
      <c r="L87" s="7"/>
      <c r="M87" s="8">
        <f>48</f>
        <v>48</v>
      </c>
      <c r="N87" s="8">
        <f t="shared" si="12"/>
        <v>0</v>
      </c>
      <c r="O87" s="8">
        <f>IF(COUNTIF(PARAMETRES_REGIMES!$A$3:$A$100,$A87)&gt;0,MIN(M87,SUM(F87:L87)*24),MIN(M87,SUM(F87:K87)*24))</f>
        <v>0</v>
      </c>
      <c r="P87" s="9">
        <f>IF(COUNTIF(PARAMETRES_REGIMES!$A$3:$A$100,$A87)&gt;0,FLOOR(MAX(SUM(F87:L87)*24-M87,0),0.5),FLOOR(MAX(SUM(F87:K87)*24-M87,0),0.5))</f>
        <v>0</v>
      </c>
      <c r="Q87" s="9">
        <f>IF(COUNTIF(PARAMETRES_REGIMES!$A$3:$A$100,$A87)&gt;0,0,IF(ISNUMBER(L87),FLOOR(MAX(L87*24,0),0.5),0))</f>
        <v>0</v>
      </c>
      <c r="R87" s="8">
        <f t="shared" si="13"/>
        <v>0</v>
      </c>
      <c r="S87" s="8">
        <f t="shared" si="14"/>
        <v>0</v>
      </c>
      <c r="T87" s="8">
        <f t="shared" si="15"/>
        <v>0</v>
      </c>
      <c r="U87" s="8">
        <f t="shared" si="16"/>
        <v>0</v>
      </c>
      <c r="V87" s="10" t="str">
        <f t="shared" si="17"/>
        <v>OK</v>
      </c>
    </row>
    <row r="88" spans="1:22">
      <c r="A88" s="17" t="s">
        <v>235</v>
      </c>
      <c r="B88" s="5" t="s">
        <v>232</v>
      </c>
      <c r="C88" s="5" t="s">
        <v>236</v>
      </c>
      <c r="D88" s="5" t="s">
        <v>31</v>
      </c>
      <c r="E88" s="17" t="s">
        <v>123</v>
      </c>
      <c r="F88" s="6"/>
      <c r="G88" s="7"/>
      <c r="H88" s="7"/>
      <c r="I88" s="7"/>
      <c r="J88" s="7"/>
      <c r="K88" s="7"/>
      <c r="L88" s="7"/>
      <c r="M88" s="8">
        <f>48</f>
        <v>48</v>
      </c>
      <c r="N88" s="8">
        <f t="shared" si="12"/>
        <v>0</v>
      </c>
      <c r="O88" s="8">
        <f>IF(COUNTIF(PARAMETRES_REGIMES!$A$3:$A$100,$A88)&gt;0,MIN(M88,SUM(F88:L88)*24),MIN(M88,SUM(F88:K88)*24))</f>
        <v>0</v>
      </c>
      <c r="P88" s="9">
        <f>IF(COUNTIF(PARAMETRES_REGIMES!$A$3:$A$100,$A88)&gt;0,FLOOR(MAX(SUM(F88:L88)*24-M88,0),0.5),FLOOR(MAX(SUM(F88:K88)*24-M88,0),0.5))</f>
        <v>0</v>
      </c>
      <c r="Q88" s="9">
        <f>IF(COUNTIF(PARAMETRES_REGIMES!$A$3:$A$100,$A88)&gt;0,0,IF(ISNUMBER(L88),FLOOR(MAX(L88*24,0),0.5),0))</f>
        <v>0</v>
      </c>
      <c r="R88" s="8">
        <f t="shared" si="13"/>
        <v>0</v>
      </c>
      <c r="S88" s="8">
        <f t="shared" si="14"/>
        <v>0</v>
      </c>
      <c r="T88" s="8">
        <f t="shared" si="15"/>
        <v>0</v>
      </c>
      <c r="U88" s="8">
        <f t="shared" si="16"/>
        <v>0</v>
      </c>
      <c r="V88" s="10" t="str">
        <f t="shared" si="17"/>
        <v>OK</v>
      </c>
    </row>
    <row r="89" spans="1:22">
      <c r="A89" s="17" t="s">
        <v>237</v>
      </c>
      <c r="B89" s="5" t="s">
        <v>238</v>
      </c>
      <c r="C89" s="5" t="s">
        <v>239</v>
      </c>
      <c r="D89" s="5" t="s">
        <v>31</v>
      </c>
      <c r="E89" s="17" t="s">
        <v>123</v>
      </c>
      <c r="F89" s="6"/>
      <c r="G89" s="7"/>
      <c r="H89" s="7"/>
      <c r="I89" s="7"/>
      <c r="J89" s="7"/>
      <c r="K89" s="7"/>
      <c r="L89" s="7"/>
      <c r="M89" s="8">
        <f>48</f>
        <v>48</v>
      </c>
      <c r="N89" s="8">
        <f t="shared" si="12"/>
        <v>0</v>
      </c>
      <c r="O89" s="8">
        <f>IF(COUNTIF(PARAMETRES_REGIMES!$A$3:$A$100,$A89)&gt;0,MIN(M89,SUM(F89:L89)*24),MIN(M89,SUM(F89:K89)*24))</f>
        <v>0</v>
      </c>
      <c r="P89" s="9">
        <f>IF(COUNTIF(PARAMETRES_REGIMES!$A$3:$A$100,$A89)&gt;0,FLOOR(MAX(SUM(F89:L89)*24-M89,0),0.5),FLOOR(MAX(SUM(F89:K89)*24-M89,0),0.5))</f>
        <v>0</v>
      </c>
      <c r="Q89" s="9">
        <f>IF(COUNTIF(PARAMETRES_REGIMES!$A$3:$A$100,$A89)&gt;0,0,IF(ISNUMBER(L89),FLOOR(MAX(L89*24,0),0.5),0))</f>
        <v>0</v>
      </c>
      <c r="R89" s="8">
        <f t="shared" si="13"/>
        <v>0</v>
      </c>
      <c r="S89" s="8">
        <f t="shared" si="14"/>
        <v>0</v>
      </c>
      <c r="T89" s="8">
        <f t="shared" si="15"/>
        <v>0</v>
      </c>
      <c r="U89" s="8">
        <f t="shared" si="16"/>
        <v>0</v>
      </c>
      <c r="V89" s="10" t="str">
        <f t="shared" si="17"/>
        <v>OK</v>
      </c>
    </row>
    <row r="90" spans="1:22">
      <c r="A90" s="17" t="s">
        <v>240</v>
      </c>
      <c r="B90" s="5" t="s">
        <v>241</v>
      </c>
      <c r="C90" s="5" t="s">
        <v>242</v>
      </c>
      <c r="D90" s="5" t="s">
        <v>31</v>
      </c>
      <c r="E90" s="17" t="s">
        <v>123</v>
      </c>
      <c r="F90" s="6"/>
      <c r="G90" s="7"/>
      <c r="H90" s="7"/>
      <c r="I90" s="7"/>
      <c r="J90" s="7"/>
      <c r="K90" s="7"/>
      <c r="L90" s="7"/>
      <c r="M90" s="8">
        <f>48</f>
        <v>48</v>
      </c>
      <c r="N90" s="8">
        <f t="shared" si="12"/>
        <v>0</v>
      </c>
      <c r="O90" s="8">
        <f>IF(COUNTIF(PARAMETRES_REGIMES!$A$3:$A$100,$A90)&gt;0,MIN(M90,SUM(F90:L90)*24),MIN(M90,SUM(F90:K90)*24))</f>
        <v>0</v>
      </c>
      <c r="P90" s="9">
        <f>IF(COUNTIF(PARAMETRES_REGIMES!$A$3:$A$100,$A90)&gt;0,FLOOR(MAX(SUM(F90:L90)*24-M90,0),0.5),FLOOR(MAX(SUM(F90:K90)*24-M90,0),0.5))</f>
        <v>0</v>
      </c>
      <c r="Q90" s="9">
        <f>IF(COUNTIF(PARAMETRES_REGIMES!$A$3:$A$100,$A90)&gt;0,0,IF(ISNUMBER(L90),FLOOR(MAX(L90*24,0),0.5),0))</f>
        <v>0</v>
      </c>
      <c r="R90" s="8">
        <f t="shared" si="13"/>
        <v>0</v>
      </c>
      <c r="S90" s="8">
        <f t="shared" si="14"/>
        <v>0</v>
      </c>
      <c r="T90" s="8">
        <f t="shared" si="15"/>
        <v>0</v>
      </c>
      <c r="U90" s="8">
        <f t="shared" si="16"/>
        <v>0</v>
      </c>
      <c r="V90" s="10" t="str">
        <f t="shared" si="17"/>
        <v>OK</v>
      </c>
    </row>
    <row r="91" spans="1:22">
      <c r="A91" s="17" t="s">
        <v>243</v>
      </c>
      <c r="B91" s="5" t="s">
        <v>244</v>
      </c>
      <c r="C91" s="5" t="s">
        <v>245</v>
      </c>
      <c r="D91" s="5" t="s">
        <v>31</v>
      </c>
      <c r="E91" s="17" t="s">
        <v>123</v>
      </c>
      <c r="F91" s="6"/>
      <c r="G91" s="7"/>
      <c r="H91" s="7"/>
      <c r="I91" s="7"/>
      <c r="J91" s="7"/>
      <c r="K91" s="7"/>
      <c r="L91" s="7"/>
      <c r="M91" s="8">
        <f>48</f>
        <v>48</v>
      </c>
      <c r="N91" s="8">
        <f t="shared" si="12"/>
        <v>0</v>
      </c>
      <c r="O91" s="8">
        <f>IF(COUNTIF(PARAMETRES_REGIMES!$A$3:$A$100,$A91)&gt;0,MIN(M91,SUM(F91:L91)*24),MIN(M91,SUM(F91:K91)*24))</f>
        <v>0</v>
      </c>
      <c r="P91" s="9">
        <f>IF(COUNTIF(PARAMETRES_REGIMES!$A$3:$A$100,$A91)&gt;0,FLOOR(MAX(SUM(F91:L91)*24-M91,0),0.5),FLOOR(MAX(SUM(F91:K91)*24-M91,0),0.5))</f>
        <v>0</v>
      </c>
      <c r="Q91" s="9">
        <f>IF(COUNTIF(PARAMETRES_REGIMES!$A$3:$A$100,$A91)&gt;0,0,IF(ISNUMBER(L91),FLOOR(MAX(L91*24,0),0.5),0))</f>
        <v>0</v>
      </c>
      <c r="R91" s="8">
        <f t="shared" si="13"/>
        <v>0</v>
      </c>
      <c r="S91" s="8">
        <f t="shared" si="14"/>
        <v>0</v>
      </c>
      <c r="T91" s="8">
        <f t="shared" si="15"/>
        <v>0</v>
      </c>
      <c r="U91" s="8">
        <f t="shared" si="16"/>
        <v>0</v>
      </c>
      <c r="V91" s="10" t="str">
        <f t="shared" si="17"/>
        <v>OK</v>
      </c>
    </row>
    <row r="92" spans="1:22">
      <c r="A92" s="17" t="s">
        <v>246</v>
      </c>
      <c r="B92" s="5" t="s">
        <v>247</v>
      </c>
      <c r="C92" s="5" t="s">
        <v>248</v>
      </c>
      <c r="D92" s="5" t="s">
        <v>31</v>
      </c>
      <c r="E92" s="17" t="s">
        <v>123</v>
      </c>
      <c r="F92" s="6"/>
      <c r="G92" s="7"/>
      <c r="H92" s="7"/>
      <c r="I92" s="7"/>
      <c r="J92" s="7"/>
      <c r="K92" s="7"/>
      <c r="L92" s="7"/>
      <c r="M92" s="8">
        <f>48</f>
        <v>48</v>
      </c>
      <c r="N92" s="8">
        <f t="shared" si="12"/>
        <v>0</v>
      </c>
      <c r="O92" s="8">
        <f>IF(COUNTIF(PARAMETRES_REGIMES!$A$3:$A$100,$A92)&gt;0,MIN(M92,SUM(F92:L92)*24),MIN(M92,SUM(F92:K92)*24))</f>
        <v>0</v>
      </c>
      <c r="P92" s="9">
        <f>IF(COUNTIF(PARAMETRES_REGIMES!$A$3:$A$100,$A92)&gt;0,FLOOR(MAX(SUM(F92:L92)*24-M92,0),0.5),FLOOR(MAX(SUM(F92:K92)*24-M92,0),0.5))</f>
        <v>0</v>
      </c>
      <c r="Q92" s="9">
        <f>IF(COUNTIF(PARAMETRES_REGIMES!$A$3:$A$100,$A92)&gt;0,0,IF(ISNUMBER(L92),FLOOR(MAX(L92*24,0),0.5),0))</f>
        <v>0</v>
      </c>
      <c r="R92" s="8">
        <f t="shared" si="13"/>
        <v>0</v>
      </c>
      <c r="S92" s="8">
        <f t="shared" si="14"/>
        <v>0</v>
      </c>
      <c r="T92" s="8">
        <f t="shared" si="15"/>
        <v>0</v>
      </c>
      <c r="U92" s="8">
        <f t="shared" si="16"/>
        <v>0</v>
      </c>
      <c r="V92" s="10" t="str">
        <f t="shared" si="17"/>
        <v>OK</v>
      </c>
    </row>
    <row r="93" spans="1:22">
      <c r="A93" s="17" t="s">
        <v>249</v>
      </c>
      <c r="B93" s="5" t="s">
        <v>250</v>
      </c>
      <c r="C93" s="5" t="s">
        <v>251</v>
      </c>
      <c r="D93" s="5" t="s">
        <v>31</v>
      </c>
      <c r="E93" s="17" t="s">
        <v>123</v>
      </c>
      <c r="F93" s="6"/>
      <c r="G93" s="7"/>
      <c r="H93" s="7"/>
      <c r="I93" s="7"/>
      <c r="J93" s="7"/>
      <c r="K93" s="7"/>
      <c r="L93" s="7"/>
      <c r="M93" s="8">
        <f>48</f>
        <v>48</v>
      </c>
      <c r="N93" s="8">
        <f t="shared" si="12"/>
        <v>0</v>
      </c>
      <c r="O93" s="8">
        <f>IF(COUNTIF(PARAMETRES_REGIMES!$A$3:$A$100,$A93)&gt;0,MIN(M93,SUM(F93:L93)*24),MIN(M93,SUM(F93:K93)*24))</f>
        <v>0</v>
      </c>
      <c r="P93" s="9">
        <f>IF(COUNTIF(PARAMETRES_REGIMES!$A$3:$A$100,$A93)&gt;0,FLOOR(MAX(SUM(F93:L93)*24-M93,0),0.5),FLOOR(MAX(SUM(F93:K93)*24-M93,0),0.5))</f>
        <v>0</v>
      </c>
      <c r="Q93" s="9">
        <f>IF(COUNTIF(PARAMETRES_REGIMES!$A$3:$A$100,$A93)&gt;0,0,IF(ISNUMBER(L93),FLOOR(MAX(L93*24,0),0.5),0))</f>
        <v>0</v>
      </c>
      <c r="R93" s="8">
        <f t="shared" si="13"/>
        <v>0</v>
      </c>
      <c r="S93" s="8">
        <f t="shared" si="14"/>
        <v>0</v>
      </c>
      <c r="T93" s="8">
        <f t="shared" si="15"/>
        <v>0</v>
      </c>
      <c r="U93" s="8">
        <f t="shared" si="16"/>
        <v>0</v>
      </c>
      <c r="V93" s="10" t="str">
        <f t="shared" si="17"/>
        <v>OK</v>
      </c>
    </row>
    <row r="94" spans="1:22">
      <c r="A94" s="17" t="s">
        <v>252</v>
      </c>
      <c r="B94" s="5" t="s">
        <v>253</v>
      </c>
      <c r="C94" s="5" t="s">
        <v>254</v>
      </c>
      <c r="D94" s="5" t="s">
        <v>31</v>
      </c>
      <c r="E94" s="17" t="s">
        <v>123</v>
      </c>
      <c r="F94" s="6"/>
      <c r="G94" s="7"/>
      <c r="H94" s="7"/>
      <c r="I94" s="7"/>
      <c r="J94" s="7"/>
      <c r="K94" s="7"/>
      <c r="L94" s="7"/>
      <c r="M94" s="8">
        <f>48</f>
        <v>48</v>
      </c>
      <c r="N94" s="8">
        <f t="shared" si="12"/>
        <v>0</v>
      </c>
      <c r="O94" s="8">
        <f>IF(COUNTIF(PARAMETRES_REGIMES!$A$3:$A$100,$A94)&gt;0,MIN(M94,SUM(F94:L94)*24),MIN(M94,SUM(F94:K94)*24))</f>
        <v>0</v>
      </c>
      <c r="P94" s="9">
        <f>IF(COUNTIF(PARAMETRES_REGIMES!$A$3:$A$100,$A94)&gt;0,FLOOR(MAX(SUM(F94:L94)*24-M94,0),0.5),FLOOR(MAX(SUM(F94:K94)*24-M94,0),0.5))</f>
        <v>0</v>
      </c>
      <c r="Q94" s="9">
        <f>IF(COUNTIF(PARAMETRES_REGIMES!$A$3:$A$100,$A94)&gt;0,0,IF(ISNUMBER(L94),FLOOR(MAX(L94*24,0),0.5),0))</f>
        <v>0</v>
      </c>
      <c r="R94" s="8">
        <f t="shared" si="13"/>
        <v>0</v>
      </c>
      <c r="S94" s="8">
        <f t="shared" si="14"/>
        <v>0</v>
      </c>
      <c r="T94" s="8">
        <f t="shared" si="15"/>
        <v>0</v>
      </c>
      <c r="U94" s="8">
        <f t="shared" si="16"/>
        <v>0</v>
      </c>
      <c r="V94" s="10" t="str">
        <f t="shared" si="17"/>
        <v>OK</v>
      </c>
    </row>
    <row r="95" spans="1:22">
      <c r="A95" s="17" t="s">
        <v>255</v>
      </c>
      <c r="B95" s="5" t="s">
        <v>256</v>
      </c>
      <c r="C95" s="5" t="s">
        <v>257</v>
      </c>
      <c r="D95" s="5" t="s">
        <v>31</v>
      </c>
      <c r="E95" s="17" t="s">
        <v>123</v>
      </c>
      <c r="F95" s="6"/>
      <c r="G95" s="7"/>
      <c r="H95" s="7"/>
      <c r="I95" s="7"/>
      <c r="J95" s="7"/>
      <c r="K95" s="7"/>
      <c r="L95" s="7"/>
      <c r="M95" s="8">
        <f>48</f>
        <v>48</v>
      </c>
      <c r="N95" s="8">
        <f t="shared" si="12"/>
        <v>0</v>
      </c>
      <c r="O95" s="8">
        <f>IF(COUNTIF(PARAMETRES_REGIMES!$A$3:$A$100,$A95)&gt;0,MIN(M95,SUM(F95:L95)*24),MIN(M95,SUM(F95:K95)*24))</f>
        <v>0</v>
      </c>
      <c r="P95" s="9">
        <f>IF(COUNTIF(PARAMETRES_REGIMES!$A$3:$A$100,$A95)&gt;0,FLOOR(MAX(SUM(F95:L95)*24-M95,0),0.5),FLOOR(MAX(SUM(F95:K95)*24-M95,0),0.5))</f>
        <v>0</v>
      </c>
      <c r="Q95" s="9">
        <f>IF(COUNTIF(PARAMETRES_REGIMES!$A$3:$A$100,$A95)&gt;0,0,IF(ISNUMBER(L95),FLOOR(MAX(L95*24,0),0.5),0))</f>
        <v>0</v>
      </c>
      <c r="R95" s="8">
        <f t="shared" si="13"/>
        <v>0</v>
      </c>
      <c r="S95" s="8">
        <f t="shared" si="14"/>
        <v>0</v>
      </c>
      <c r="T95" s="8">
        <f t="shared" si="15"/>
        <v>0</v>
      </c>
      <c r="U95" s="8">
        <f t="shared" si="16"/>
        <v>0</v>
      </c>
      <c r="V95" s="10" t="str">
        <f t="shared" si="17"/>
        <v>OK</v>
      </c>
    </row>
    <row r="96" spans="1:22">
      <c r="A96" s="17">
        <v>247</v>
      </c>
      <c r="B96" s="5" t="s">
        <v>258</v>
      </c>
      <c r="C96" s="5" t="s">
        <v>259</v>
      </c>
      <c r="D96" s="5" t="s">
        <v>31</v>
      </c>
      <c r="E96" s="17" t="s">
        <v>123</v>
      </c>
      <c r="F96" s="6"/>
      <c r="G96" s="7"/>
      <c r="H96" s="7"/>
      <c r="I96" s="7"/>
      <c r="J96" s="7"/>
      <c r="K96" s="7"/>
      <c r="L96" s="7"/>
      <c r="M96" s="8">
        <f>48</f>
        <v>48</v>
      </c>
      <c r="N96" s="8">
        <f t="shared" si="12"/>
        <v>0</v>
      </c>
      <c r="O96" s="8">
        <f>IF(COUNTIF(PARAMETRES_REGIMES!$A$3:$A$100,$A96)&gt;0,MIN(M96,SUM(F96:L96)*24),MIN(M96,SUM(F96:K96)*24))</f>
        <v>0</v>
      </c>
      <c r="P96" s="9">
        <f>IF(COUNTIF(PARAMETRES_REGIMES!$A$3:$A$100,$A96)&gt;0,FLOOR(MAX(SUM(F96:L96)*24-M96,0),0.5),FLOOR(MAX(SUM(F96:K96)*24-M96,0),0.5))</f>
        <v>0</v>
      </c>
      <c r="Q96" s="9">
        <f>IF(COUNTIF(PARAMETRES_REGIMES!$A$3:$A$100,$A96)&gt;0,0,IF(ISNUMBER(L96),FLOOR(MAX(L96*24,0),0.5),0))</f>
        <v>0</v>
      </c>
      <c r="R96" s="8">
        <f t="shared" si="13"/>
        <v>0</v>
      </c>
      <c r="S96" s="8">
        <f t="shared" si="14"/>
        <v>0</v>
      </c>
      <c r="T96" s="8">
        <f t="shared" si="15"/>
        <v>0</v>
      </c>
      <c r="U96" s="8">
        <f t="shared" si="16"/>
        <v>0</v>
      </c>
      <c r="V96" s="10" t="str">
        <f t="shared" si="17"/>
        <v>OK</v>
      </c>
    </row>
    <row r="97" spans="1:22">
      <c r="A97" s="17" t="s">
        <v>260</v>
      </c>
      <c r="B97" s="5" t="s">
        <v>261</v>
      </c>
      <c r="C97" s="5" t="s">
        <v>188</v>
      </c>
      <c r="D97" s="5" t="s">
        <v>31</v>
      </c>
      <c r="E97" s="17" t="s">
        <v>123</v>
      </c>
      <c r="F97" s="6"/>
      <c r="G97" s="7"/>
      <c r="H97" s="7"/>
      <c r="I97" s="7"/>
      <c r="J97" s="7"/>
      <c r="K97" s="7"/>
      <c r="L97" s="7"/>
      <c r="M97" s="8">
        <f>48</f>
        <v>48</v>
      </c>
      <c r="N97" s="8">
        <f t="shared" si="12"/>
        <v>0</v>
      </c>
      <c r="O97" s="8">
        <f>IF(COUNTIF(PARAMETRES_REGIMES!$A$3:$A$100,$A97)&gt;0,MIN(M97,SUM(F97:L97)*24),MIN(M97,SUM(F97:K97)*24))</f>
        <v>0</v>
      </c>
      <c r="P97" s="9">
        <f>IF(COUNTIF(PARAMETRES_REGIMES!$A$3:$A$100,$A97)&gt;0,FLOOR(MAX(SUM(F97:L97)*24-M97,0),0.5),FLOOR(MAX(SUM(F97:K97)*24-M97,0),0.5))</f>
        <v>0</v>
      </c>
      <c r="Q97" s="9">
        <f>IF(COUNTIF(PARAMETRES_REGIMES!$A$3:$A$100,$A97)&gt;0,0,IF(ISNUMBER(L97),FLOOR(MAX(L97*24,0),0.5),0))</f>
        <v>0</v>
      </c>
      <c r="R97" s="8">
        <f t="shared" si="13"/>
        <v>0</v>
      </c>
      <c r="S97" s="8">
        <f t="shared" si="14"/>
        <v>0</v>
      </c>
      <c r="T97" s="8">
        <f t="shared" si="15"/>
        <v>0</v>
      </c>
      <c r="U97" s="8">
        <f t="shared" si="16"/>
        <v>0</v>
      </c>
      <c r="V97" s="10" t="str">
        <f t="shared" si="17"/>
        <v>OK</v>
      </c>
    </row>
    <row r="98" spans="1:22">
      <c r="A98" s="17">
        <v>242</v>
      </c>
      <c r="B98" s="5" t="s">
        <v>262</v>
      </c>
      <c r="C98" s="5" t="s">
        <v>263</v>
      </c>
      <c r="D98" s="5" t="s">
        <v>31</v>
      </c>
      <c r="E98" s="17" t="s">
        <v>123</v>
      </c>
      <c r="F98" s="6"/>
      <c r="G98" s="7"/>
      <c r="H98" s="7"/>
      <c r="I98" s="7"/>
      <c r="J98" s="7"/>
      <c r="K98" s="7"/>
      <c r="L98" s="7"/>
      <c r="M98" s="8">
        <f>48</f>
        <v>48</v>
      </c>
      <c r="N98" s="8">
        <f t="shared" si="12"/>
        <v>0</v>
      </c>
      <c r="O98" s="8">
        <f>IF(COUNTIF(PARAMETRES_REGIMES!$A$3:$A$100,$A98)&gt;0,MIN(M98,SUM(F98:L98)*24),MIN(M98,SUM(F98:K98)*24))</f>
        <v>0</v>
      </c>
      <c r="P98" s="9">
        <f>IF(COUNTIF(PARAMETRES_REGIMES!$A$3:$A$100,$A98)&gt;0,FLOOR(MAX(SUM(F98:L98)*24-M98,0),0.5),FLOOR(MAX(SUM(F98:K98)*24-M98,0),0.5))</f>
        <v>0</v>
      </c>
      <c r="Q98" s="9">
        <f>IF(COUNTIF(PARAMETRES_REGIMES!$A$3:$A$100,$A98)&gt;0,0,IF(ISNUMBER(L98),FLOOR(MAX(L98*24,0),0.5),0))</f>
        <v>0</v>
      </c>
      <c r="R98" s="8">
        <f t="shared" si="13"/>
        <v>0</v>
      </c>
      <c r="S98" s="8">
        <f t="shared" si="14"/>
        <v>0</v>
      </c>
      <c r="T98" s="8">
        <f t="shared" si="15"/>
        <v>0</v>
      </c>
      <c r="U98" s="8">
        <f t="shared" si="16"/>
        <v>0</v>
      </c>
      <c r="V98" s="10" t="str">
        <f t="shared" si="17"/>
        <v>OK</v>
      </c>
    </row>
    <row r="99" spans="1:22">
      <c r="A99" s="17">
        <v>94</v>
      </c>
      <c r="B99" s="5" t="s">
        <v>264</v>
      </c>
      <c r="C99" s="5" t="s">
        <v>265</v>
      </c>
      <c r="D99" s="5" t="s">
        <v>31</v>
      </c>
      <c r="E99" s="17" t="s">
        <v>123</v>
      </c>
      <c r="F99" s="6"/>
      <c r="G99" s="7"/>
      <c r="H99" s="7"/>
      <c r="I99" s="7"/>
      <c r="J99" s="7"/>
      <c r="K99" s="7"/>
      <c r="L99" s="7"/>
      <c r="M99" s="8">
        <f>48</f>
        <v>48</v>
      </c>
      <c r="N99" s="8">
        <f t="shared" ref="N99:N113" si="18">SUM(F99:L99)*24</f>
        <v>0</v>
      </c>
      <c r="O99" s="8">
        <f>IF(COUNTIF(PARAMETRES_REGIMES!$A$3:$A$100,$A99)&gt;0,MIN(M99,SUM(F99:L99)*24),MIN(M99,SUM(F99:K99)*24))</f>
        <v>0</v>
      </c>
      <c r="P99" s="9">
        <f>IF(COUNTIF(PARAMETRES_REGIMES!$A$3:$A$100,$A99)&gt;0,FLOOR(MAX(SUM(F99:L99)*24-M99,0),0.5),FLOOR(MAX(SUM(F99:K99)*24-M99,0),0.5))</f>
        <v>0</v>
      </c>
      <c r="Q99" s="9">
        <f>IF(COUNTIF(PARAMETRES_REGIMES!$A$3:$A$100,$A99)&gt;0,0,IF(ISNUMBER(L99),FLOOR(MAX(L99*24,0),0.5),0))</f>
        <v>0</v>
      </c>
      <c r="R99" s="8">
        <f t="shared" ref="R99:R113" si="19">COUNTIF(F99:L99,"ABS")</f>
        <v>0</v>
      </c>
      <c r="S99" s="8">
        <f t="shared" ref="S99:S113" si="20">COUNTIF(F99:L99,"Congé")</f>
        <v>0</v>
      </c>
      <c r="T99" s="8">
        <f t="shared" ref="T99:T113" si="21">COUNTIF(F99:L99,"Férié")</f>
        <v>0</v>
      </c>
      <c r="U99" s="8">
        <f t="shared" ref="U99:U113" si="22">O99+P99+Q99+(T99*8.5)</f>
        <v>0</v>
      </c>
      <c r="V99" s="10" t="str">
        <f t="shared" ref="V99:V113" si="23">IF(COUNTIF(F99:L99,"STC")&gt;0,"STC",IF(COUNTIF(F99:L99,"*!*")&gt;0,"À vérifier","OK"))</f>
        <v>OK</v>
      </c>
    </row>
    <row r="100" spans="1:22">
      <c r="A100" s="17" t="s">
        <v>266</v>
      </c>
      <c r="B100" s="5" t="s">
        <v>267</v>
      </c>
      <c r="C100" s="5" t="s">
        <v>63</v>
      </c>
      <c r="D100" s="5" t="s">
        <v>31</v>
      </c>
      <c r="E100" s="17" t="s">
        <v>123</v>
      </c>
      <c r="F100" s="6"/>
      <c r="G100" s="7"/>
      <c r="H100" s="7"/>
      <c r="I100" s="7"/>
      <c r="J100" s="7"/>
      <c r="K100" s="7"/>
      <c r="L100" s="7"/>
      <c r="M100" s="8">
        <f>48</f>
        <v>48</v>
      </c>
      <c r="N100" s="8">
        <f t="shared" si="18"/>
        <v>0</v>
      </c>
      <c r="O100" s="8">
        <f>IF(COUNTIF(PARAMETRES_REGIMES!$A$3:$A$100,$A100)&gt;0,MIN(M100,SUM(F100:L100)*24),MIN(M100,SUM(F100:K100)*24))</f>
        <v>0</v>
      </c>
      <c r="P100" s="9">
        <f>IF(COUNTIF(PARAMETRES_REGIMES!$A$3:$A$100,$A100)&gt;0,FLOOR(MAX(SUM(F100:L100)*24-M100,0),0.5),FLOOR(MAX(SUM(F100:K100)*24-M100,0),0.5))</f>
        <v>0</v>
      </c>
      <c r="Q100" s="9">
        <f>IF(COUNTIF(PARAMETRES_REGIMES!$A$3:$A$100,$A100)&gt;0,0,IF(ISNUMBER(L100),FLOOR(MAX(L100*24,0),0.5),0))</f>
        <v>0</v>
      </c>
      <c r="R100" s="8">
        <f t="shared" si="19"/>
        <v>0</v>
      </c>
      <c r="S100" s="8">
        <f t="shared" si="20"/>
        <v>0</v>
      </c>
      <c r="T100" s="8">
        <f t="shared" si="21"/>
        <v>0</v>
      </c>
      <c r="U100" s="8">
        <f t="shared" si="22"/>
        <v>0</v>
      </c>
      <c r="V100" s="10" t="str">
        <f t="shared" si="23"/>
        <v>OK</v>
      </c>
    </row>
    <row r="101" spans="1:22">
      <c r="A101" s="17" t="s">
        <v>268</v>
      </c>
      <c r="B101" s="5" t="s">
        <v>269</v>
      </c>
      <c r="C101" s="5" t="s">
        <v>270</v>
      </c>
      <c r="D101" s="5" t="s">
        <v>31</v>
      </c>
      <c r="E101" s="17" t="s">
        <v>123</v>
      </c>
      <c r="F101" s="6"/>
      <c r="G101" s="7"/>
      <c r="H101" s="7"/>
      <c r="I101" s="7"/>
      <c r="J101" s="7"/>
      <c r="K101" s="7"/>
      <c r="L101" s="7"/>
      <c r="M101" s="8">
        <f>48</f>
        <v>48</v>
      </c>
      <c r="N101" s="8">
        <f t="shared" si="18"/>
        <v>0</v>
      </c>
      <c r="O101" s="8">
        <f>IF(COUNTIF(PARAMETRES_REGIMES!$A$3:$A$100,$A101)&gt;0,MIN(M101,SUM(F101:L101)*24),MIN(M101,SUM(F101:K101)*24))</f>
        <v>0</v>
      </c>
      <c r="P101" s="9">
        <f>IF(COUNTIF(PARAMETRES_REGIMES!$A$3:$A$100,$A101)&gt;0,FLOOR(MAX(SUM(F101:L101)*24-M101,0),0.5),FLOOR(MAX(SUM(F101:K101)*24-M101,0),0.5))</f>
        <v>0</v>
      </c>
      <c r="Q101" s="9">
        <f>IF(COUNTIF(PARAMETRES_REGIMES!$A$3:$A$100,$A101)&gt;0,0,IF(ISNUMBER(L101),FLOOR(MAX(L101*24,0),0.5),0))</f>
        <v>0</v>
      </c>
      <c r="R101" s="8">
        <f t="shared" si="19"/>
        <v>0</v>
      </c>
      <c r="S101" s="8">
        <f t="shared" si="20"/>
        <v>0</v>
      </c>
      <c r="T101" s="8">
        <f t="shared" si="21"/>
        <v>0</v>
      </c>
      <c r="U101" s="8">
        <f t="shared" si="22"/>
        <v>0</v>
      </c>
      <c r="V101" s="10" t="str">
        <f t="shared" si="23"/>
        <v>OK</v>
      </c>
    </row>
    <row r="102" spans="1:22">
      <c r="A102" s="17" t="s">
        <v>271</v>
      </c>
      <c r="B102" s="5" t="s">
        <v>272</v>
      </c>
      <c r="C102" s="5" t="s">
        <v>273</v>
      </c>
      <c r="D102" s="5" t="s">
        <v>31</v>
      </c>
      <c r="E102" s="17" t="s">
        <v>123</v>
      </c>
      <c r="F102" s="6"/>
      <c r="G102" s="7"/>
      <c r="H102" s="7"/>
      <c r="I102" s="7"/>
      <c r="J102" s="7"/>
      <c r="K102" s="7"/>
      <c r="L102" s="7"/>
      <c r="M102" s="8">
        <f>48</f>
        <v>48</v>
      </c>
      <c r="N102" s="8">
        <f t="shared" si="18"/>
        <v>0</v>
      </c>
      <c r="O102" s="8">
        <f>IF(COUNTIF(PARAMETRES_REGIMES!$A$3:$A$100,$A102)&gt;0,MIN(M102,SUM(F102:L102)*24),MIN(M102,SUM(F102:K102)*24))</f>
        <v>0</v>
      </c>
      <c r="P102" s="9">
        <f>IF(COUNTIF(PARAMETRES_REGIMES!$A$3:$A$100,$A102)&gt;0,FLOOR(MAX(SUM(F102:L102)*24-M102,0),0.5),FLOOR(MAX(SUM(F102:K102)*24-M102,0),0.5))</f>
        <v>0</v>
      </c>
      <c r="Q102" s="9">
        <f>IF(COUNTIF(PARAMETRES_REGIMES!$A$3:$A$100,$A102)&gt;0,0,IF(ISNUMBER(L102),FLOOR(MAX(L102*24,0),0.5),0))</f>
        <v>0</v>
      </c>
      <c r="R102" s="8">
        <f t="shared" si="19"/>
        <v>0</v>
      </c>
      <c r="S102" s="8">
        <f t="shared" si="20"/>
        <v>0</v>
      </c>
      <c r="T102" s="8">
        <f t="shared" si="21"/>
        <v>0</v>
      </c>
      <c r="U102" s="8">
        <f t="shared" si="22"/>
        <v>0</v>
      </c>
      <c r="V102" s="10" t="str">
        <f t="shared" si="23"/>
        <v>OK</v>
      </c>
    </row>
    <row r="103" spans="1:22">
      <c r="A103" s="17" t="s">
        <v>274</v>
      </c>
      <c r="B103" s="5" t="s">
        <v>272</v>
      </c>
      <c r="C103" s="5" t="s">
        <v>275</v>
      </c>
      <c r="D103" s="5" t="s">
        <v>31</v>
      </c>
      <c r="E103" s="17" t="s">
        <v>123</v>
      </c>
      <c r="F103" s="6"/>
      <c r="G103" s="7"/>
      <c r="H103" s="7"/>
      <c r="I103" s="7"/>
      <c r="J103" s="7"/>
      <c r="K103" s="7"/>
      <c r="L103" s="7"/>
      <c r="M103" s="8">
        <f>48</f>
        <v>48</v>
      </c>
      <c r="N103" s="8">
        <f t="shared" si="18"/>
        <v>0</v>
      </c>
      <c r="O103" s="8">
        <f>IF(COUNTIF(PARAMETRES_REGIMES!$A$3:$A$100,$A103)&gt;0,MIN(M103,SUM(F103:L103)*24),MIN(M103,SUM(F103:K103)*24))</f>
        <v>0</v>
      </c>
      <c r="P103" s="9">
        <f>IF(COUNTIF(PARAMETRES_REGIMES!$A$3:$A$100,$A103)&gt;0,FLOOR(MAX(SUM(F103:L103)*24-M103,0),0.5),FLOOR(MAX(SUM(F103:K103)*24-M103,0),0.5))</f>
        <v>0</v>
      </c>
      <c r="Q103" s="9">
        <f>IF(COUNTIF(PARAMETRES_REGIMES!$A$3:$A$100,$A103)&gt;0,0,IF(ISNUMBER(L103),FLOOR(MAX(L103*24,0),0.5),0))</f>
        <v>0</v>
      </c>
      <c r="R103" s="8">
        <f t="shared" si="19"/>
        <v>0</v>
      </c>
      <c r="S103" s="8">
        <f t="shared" si="20"/>
        <v>0</v>
      </c>
      <c r="T103" s="8">
        <f t="shared" si="21"/>
        <v>0</v>
      </c>
      <c r="U103" s="8">
        <f t="shared" si="22"/>
        <v>0</v>
      </c>
      <c r="V103" s="10" t="str">
        <f t="shared" si="23"/>
        <v>OK</v>
      </c>
    </row>
    <row r="104" spans="1:22">
      <c r="A104" s="17" t="s">
        <v>276</v>
      </c>
      <c r="B104" s="5" t="s">
        <v>277</v>
      </c>
      <c r="C104" s="5" t="s">
        <v>278</v>
      </c>
      <c r="D104" s="5" t="s">
        <v>31</v>
      </c>
      <c r="E104" s="17" t="s">
        <v>123</v>
      </c>
      <c r="F104" s="6"/>
      <c r="G104" s="7"/>
      <c r="H104" s="7"/>
      <c r="I104" s="7"/>
      <c r="J104" s="7"/>
      <c r="K104" s="7"/>
      <c r="L104" s="7"/>
      <c r="M104" s="8">
        <f>48</f>
        <v>48</v>
      </c>
      <c r="N104" s="8">
        <f t="shared" si="18"/>
        <v>0</v>
      </c>
      <c r="O104" s="8">
        <f>IF(COUNTIF(PARAMETRES_REGIMES!$A$3:$A$100,$A104)&gt;0,MIN(M104,SUM(F104:L104)*24),MIN(M104,SUM(F104:K104)*24))</f>
        <v>0</v>
      </c>
      <c r="P104" s="9">
        <f>IF(COUNTIF(PARAMETRES_REGIMES!$A$3:$A$100,$A104)&gt;0,FLOOR(MAX(SUM(F104:L104)*24-M104,0),0.5),FLOOR(MAX(SUM(F104:K104)*24-M104,0),0.5))</f>
        <v>0</v>
      </c>
      <c r="Q104" s="9">
        <f>IF(COUNTIF(PARAMETRES_REGIMES!$A$3:$A$100,$A104)&gt;0,0,IF(ISNUMBER(L104),FLOOR(MAX(L104*24,0),0.5),0))</f>
        <v>0</v>
      </c>
      <c r="R104" s="8">
        <f t="shared" si="19"/>
        <v>0</v>
      </c>
      <c r="S104" s="8">
        <f t="shared" si="20"/>
        <v>0</v>
      </c>
      <c r="T104" s="8">
        <f t="shared" si="21"/>
        <v>0</v>
      </c>
      <c r="U104" s="8">
        <f t="shared" si="22"/>
        <v>0</v>
      </c>
      <c r="V104" s="10" t="str">
        <f t="shared" si="23"/>
        <v>OK</v>
      </c>
    </row>
    <row r="105" spans="1:22">
      <c r="A105" s="17">
        <v>215</v>
      </c>
      <c r="B105" s="5" t="s">
        <v>279</v>
      </c>
      <c r="C105" s="5" t="s">
        <v>280</v>
      </c>
      <c r="D105" s="5" t="s">
        <v>31</v>
      </c>
      <c r="E105" s="17" t="s">
        <v>123</v>
      </c>
      <c r="F105" s="6"/>
      <c r="G105" s="7"/>
      <c r="H105" s="7"/>
      <c r="I105" s="7"/>
      <c r="J105" s="7"/>
      <c r="K105" s="7"/>
      <c r="L105" s="7"/>
      <c r="M105" s="8">
        <f>48</f>
        <v>48</v>
      </c>
      <c r="N105" s="8">
        <f t="shared" si="18"/>
        <v>0</v>
      </c>
      <c r="O105" s="8">
        <f>IF(COUNTIF(PARAMETRES_REGIMES!$A$3:$A$100,$A105)&gt;0,MIN(M105,SUM(F105:L105)*24),MIN(M105,SUM(F105:K105)*24))</f>
        <v>0</v>
      </c>
      <c r="P105" s="9">
        <f>IF(COUNTIF(PARAMETRES_REGIMES!$A$3:$A$100,$A105)&gt;0,FLOOR(MAX(SUM(F105:L105)*24-M105,0),0.5),FLOOR(MAX(SUM(F105:K105)*24-M105,0),0.5))</f>
        <v>0</v>
      </c>
      <c r="Q105" s="9">
        <f>IF(COUNTIF(PARAMETRES_REGIMES!$A$3:$A$100,$A105)&gt;0,0,IF(ISNUMBER(L105),FLOOR(MAX(L105*24,0),0.5),0))</f>
        <v>0</v>
      </c>
      <c r="R105" s="8">
        <f t="shared" si="19"/>
        <v>0</v>
      </c>
      <c r="S105" s="8">
        <f t="shared" si="20"/>
        <v>0</v>
      </c>
      <c r="T105" s="8">
        <f t="shared" si="21"/>
        <v>0</v>
      </c>
      <c r="U105" s="8">
        <f t="shared" si="22"/>
        <v>0</v>
      </c>
      <c r="V105" s="10" t="str">
        <f t="shared" si="23"/>
        <v>OK</v>
      </c>
    </row>
    <row r="106" spans="1:22">
      <c r="A106" s="17">
        <v>204</v>
      </c>
      <c r="B106" s="5" t="s">
        <v>281</v>
      </c>
      <c r="C106" s="5" t="s">
        <v>282</v>
      </c>
      <c r="D106" s="5" t="s">
        <v>31</v>
      </c>
      <c r="E106" s="17" t="s">
        <v>123</v>
      </c>
      <c r="F106" s="6"/>
      <c r="G106" s="7"/>
      <c r="H106" s="7"/>
      <c r="I106" s="7"/>
      <c r="J106" s="7"/>
      <c r="K106" s="7"/>
      <c r="L106" s="7"/>
      <c r="M106" s="8">
        <f>48</f>
        <v>48</v>
      </c>
      <c r="N106" s="8">
        <f t="shared" si="18"/>
        <v>0</v>
      </c>
      <c r="O106" s="8">
        <f>IF(COUNTIF(PARAMETRES_REGIMES!$A$3:$A$100,$A106)&gt;0,MIN(M106,SUM(F106:L106)*24),MIN(M106,SUM(F106:K106)*24))</f>
        <v>0</v>
      </c>
      <c r="P106" s="9">
        <f>IF(COUNTIF(PARAMETRES_REGIMES!$A$3:$A$100,$A106)&gt;0,FLOOR(MAX(SUM(F106:L106)*24-M106,0),0.5),FLOOR(MAX(SUM(F106:K106)*24-M106,0),0.5))</f>
        <v>0</v>
      </c>
      <c r="Q106" s="9">
        <f>IF(COUNTIF(PARAMETRES_REGIMES!$A$3:$A$100,$A106)&gt;0,0,IF(ISNUMBER(L106),FLOOR(MAX(L106*24,0),0.5),0))</f>
        <v>0</v>
      </c>
      <c r="R106" s="8">
        <f t="shared" si="19"/>
        <v>0</v>
      </c>
      <c r="S106" s="8">
        <f t="shared" si="20"/>
        <v>0</v>
      </c>
      <c r="T106" s="8">
        <f t="shared" si="21"/>
        <v>0</v>
      </c>
      <c r="U106" s="8">
        <f t="shared" si="22"/>
        <v>0</v>
      </c>
      <c r="V106" s="10" t="str">
        <f t="shared" si="23"/>
        <v>OK</v>
      </c>
    </row>
    <row r="107" spans="1:22">
      <c r="A107" s="17" t="s">
        <v>283</v>
      </c>
      <c r="B107" s="5" t="s">
        <v>284</v>
      </c>
      <c r="C107" s="5" t="s">
        <v>285</v>
      </c>
      <c r="D107" s="5" t="s">
        <v>31</v>
      </c>
      <c r="E107" s="17" t="s">
        <v>123</v>
      </c>
      <c r="F107" s="6"/>
      <c r="G107" s="7"/>
      <c r="H107" s="7"/>
      <c r="I107" s="7"/>
      <c r="J107" s="7"/>
      <c r="K107" s="7"/>
      <c r="L107" s="7"/>
      <c r="M107" s="8">
        <f>48</f>
        <v>48</v>
      </c>
      <c r="N107" s="8">
        <f t="shared" si="18"/>
        <v>0</v>
      </c>
      <c r="O107" s="8">
        <f>IF(COUNTIF(PARAMETRES_REGIMES!$A$3:$A$100,$A107)&gt;0,MIN(M107,SUM(F107:L107)*24),MIN(M107,SUM(F107:K107)*24))</f>
        <v>0</v>
      </c>
      <c r="P107" s="9">
        <f>IF(COUNTIF(PARAMETRES_REGIMES!$A$3:$A$100,$A107)&gt;0,FLOOR(MAX(SUM(F107:L107)*24-M107,0),0.5),FLOOR(MAX(SUM(F107:K107)*24-M107,0),0.5))</f>
        <v>0</v>
      </c>
      <c r="Q107" s="9">
        <f>IF(COUNTIF(PARAMETRES_REGIMES!$A$3:$A$100,$A107)&gt;0,0,IF(ISNUMBER(L107),FLOOR(MAX(L107*24,0),0.5),0))</f>
        <v>0</v>
      </c>
      <c r="R107" s="8">
        <f t="shared" si="19"/>
        <v>0</v>
      </c>
      <c r="S107" s="8">
        <f t="shared" si="20"/>
        <v>0</v>
      </c>
      <c r="T107" s="8">
        <f t="shared" si="21"/>
        <v>0</v>
      </c>
      <c r="U107" s="8">
        <f t="shared" si="22"/>
        <v>0</v>
      </c>
      <c r="V107" s="10" t="str">
        <f t="shared" si="23"/>
        <v>OK</v>
      </c>
    </row>
    <row r="108" spans="1:22">
      <c r="A108" s="17" t="s">
        <v>286</v>
      </c>
      <c r="B108" s="5" t="s">
        <v>63</v>
      </c>
      <c r="C108" s="5" t="s">
        <v>287</v>
      </c>
      <c r="D108" s="5" t="s">
        <v>49</v>
      </c>
      <c r="E108" s="17" t="s">
        <v>123</v>
      </c>
      <c r="F108" s="6"/>
      <c r="G108" s="7"/>
      <c r="H108" s="7"/>
      <c r="I108" s="7"/>
      <c r="J108" s="7"/>
      <c r="K108" s="7"/>
      <c r="L108" s="7"/>
      <c r="M108" s="8">
        <f>48</f>
        <v>48</v>
      </c>
      <c r="N108" s="8">
        <f t="shared" si="18"/>
        <v>0</v>
      </c>
      <c r="O108" s="8">
        <f>IF(COUNTIF(PARAMETRES_REGIMES!$A$3:$A$100,$A108)&gt;0,MIN(M108,SUM(F108:L108)*24),MIN(M108,SUM(F108:K108)*24))</f>
        <v>0</v>
      </c>
      <c r="P108" s="9">
        <f>IF(COUNTIF(PARAMETRES_REGIMES!$A$3:$A$100,$A108)&gt;0,FLOOR(MAX(SUM(F108:L108)*24-M108,0),0.5),FLOOR(MAX(SUM(F108:K108)*24-M108,0),0.5))</f>
        <v>0</v>
      </c>
      <c r="Q108" s="9">
        <f>IF(COUNTIF(PARAMETRES_REGIMES!$A$3:$A$100,$A108)&gt;0,0,IF(ISNUMBER(L108),FLOOR(MAX(L108*24,0),0.5),0))</f>
        <v>0</v>
      </c>
      <c r="R108" s="8">
        <f t="shared" si="19"/>
        <v>0</v>
      </c>
      <c r="S108" s="8">
        <f t="shared" si="20"/>
        <v>0</v>
      </c>
      <c r="T108" s="8">
        <f t="shared" si="21"/>
        <v>0</v>
      </c>
      <c r="U108" s="8">
        <f t="shared" si="22"/>
        <v>0</v>
      </c>
      <c r="V108" s="10" t="str">
        <f t="shared" si="23"/>
        <v>OK</v>
      </c>
    </row>
    <row r="109" spans="1:22">
      <c r="A109" s="17" t="s">
        <v>288</v>
      </c>
      <c r="B109" s="5" t="s">
        <v>289</v>
      </c>
      <c r="C109" s="5" t="s">
        <v>290</v>
      </c>
      <c r="D109" s="5" t="s">
        <v>69</v>
      </c>
      <c r="E109" s="17" t="s">
        <v>123</v>
      </c>
      <c r="F109" s="6"/>
      <c r="G109" s="7"/>
      <c r="H109" s="7"/>
      <c r="I109" s="7"/>
      <c r="J109" s="7"/>
      <c r="K109" s="7"/>
      <c r="L109" s="7"/>
      <c r="M109" s="8">
        <f>48</f>
        <v>48</v>
      </c>
      <c r="N109" s="8">
        <f t="shared" si="18"/>
        <v>0</v>
      </c>
      <c r="O109" s="8">
        <f>IF(COUNTIF(PARAMETRES_REGIMES!$A$3:$A$100,$A109)&gt;0,MIN(M109,SUM(F109:L109)*24),MIN(M109,SUM(F109:K109)*24))</f>
        <v>0</v>
      </c>
      <c r="P109" s="9">
        <f>IF(COUNTIF(PARAMETRES_REGIMES!$A$3:$A$100,$A109)&gt;0,FLOOR(MAX(SUM(F109:L109)*24-M109,0),0.5),FLOOR(MAX(SUM(F109:K109)*24-M109,0),0.5))</f>
        <v>0</v>
      </c>
      <c r="Q109" s="9">
        <f>IF(COUNTIF(PARAMETRES_REGIMES!$A$3:$A$100,$A109)&gt;0,0,IF(ISNUMBER(L109),FLOOR(MAX(L109*24,0),0.5),0))</f>
        <v>0</v>
      </c>
      <c r="R109" s="8">
        <f t="shared" si="19"/>
        <v>0</v>
      </c>
      <c r="S109" s="8">
        <f t="shared" si="20"/>
        <v>0</v>
      </c>
      <c r="T109" s="8">
        <f t="shared" si="21"/>
        <v>0</v>
      </c>
      <c r="U109" s="8">
        <f t="shared" si="22"/>
        <v>0</v>
      </c>
      <c r="V109" s="10" t="str">
        <f t="shared" si="23"/>
        <v>OK</v>
      </c>
    </row>
    <row r="110" spans="1:22">
      <c r="A110" s="17" t="s">
        <v>291</v>
      </c>
      <c r="B110" s="5" t="s">
        <v>292</v>
      </c>
      <c r="C110" s="5" t="s">
        <v>77</v>
      </c>
      <c r="D110" s="5" t="s">
        <v>69</v>
      </c>
      <c r="E110" s="17" t="s">
        <v>123</v>
      </c>
      <c r="F110" s="6"/>
      <c r="G110" s="7"/>
      <c r="H110" s="7"/>
      <c r="I110" s="7"/>
      <c r="J110" s="7"/>
      <c r="K110" s="7"/>
      <c r="L110" s="7"/>
      <c r="M110" s="8">
        <f>48</f>
        <v>48</v>
      </c>
      <c r="N110" s="8">
        <f t="shared" si="18"/>
        <v>0</v>
      </c>
      <c r="O110" s="8">
        <f>IF(COUNTIF(PARAMETRES_REGIMES!$A$3:$A$100,$A110)&gt;0,MIN(M110,SUM(F110:L110)*24),MIN(M110,SUM(F110:K110)*24))</f>
        <v>0</v>
      </c>
      <c r="P110" s="9">
        <f>IF(COUNTIF(PARAMETRES_REGIMES!$A$3:$A$100,$A110)&gt;0,FLOOR(MAX(SUM(F110:L110)*24-M110,0),0.5),FLOOR(MAX(SUM(F110:K110)*24-M110,0),0.5))</f>
        <v>0</v>
      </c>
      <c r="Q110" s="9">
        <f>IF(COUNTIF(PARAMETRES_REGIMES!$A$3:$A$100,$A110)&gt;0,0,IF(ISNUMBER(L110),FLOOR(MAX(L110*24,0),0.5),0))</f>
        <v>0</v>
      </c>
      <c r="R110" s="8">
        <f t="shared" si="19"/>
        <v>0</v>
      </c>
      <c r="S110" s="8">
        <f t="shared" si="20"/>
        <v>0</v>
      </c>
      <c r="T110" s="8">
        <f t="shared" si="21"/>
        <v>0</v>
      </c>
      <c r="U110" s="8">
        <f t="shared" si="22"/>
        <v>0</v>
      </c>
      <c r="V110" s="10" t="str">
        <f t="shared" si="23"/>
        <v>OK</v>
      </c>
    </row>
    <row r="111" spans="1:22">
      <c r="A111" s="17" t="s">
        <v>293</v>
      </c>
      <c r="B111" s="5" t="s">
        <v>294</v>
      </c>
      <c r="C111" s="5" t="s">
        <v>295</v>
      </c>
      <c r="D111" s="5" t="s">
        <v>69</v>
      </c>
      <c r="E111" s="17" t="s">
        <v>123</v>
      </c>
      <c r="F111" s="6"/>
      <c r="G111" s="7"/>
      <c r="H111" s="7"/>
      <c r="I111" s="7"/>
      <c r="J111" s="7"/>
      <c r="K111" s="7"/>
      <c r="L111" s="7"/>
      <c r="M111" s="8">
        <f>48</f>
        <v>48</v>
      </c>
      <c r="N111" s="8">
        <f t="shared" si="18"/>
        <v>0</v>
      </c>
      <c r="O111" s="8">
        <f>IF(COUNTIF(PARAMETRES_REGIMES!$A$3:$A$100,$A111)&gt;0,MIN(M111,SUM(F111:L111)*24),MIN(M111,SUM(F111:K111)*24))</f>
        <v>0</v>
      </c>
      <c r="P111" s="9">
        <f>IF(COUNTIF(PARAMETRES_REGIMES!$A$3:$A$100,$A111)&gt;0,FLOOR(MAX(SUM(F111:L111)*24-M111,0),0.5),FLOOR(MAX(SUM(F111:K111)*24-M111,0),0.5))</f>
        <v>0</v>
      </c>
      <c r="Q111" s="9">
        <f>IF(COUNTIF(PARAMETRES_REGIMES!$A$3:$A$100,$A111)&gt;0,0,IF(ISNUMBER(L111),FLOOR(MAX(L111*24,0),0.5),0))</f>
        <v>0</v>
      </c>
      <c r="R111" s="8">
        <f t="shared" si="19"/>
        <v>0</v>
      </c>
      <c r="S111" s="8">
        <f t="shared" si="20"/>
        <v>0</v>
      </c>
      <c r="T111" s="8">
        <f t="shared" si="21"/>
        <v>0</v>
      </c>
      <c r="U111" s="8">
        <f t="shared" si="22"/>
        <v>0</v>
      </c>
      <c r="V111" s="10" t="str">
        <f t="shared" si="23"/>
        <v>OK</v>
      </c>
    </row>
    <row r="112" spans="1:22">
      <c r="A112" s="17" t="s">
        <v>296</v>
      </c>
      <c r="B112" s="5" t="s">
        <v>217</v>
      </c>
      <c r="C112" s="5" t="s">
        <v>297</v>
      </c>
      <c r="D112" s="5" t="s">
        <v>69</v>
      </c>
      <c r="E112" s="17" t="s">
        <v>123</v>
      </c>
      <c r="F112" s="6"/>
      <c r="G112" s="7"/>
      <c r="H112" s="7"/>
      <c r="I112" s="7"/>
      <c r="J112" s="7"/>
      <c r="K112" s="7"/>
      <c r="L112" s="7"/>
      <c r="M112" s="8">
        <f>48</f>
        <v>48</v>
      </c>
      <c r="N112" s="8">
        <f t="shared" si="18"/>
        <v>0</v>
      </c>
      <c r="O112" s="8">
        <f>IF(COUNTIF(PARAMETRES_REGIMES!$A$3:$A$100,$A112)&gt;0,MIN(M112,SUM(F112:L112)*24),MIN(M112,SUM(F112:K112)*24))</f>
        <v>0</v>
      </c>
      <c r="P112" s="9">
        <f>IF(COUNTIF(PARAMETRES_REGIMES!$A$3:$A$100,$A112)&gt;0,FLOOR(MAX(SUM(F112:L112)*24-M112,0),0.5),FLOOR(MAX(SUM(F112:K112)*24-M112,0),0.5))</f>
        <v>0</v>
      </c>
      <c r="Q112" s="9">
        <f>IF(COUNTIF(PARAMETRES_REGIMES!$A$3:$A$100,$A112)&gt;0,0,IF(ISNUMBER(L112),FLOOR(MAX(L112*24,0),0.5),0))</f>
        <v>0</v>
      </c>
      <c r="R112" s="8">
        <f t="shared" si="19"/>
        <v>0</v>
      </c>
      <c r="S112" s="8">
        <f t="shared" si="20"/>
        <v>0</v>
      </c>
      <c r="T112" s="8">
        <f t="shared" si="21"/>
        <v>0</v>
      </c>
      <c r="U112" s="8">
        <f t="shared" si="22"/>
        <v>0</v>
      </c>
      <c r="V112" s="10" t="str">
        <f t="shared" si="23"/>
        <v>OK</v>
      </c>
    </row>
    <row r="113" spans="1:22">
      <c r="A113" s="17">
        <v>89</v>
      </c>
      <c r="B113" s="5" t="s">
        <v>298</v>
      </c>
      <c r="C113" s="5" t="s">
        <v>299</v>
      </c>
      <c r="D113" s="5" t="s">
        <v>69</v>
      </c>
      <c r="E113" s="17" t="s">
        <v>123</v>
      </c>
      <c r="F113" s="6"/>
      <c r="G113" s="7"/>
      <c r="H113" s="7"/>
      <c r="I113" s="7"/>
      <c r="J113" s="7"/>
      <c r="K113" s="7"/>
      <c r="L113" s="7"/>
      <c r="M113" s="8">
        <f>48</f>
        <v>48</v>
      </c>
      <c r="N113" s="8">
        <f t="shared" si="18"/>
        <v>0</v>
      </c>
      <c r="O113" s="8">
        <f>MIN(M113,SUM(F113:K113)*24)</f>
        <v>0</v>
      </c>
      <c r="P113" s="9">
        <f>FLOOR(MAX(SUM(F113:K113)*24-M113,0),0.5)</f>
        <v>0</v>
      </c>
      <c r="Q113" s="9">
        <f>IF(ISNUMBER(L113),FLOOR(MAX(L113*24,0),0.5),0)</f>
        <v>0</v>
      </c>
      <c r="R113" s="8">
        <f t="shared" si="19"/>
        <v>0</v>
      </c>
      <c r="S113" s="8">
        <f t="shared" si="20"/>
        <v>0</v>
      </c>
      <c r="T113" s="8">
        <f t="shared" si="21"/>
        <v>0</v>
      </c>
      <c r="U113" s="8">
        <f t="shared" si="22"/>
        <v>0</v>
      </c>
      <c r="V113" s="10" t="str">
        <f t="shared" si="23"/>
        <v>OK</v>
      </c>
    </row>
  </sheetData>
  <mergeCells count="1">
    <mergeCell ref="A1:V1"/>
  </mergeCells>
  <conditionalFormatting sqref="F3:J113">
    <cfRule type="expression" dxfId="71" priority="7">
      <formula>F3="Repos"</formula>
    </cfRule>
    <cfRule type="expression" dxfId="70" priority="8">
      <formula>F3="ABS"</formula>
    </cfRule>
    <cfRule type="expression" dxfId="69" priority="9">
      <formula>F3="Congé"</formula>
    </cfRule>
    <cfRule type="expression" dxfId="68" priority="10">
      <formula>F3="Férié"</formula>
    </cfRule>
    <cfRule type="expression" dxfId="67" priority="11">
      <formula>F3="STC"</formula>
    </cfRule>
  </conditionalFormatting>
  <conditionalFormatting sqref="F3:L113">
    <cfRule type="expression" dxfId="66" priority="17">
      <formula>F3="ABS"</formula>
    </cfRule>
    <cfRule type="expression" dxfId="65" priority="18">
      <formula>F3="STC"</formula>
    </cfRule>
    <cfRule type="expression" dxfId="64" priority="19">
      <formula>F3="Congé"</formula>
    </cfRule>
    <cfRule type="expression" dxfId="63" priority="20">
      <formula>F3="Férié"</formula>
    </cfRule>
    <cfRule type="expression" dxfId="62" priority="21">
      <formula>F3="Repos"</formula>
    </cfRule>
    <cfRule type="expression" dxfId="61" priority="22">
      <formula>F3="Congé"</formula>
    </cfRule>
    <cfRule type="expression" dxfId="60" priority="23">
      <formula>F3="Congé sans solde"</formula>
    </cfRule>
    <cfRule type="expression" dxfId="59" priority="24">
      <formula>F3="Congé maladie"</formula>
    </cfRule>
    <cfRule type="expression" dxfId="58" priority="25">
      <formula>OR(F3="CSS",F3="CM")</formula>
    </cfRule>
  </conditionalFormatting>
  <conditionalFormatting sqref="O3:P113">
    <cfRule type="cellIs" dxfId="57" priority="1" operator="greaterThanOrEqual">
      <formula>1</formula>
    </cfRule>
  </conditionalFormatting>
  <conditionalFormatting sqref="P3:R113 M3:N113">
    <cfRule type="cellIs" dxfId="56" priority="5" operator="greaterThan">
      <formula>0</formula>
    </cfRule>
  </conditionalFormatting>
  <conditionalFormatting sqref="Q3:Q113">
    <cfRule type="cellIs" dxfId="55" priority="2" operator="greaterThanOrEqual">
      <formula>1</formula>
    </cfRule>
  </conditionalFormatting>
  <conditionalFormatting sqref="S3:S113">
    <cfRule type="expression" dxfId="54" priority="3">
      <formula>S3="STC"</formula>
    </cfRule>
    <cfRule type="expression" dxfId="53" priority="4">
      <formula>OR(S3="Vérifier",S3="À vérifier")</formula>
    </cfRule>
  </conditionalFormatting>
  <conditionalFormatting sqref="S3:T113">
    <cfRule type="cellIs" dxfId="52" priority="6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13"/>
  <sheetViews>
    <sheetView workbookViewId="0"/>
  </sheetViews>
  <sheetFormatPr baseColWidth="10" defaultColWidth="9" defaultRowHeight="14.25"/>
  <cols>
    <col min="1" max="1" width="6.375" style="16" customWidth="1"/>
    <col min="2" max="2" width="18" customWidth="1"/>
    <col min="3" max="3" width="20" customWidth="1"/>
    <col min="4" max="4" width="17.625" customWidth="1"/>
    <col min="5" max="5" width="8.75" style="16" customWidth="1"/>
    <col min="6" max="16" width="6.25" customWidth="1"/>
    <col min="17" max="17" width="14" customWidth="1"/>
  </cols>
  <sheetData>
    <row r="1" spans="1:24" ht="18">
      <c r="A1" s="32" t="s">
        <v>338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"/>
      <c r="S1" s="3"/>
      <c r="T1" s="3"/>
      <c r="U1" s="3"/>
      <c r="V1" s="3"/>
      <c r="W1" s="3"/>
      <c r="X1" s="3"/>
    </row>
    <row r="2" spans="1:24" ht="33.950000000000003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339</v>
      </c>
      <c r="G2" s="4" t="s">
        <v>340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20" t="s">
        <v>13</v>
      </c>
      <c r="O2" s="4" t="s">
        <v>14</v>
      </c>
      <c r="P2" s="4" t="s">
        <v>15</v>
      </c>
      <c r="Q2" s="4" t="s">
        <v>16</v>
      </c>
    </row>
    <row r="3" spans="1:24">
      <c r="A3" s="17" t="s">
        <v>17</v>
      </c>
      <c r="B3" s="5" t="s">
        <v>18</v>
      </c>
      <c r="C3" s="5" t="s">
        <v>19</v>
      </c>
      <c r="D3" s="5" t="s">
        <v>20</v>
      </c>
      <c r="E3" s="17" t="s">
        <v>21</v>
      </c>
      <c r="F3" s="6"/>
      <c r="G3" s="7"/>
      <c r="H3" s="7">
        <f>16</f>
        <v>16</v>
      </c>
      <c r="I3" s="7">
        <f t="shared" ref="I3:I34" si="0">SUM(F3:G3)*24</f>
        <v>0</v>
      </c>
      <c r="J3" s="7">
        <f t="shared" ref="J3:J34" si="1">MIN(H3,SUM(F3:G3)*24)</f>
        <v>0</v>
      </c>
      <c r="K3" s="7">
        <f t="shared" ref="K3:K34" si="2">FLOOR(MAX(SUM(F3:G3)*24-H3,0),0.5)</f>
        <v>0</v>
      </c>
      <c r="L3" s="7">
        <f>0</f>
        <v>0</v>
      </c>
      <c r="M3" s="8">
        <f t="shared" ref="M3:M34" si="3">COUNTIF(F3:G3,"ABS")</f>
        <v>0</v>
      </c>
      <c r="N3" s="8">
        <f t="shared" ref="N3:N34" si="4">COUNTIF(F3:G3,"Congé")</f>
        <v>0</v>
      </c>
      <c r="O3" s="8">
        <f t="shared" ref="O3:O34" si="5">COUNTIF(F3:G3,"Férié")</f>
        <v>0</v>
      </c>
      <c r="P3" s="9">
        <f t="shared" ref="P3:P34" si="6">J3+K3+L3+(O3*8.5)</f>
        <v>0</v>
      </c>
      <c r="Q3" s="9" t="str">
        <f t="shared" ref="Q3:Q34" si="7">IF(COUNTIF(F3:G3,"STC")&gt;0,"STC",IF(COUNTIF(F3:G3,"*!*")&gt;0,"À vérifier","OK"))</f>
        <v>OK</v>
      </c>
    </row>
    <row r="4" spans="1:24">
      <c r="A4" s="17" t="s">
        <v>23</v>
      </c>
      <c r="B4" s="5" t="s">
        <v>24</v>
      </c>
      <c r="C4" s="5" t="s">
        <v>25</v>
      </c>
      <c r="D4" s="5" t="s">
        <v>20</v>
      </c>
      <c r="E4" s="17" t="s">
        <v>21</v>
      </c>
      <c r="F4" s="6"/>
      <c r="G4" s="7"/>
      <c r="H4" s="7">
        <f>16</f>
        <v>16</v>
      </c>
      <c r="I4" s="7">
        <f t="shared" si="0"/>
        <v>0</v>
      </c>
      <c r="J4" s="7">
        <f t="shared" si="1"/>
        <v>0</v>
      </c>
      <c r="K4" s="7">
        <f t="shared" si="2"/>
        <v>0</v>
      </c>
      <c r="L4" s="7">
        <f>0</f>
        <v>0</v>
      </c>
      <c r="M4" s="8">
        <f t="shared" si="3"/>
        <v>0</v>
      </c>
      <c r="N4" s="8">
        <f t="shared" si="4"/>
        <v>0</v>
      </c>
      <c r="O4" s="8">
        <f t="shared" si="5"/>
        <v>0</v>
      </c>
      <c r="P4" s="9">
        <f t="shared" si="6"/>
        <v>0</v>
      </c>
      <c r="Q4" s="9" t="str">
        <f t="shared" si="7"/>
        <v>OK</v>
      </c>
    </row>
    <row r="5" spans="1:24">
      <c r="A5" s="17" t="s">
        <v>26</v>
      </c>
      <c r="B5" s="5" t="s">
        <v>27</v>
      </c>
      <c r="C5" s="5" t="s">
        <v>28</v>
      </c>
      <c r="D5" s="5" t="s">
        <v>20</v>
      </c>
      <c r="E5" s="17" t="s">
        <v>21</v>
      </c>
      <c r="F5" s="6"/>
      <c r="G5" s="7"/>
      <c r="H5" s="7">
        <f>16</f>
        <v>16</v>
      </c>
      <c r="I5" s="7">
        <f t="shared" si="0"/>
        <v>0</v>
      </c>
      <c r="J5" s="7">
        <f t="shared" si="1"/>
        <v>0</v>
      </c>
      <c r="K5" s="7">
        <f t="shared" si="2"/>
        <v>0</v>
      </c>
      <c r="L5" s="7">
        <f>0</f>
        <v>0</v>
      </c>
      <c r="M5" s="8">
        <f t="shared" si="3"/>
        <v>0</v>
      </c>
      <c r="N5" s="8">
        <f t="shared" si="4"/>
        <v>0</v>
      </c>
      <c r="O5" s="8">
        <f t="shared" si="5"/>
        <v>0</v>
      </c>
      <c r="P5" s="9">
        <f t="shared" si="6"/>
        <v>0</v>
      </c>
      <c r="Q5" s="9" t="str">
        <f t="shared" si="7"/>
        <v>OK</v>
      </c>
    </row>
    <row r="6" spans="1:24">
      <c r="A6" s="17">
        <v>124</v>
      </c>
      <c r="B6" s="5" t="s">
        <v>29</v>
      </c>
      <c r="C6" s="5" t="s">
        <v>30</v>
      </c>
      <c r="D6" s="5" t="s">
        <v>31</v>
      </c>
      <c r="E6" s="17" t="s">
        <v>21</v>
      </c>
      <c r="F6" s="6"/>
      <c r="G6" s="7"/>
      <c r="H6" s="7">
        <f>16</f>
        <v>16</v>
      </c>
      <c r="I6" s="7">
        <f t="shared" si="0"/>
        <v>0</v>
      </c>
      <c r="J6" s="7">
        <f t="shared" si="1"/>
        <v>0</v>
      </c>
      <c r="K6" s="7">
        <f t="shared" si="2"/>
        <v>0</v>
      </c>
      <c r="L6" s="7">
        <f>0</f>
        <v>0</v>
      </c>
      <c r="M6" s="8">
        <f t="shared" si="3"/>
        <v>0</v>
      </c>
      <c r="N6" s="8">
        <f t="shared" si="4"/>
        <v>0</v>
      </c>
      <c r="O6" s="8">
        <f t="shared" si="5"/>
        <v>0</v>
      </c>
      <c r="P6" s="9">
        <f t="shared" si="6"/>
        <v>0</v>
      </c>
      <c r="Q6" s="9" t="str">
        <f t="shared" si="7"/>
        <v>OK</v>
      </c>
    </row>
    <row r="7" spans="1:24">
      <c r="A7" s="17" t="s">
        <v>32</v>
      </c>
      <c r="B7" s="5" t="s">
        <v>33</v>
      </c>
      <c r="C7" s="5" t="s">
        <v>34</v>
      </c>
      <c r="D7" s="5" t="s">
        <v>31</v>
      </c>
      <c r="E7" s="17" t="s">
        <v>21</v>
      </c>
      <c r="F7" s="6"/>
      <c r="G7" s="7"/>
      <c r="H7" s="7">
        <f>16</f>
        <v>16</v>
      </c>
      <c r="I7" s="7">
        <f t="shared" si="0"/>
        <v>0</v>
      </c>
      <c r="J7" s="7">
        <f t="shared" si="1"/>
        <v>0</v>
      </c>
      <c r="K7" s="7">
        <f t="shared" si="2"/>
        <v>0</v>
      </c>
      <c r="L7" s="7">
        <f>0</f>
        <v>0</v>
      </c>
      <c r="M7" s="8">
        <f t="shared" si="3"/>
        <v>0</v>
      </c>
      <c r="N7" s="8">
        <f t="shared" si="4"/>
        <v>0</v>
      </c>
      <c r="O7" s="8">
        <f t="shared" si="5"/>
        <v>0</v>
      </c>
      <c r="P7" s="9">
        <f t="shared" si="6"/>
        <v>0</v>
      </c>
      <c r="Q7" s="9" t="str">
        <f t="shared" si="7"/>
        <v>OK</v>
      </c>
    </row>
    <row r="8" spans="1:24">
      <c r="A8" s="17" t="s">
        <v>35</v>
      </c>
      <c r="B8" s="5" t="s">
        <v>36</v>
      </c>
      <c r="C8" s="5" t="s">
        <v>37</v>
      </c>
      <c r="D8" s="5" t="s">
        <v>31</v>
      </c>
      <c r="E8" s="17" t="s">
        <v>21</v>
      </c>
      <c r="F8" s="6"/>
      <c r="G8" s="7"/>
      <c r="H8" s="7">
        <f>16</f>
        <v>16</v>
      </c>
      <c r="I8" s="7">
        <f t="shared" si="0"/>
        <v>0</v>
      </c>
      <c r="J8" s="7">
        <f t="shared" si="1"/>
        <v>0</v>
      </c>
      <c r="K8" s="7">
        <f t="shared" si="2"/>
        <v>0</v>
      </c>
      <c r="L8" s="7">
        <f>0</f>
        <v>0</v>
      </c>
      <c r="M8" s="8">
        <f t="shared" si="3"/>
        <v>0</v>
      </c>
      <c r="N8" s="8">
        <f t="shared" si="4"/>
        <v>0</v>
      </c>
      <c r="O8" s="8">
        <f t="shared" si="5"/>
        <v>0</v>
      </c>
      <c r="P8" s="9">
        <f t="shared" si="6"/>
        <v>0</v>
      </c>
      <c r="Q8" s="9" t="str">
        <f t="shared" si="7"/>
        <v>OK</v>
      </c>
    </row>
    <row r="9" spans="1:24">
      <c r="A9" s="17" t="s">
        <v>38</v>
      </c>
      <c r="B9" s="5" t="s">
        <v>39</v>
      </c>
      <c r="C9" s="5" t="s">
        <v>40</v>
      </c>
      <c r="D9" s="5" t="s">
        <v>31</v>
      </c>
      <c r="E9" s="17" t="s">
        <v>21</v>
      </c>
      <c r="F9" s="6"/>
      <c r="G9" s="7"/>
      <c r="H9" s="7">
        <f>16</f>
        <v>16</v>
      </c>
      <c r="I9" s="7">
        <f t="shared" si="0"/>
        <v>0</v>
      </c>
      <c r="J9" s="7">
        <f t="shared" si="1"/>
        <v>0</v>
      </c>
      <c r="K9" s="7">
        <f t="shared" si="2"/>
        <v>0</v>
      </c>
      <c r="L9" s="7">
        <f>0</f>
        <v>0</v>
      </c>
      <c r="M9" s="8">
        <f t="shared" si="3"/>
        <v>0</v>
      </c>
      <c r="N9" s="8">
        <f t="shared" si="4"/>
        <v>0</v>
      </c>
      <c r="O9" s="8">
        <f t="shared" si="5"/>
        <v>0</v>
      </c>
      <c r="P9" s="9">
        <f t="shared" si="6"/>
        <v>0</v>
      </c>
      <c r="Q9" s="9" t="str">
        <f t="shared" si="7"/>
        <v>OK</v>
      </c>
    </row>
    <row r="10" spans="1:24">
      <c r="A10" s="17" t="s">
        <v>41</v>
      </c>
      <c r="B10" s="5" t="s">
        <v>42</v>
      </c>
      <c r="C10" s="5" t="s">
        <v>43</v>
      </c>
      <c r="D10" s="5" t="s">
        <v>31</v>
      </c>
      <c r="E10" s="17" t="s">
        <v>21</v>
      </c>
      <c r="F10" s="6"/>
      <c r="G10" s="7"/>
      <c r="H10" s="7">
        <f>16</f>
        <v>16</v>
      </c>
      <c r="I10" s="7">
        <f t="shared" si="0"/>
        <v>0</v>
      </c>
      <c r="J10" s="7">
        <f t="shared" si="1"/>
        <v>0</v>
      </c>
      <c r="K10" s="7">
        <f t="shared" si="2"/>
        <v>0</v>
      </c>
      <c r="L10" s="7">
        <f>0</f>
        <v>0</v>
      </c>
      <c r="M10" s="8">
        <f t="shared" si="3"/>
        <v>0</v>
      </c>
      <c r="N10" s="8">
        <f t="shared" si="4"/>
        <v>0</v>
      </c>
      <c r="O10" s="8">
        <f t="shared" si="5"/>
        <v>0</v>
      </c>
      <c r="P10" s="9">
        <f t="shared" si="6"/>
        <v>0</v>
      </c>
      <c r="Q10" s="9" t="str">
        <f t="shared" si="7"/>
        <v>OK</v>
      </c>
    </row>
    <row r="11" spans="1:24">
      <c r="A11" s="17" t="s">
        <v>44</v>
      </c>
      <c r="B11" s="5" t="s">
        <v>45</v>
      </c>
      <c r="C11" s="5" t="s">
        <v>46</v>
      </c>
      <c r="D11" s="5" t="s">
        <v>31</v>
      </c>
      <c r="E11" s="17" t="s">
        <v>21</v>
      </c>
      <c r="F11" s="6"/>
      <c r="G11" s="7"/>
      <c r="H11" s="7">
        <f>16</f>
        <v>16</v>
      </c>
      <c r="I11" s="7">
        <f t="shared" si="0"/>
        <v>0</v>
      </c>
      <c r="J11" s="7">
        <f t="shared" si="1"/>
        <v>0</v>
      </c>
      <c r="K11" s="7">
        <f t="shared" si="2"/>
        <v>0</v>
      </c>
      <c r="L11" s="7">
        <f>0</f>
        <v>0</v>
      </c>
      <c r="M11" s="8">
        <f t="shared" si="3"/>
        <v>0</v>
      </c>
      <c r="N11" s="8">
        <f t="shared" si="4"/>
        <v>0</v>
      </c>
      <c r="O11" s="8">
        <f t="shared" si="5"/>
        <v>0</v>
      </c>
      <c r="P11" s="9">
        <f t="shared" si="6"/>
        <v>0</v>
      </c>
      <c r="Q11" s="9" t="str">
        <f t="shared" si="7"/>
        <v>OK</v>
      </c>
    </row>
    <row r="12" spans="1:24">
      <c r="A12" s="17" t="s">
        <v>47</v>
      </c>
      <c r="B12" s="5" t="s">
        <v>28</v>
      </c>
      <c r="C12" s="5" t="s">
        <v>48</v>
      </c>
      <c r="D12" s="5" t="s">
        <v>49</v>
      </c>
      <c r="E12" s="17" t="s">
        <v>21</v>
      </c>
      <c r="F12" s="6"/>
      <c r="G12" s="7"/>
      <c r="H12" s="7">
        <f>16</f>
        <v>16</v>
      </c>
      <c r="I12" s="7">
        <f t="shared" si="0"/>
        <v>0</v>
      </c>
      <c r="J12" s="7">
        <f t="shared" si="1"/>
        <v>0</v>
      </c>
      <c r="K12" s="7">
        <f t="shared" si="2"/>
        <v>0</v>
      </c>
      <c r="L12" s="7">
        <f>0</f>
        <v>0</v>
      </c>
      <c r="M12" s="8">
        <f t="shared" si="3"/>
        <v>0</v>
      </c>
      <c r="N12" s="8">
        <f t="shared" si="4"/>
        <v>0</v>
      </c>
      <c r="O12" s="8">
        <f t="shared" si="5"/>
        <v>0</v>
      </c>
      <c r="P12" s="9">
        <f t="shared" si="6"/>
        <v>0</v>
      </c>
      <c r="Q12" s="9" t="str">
        <f t="shared" si="7"/>
        <v>OK</v>
      </c>
    </row>
    <row r="13" spans="1:24">
      <c r="A13" s="17">
        <v>132</v>
      </c>
      <c r="B13" s="5" t="s">
        <v>50</v>
      </c>
      <c r="C13" s="5" t="s">
        <v>51</v>
      </c>
      <c r="D13" s="5" t="s">
        <v>49</v>
      </c>
      <c r="E13" s="17" t="s">
        <v>21</v>
      </c>
      <c r="F13" s="6"/>
      <c r="G13" s="7"/>
      <c r="H13" s="7">
        <f>16</f>
        <v>16</v>
      </c>
      <c r="I13" s="7">
        <f t="shared" si="0"/>
        <v>0</v>
      </c>
      <c r="J13" s="7">
        <f t="shared" si="1"/>
        <v>0</v>
      </c>
      <c r="K13" s="7">
        <f t="shared" si="2"/>
        <v>0</v>
      </c>
      <c r="L13" s="7">
        <f>0</f>
        <v>0</v>
      </c>
      <c r="M13" s="8">
        <f t="shared" si="3"/>
        <v>0</v>
      </c>
      <c r="N13" s="8">
        <f t="shared" si="4"/>
        <v>0</v>
      </c>
      <c r="O13" s="8">
        <f t="shared" si="5"/>
        <v>0</v>
      </c>
      <c r="P13" s="9">
        <f t="shared" si="6"/>
        <v>0</v>
      </c>
      <c r="Q13" s="9" t="str">
        <f t="shared" si="7"/>
        <v>OK</v>
      </c>
    </row>
    <row r="14" spans="1:24">
      <c r="A14" s="17">
        <v>174</v>
      </c>
      <c r="B14" s="5" t="s">
        <v>52</v>
      </c>
      <c r="C14" s="5" t="s">
        <v>53</v>
      </c>
      <c r="D14" s="5" t="s">
        <v>49</v>
      </c>
      <c r="E14" s="17" t="s">
        <v>21</v>
      </c>
      <c r="F14" s="6"/>
      <c r="G14" s="7"/>
      <c r="H14" s="7">
        <f>16</f>
        <v>16</v>
      </c>
      <c r="I14" s="7">
        <f t="shared" si="0"/>
        <v>0</v>
      </c>
      <c r="J14" s="7">
        <f t="shared" si="1"/>
        <v>0</v>
      </c>
      <c r="K14" s="7">
        <f t="shared" si="2"/>
        <v>0</v>
      </c>
      <c r="L14" s="7">
        <f>0</f>
        <v>0</v>
      </c>
      <c r="M14" s="8">
        <f t="shared" si="3"/>
        <v>0</v>
      </c>
      <c r="N14" s="8">
        <f t="shared" si="4"/>
        <v>0</v>
      </c>
      <c r="O14" s="8">
        <f t="shared" si="5"/>
        <v>0</v>
      </c>
      <c r="P14" s="9">
        <f t="shared" si="6"/>
        <v>0</v>
      </c>
      <c r="Q14" s="9" t="str">
        <f t="shared" si="7"/>
        <v>OK</v>
      </c>
    </row>
    <row r="15" spans="1:24">
      <c r="A15" s="17" t="s">
        <v>54</v>
      </c>
      <c r="B15" s="5" t="s">
        <v>55</v>
      </c>
      <c r="C15" s="5" t="s">
        <v>56</v>
      </c>
      <c r="D15" s="5" t="s">
        <v>49</v>
      </c>
      <c r="E15" s="17" t="s">
        <v>21</v>
      </c>
      <c r="F15" s="6"/>
      <c r="G15" s="7"/>
      <c r="H15" s="7">
        <f>16</f>
        <v>16</v>
      </c>
      <c r="I15" s="7">
        <f t="shared" si="0"/>
        <v>0</v>
      </c>
      <c r="J15" s="7">
        <f t="shared" si="1"/>
        <v>0</v>
      </c>
      <c r="K15" s="7">
        <f t="shared" si="2"/>
        <v>0</v>
      </c>
      <c r="L15" s="7">
        <f>0</f>
        <v>0</v>
      </c>
      <c r="M15" s="8">
        <f t="shared" si="3"/>
        <v>0</v>
      </c>
      <c r="N15" s="8">
        <f t="shared" si="4"/>
        <v>0</v>
      </c>
      <c r="O15" s="8">
        <f t="shared" si="5"/>
        <v>0</v>
      </c>
      <c r="P15" s="9">
        <f t="shared" si="6"/>
        <v>0</v>
      </c>
      <c r="Q15" s="9" t="str">
        <f t="shared" si="7"/>
        <v>OK</v>
      </c>
    </row>
    <row r="16" spans="1:24">
      <c r="A16" s="17" t="s">
        <v>57</v>
      </c>
      <c r="B16" s="5" t="s">
        <v>58</v>
      </c>
      <c r="C16" s="5" t="s">
        <v>59</v>
      </c>
      <c r="D16" s="5" t="s">
        <v>49</v>
      </c>
      <c r="E16" s="17" t="s">
        <v>21</v>
      </c>
      <c r="F16" s="6"/>
      <c r="G16" s="7"/>
      <c r="H16" s="7">
        <f>16</f>
        <v>16</v>
      </c>
      <c r="I16" s="7">
        <f t="shared" si="0"/>
        <v>0</v>
      </c>
      <c r="J16" s="7">
        <f t="shared" si="1"/>
        <v>0</v>
      </c>
      <c r="K16" s="7">
        <f t="shared" si="2"/>
        <v>0</v>
      </c>
      <c r="L16" s="7">
        <f>0</f>
        <v>0</v>
      </c>
      <c r="M16" s="8">
        <f t="shared" si="3"/>
        <v>0</v>
      </c>
      <c r="N16" s="8">
        <f t="shared" si="4"/>
        <v>0</v>
      </c>
      <c r="O16" s="8">
        <f t="shared" si="5"/>
        <v>0</v>
      </c>
      <c r="P16" s="9">
        <f t="shared" si="6"/>
        <v>0</v>
      </c>
      <c r="Q16" s="9" t="str">
        <f t="shared" si="7"/>
        <v>OK</v>
      </c>
    </row>
    <row r="17" spans="1:17">
      <c r="A17" s="17" t="s">
        <v>60</v>
      </c>
      <c r="B17" s="5" t="s">
        <v>58</v>
      </c>
      <c r="C17" s="5" t="s">
        <v>61</v>
      </c>
      <c r="D17" s="5" t="s">
        <v>49</v>
      </c>
      <c r="E17" s="17" t="s">
        <v>21</v>
      </c>
      <c r="F17" s="6"/>
      <c r="G17" s="7"/>
      <c r="H17" s="7">
        <f>16</f>
        <v>16</v>
      </c>
      <c r="I17" s="7">
        <f t="shared" si="0"/>
        <v>0</v>
      </c>
      <c r="J17" s="7">
        <f t="shared" si="1"/>
        <v>0</v>
      </c>
      <c r="K17" s="7">
        <f t="shared" si="2"/>
        <v>0</v>
      </c>
      <c r="L17" s="7">
        <f>0</f>
        <v>0</v>
      </c>
      <c r="M17" s="8">
        <f t="shared" si="3"/>
        <v>0</v>
      </c>
      <c r="N17" s="8">
        <f t="shared" si="4"/>
        <v>0</v>
      </c>
      <c r="O17" s="8">
        <f t="shared" si="5"/>
        <v>0</v>
      </c>
      <c r="P17" s="9">
        <f t="shared" si="6"/>
        <v>0</v>
      </c>
      <c r="Q17" s="9" t="str">
        <f t="shared" si="7"/>
        <v>OK</v>
      </c>
    </row>
    <row r="18" spans="1:17">
      <c r="A18" s="17">
        <v>158</v>
      </c>
      <c r="B18" s="5" t="s">
        <v>62</v>
      </c>
      <c r="C18" s="5" t="s">
        <v>63</v>
      </c>
      <c r="D18" s="5" t="s">
        <v>49</v>
      </c>
      <c r="E18" s="17" t="s">
        <v>21</v>
      </c>
      <c r="F18" s="6"/>
      <c r="G18" s="7"/>
      <c r="H18" s="7">
        <f>16</f>
        <v>16</v>
      </c>
      <c r="I18" s="7">
        <f t="shared" si="0"/>
        <v>0</v>
      </c>
      <c r="J18" s="7">
        <f t="shared" si="1"/>
        <v>0</v>
      </c>
      <c r="K18" s="7">
        <f t="shared" si="2"/>
        <v>0</v>
      </c>
      <c r="L18" s="7">
        <f>0</f>
        <v>0</v>
      </c>
      <c r="M18" s="8">
        <f t="shared" si="3"/>
        <v>0</v>
      </c>
      <c r="N18" s="8">
        <f t="shared" si="4"/>
        <v>0</v>
      </c>
      <c r="O18" s="8">
        <f t="shared" si="5"/>
        <v>0</v>
      </c>
      <c r="P18" s="9">
        <f t="shared" si="6"/>
        <v>0</v>
      </c>
      <c r="Q18" s="9" t="str">
        <f t="shared" si="7"/>
        <v>OK</v>
      </c>
    </row>
    <row r="19" spans="1:17">
      <c r="A19" s="17" t="s">
        <v>64</v>
      </c>
      <c r="B19" s="5" t="s">
        <v>65</v>
      </c>
      <c r="C19" s="5" t="s">
        <v>66</v>
      </c>
      <c r="D19" s="5" t="s">
        <v>49</v>
      </c>
      <c r="E19" s="17" t="s">
        <v>21</v>
      </c>
      <c r="F19" s="6"/>
      <c r="G19" s="7"/>
      <c r="H19" s="7">
        <f>16</f>
        <v>16</v>
      </c>
      <c r="I19" s="7">
        <f t="shared" si="0"/>
        <v>0</v>
      </c>
      <c r="J19" s="7">
        <f t="shared" si="1"/>
        <v>0</v>
      </c>
      <c r="K19" s="7">
        <f t="shared" si="2"/>
        <v>0</v>
      </c>
      <c r="L19" s="7">
        <f>0</f>
        <v>0</v>
      </c>
      <c r="M19" s="8">
        <f t="shared" si="3"/>
        <v>0</v>
      </c>
      <c r="N19" s="8">
        <f t="shared" si="4"/>
        <v>0</v>
      </c>
      <c r="O19" s="8">
        <f t="shared" si="5"/>
        <v>0</v>
      </c>
      <c r="P19" s="9">
        <f t="shared" si="6"/>
        <v>0</v>
      </c>
      <c r="Q19" s="9" t="str">
        <f t="shared" si="7"/>
        <v>OK</v>
      </c>
    </row>
    <row r="20" spans="1:17">
      <c r="A20" s="17" t="s">
        <v>67</v>
      </c>
      <c r="B20" s="5" t="s">
        <v>68</v>
      </c>
      <c r="C20" s="5" t="s">
        <v>25</v>
      </c>
      <c r="D20" s="5" t="s">
        <v>69</v>
      </c>
      <c r="E20" s="17" t="s">
        <v>21</v>
      </c>
      <c r="F20" s="6"/>
      <c r="G20" s="7"/>
      <c r="H20" s="7">
        <f>16</f>
        <v>16</v>
      </c>
      <c r="I20" s="7">
        <f t="shared" si="0"/>
        <v>0</v>
      </c>
      <c r="J20" s="7">
        <f t="shared" si="1"/>
        <v>0</v>
      </c>
      <c r="K20" s="7">
        <f t="shared" si="2"/>
        <v>0</v>
      </c>
      <c r="L20" s="7">
        <f>0</f>
        <v>0</v>
      </c>
      <c r="M20" s="8">
        <f t="shared" si="3"/>
        <v>0</v>
      </c>
      <c r="N20" s="8">
        <f t="shared" si="4"/>
        <v>0</v>
      </c>
      <c r="O20" s="8">
        <f t="shared" si="5"/>
        <v>0</v>
      </c>
      <c r="P20" s="9">
        <f t="shared" si="6"/>
        <v>0</v>
      </c>
      <c r="Q20" s="9" t="str">
        <f t="shared" si="7"/>
        <v>OK</v>
      </c>
    </row>
    <row r="21" spans="1:17">
      <c r="A21" s="17" t="s">
        <v>70</v>
      </c>
      <c r="B21" s="5" t="s">
        <v>71</v>
      </c>
      <c r="C21" s="5" t="s">
        <v>72</v>
      </c>
      <c r="D21" s="5" t="s">
        <v>69</v>
      </c>
      <c r="E21" s="17" t="s">
        <v>21</v>
      </c>
      <c r="F21" s="6"/>
      <c r="G21" s="7"/>
      <c r="H21" s="7">
        <f>16</f>
        <v>16</v>
      </c>
      <c r="I21" s="7">
        <f t="shared" si="0"/>
        <v>0</v>
      </c>
      <c r="J21" s="7">
        <f t="shared" si="1"/>
        <v>0</v>
      </c>
      <c r="K21" s="7">
        <f t="shared" si="2"/>
        <v>0</v>
      </c>
      <c r="L21" s="7">
        <f>0</f>
        <v>0</v>
      </c>
      <c r="M21" s="8">
        <f t="shared" si="3"/>
        <v>0</v>
      </c>
      <c r="N21" s="8">
        <f t="shared" si="4"/>
        <v>0</v>
      </c>
      <c r="O21" s="8">
        <f t="shared" si="5"/>
        <v>0</v>
      </c>
      <c r="P21" s="9">
        <f t="shared" si="6"/>
        <v>0</v>
      </c>
      <c r="Q21" s="9" t="str">
        <f t="shared" si="7"/>
        <v>OK</v>
      </c>
    </row>
    <row r="22" spans="1:17">
      <c r="A22" s="17" t="s">
        <v>73</v>
      </c>
      <c r="B22" s="5" t="s">
        <v>74</v>
      </c>
      <c r="C22" s="5" t="s">
        <v>75</v>
      </c>
      <c r="D22" s="5" t="s">
        <v>69</v>
      </c>
      <c r="E22" s="17" t="s">
        <v>21</v>
      </c>
      <c r="F22" s="6"/>
      <c r="G22" s="7"/>
      <c r="H22" s="7">
        <f>16</f>
        <v>16</v>
      </c>
      <c r="I22" s="7">
        <f t="shared" si="0"/>
        <v>0</v>
      </c>
      <c r="J22" s="7">
        <f t="shared" si="1"/>
        <v>0</v>
      </c>
      <c r="K22" s="7">
        <f t="shared" si="2"/>
        <v>0</v>
      </c>
      <c r="L22" s="7">
        <f>0</f>
        <v>0</v>
      </c>
      <c r="M22" s="8">
        <f t="shared" si="3"/>
        <v>0</v>
      </c>
      <c r="N22" s="8">
        <f t="shared" si="4"/>
        <v>0</v>
      </c>
      <c r="O22" s="8">
        <f t="shared" si="5"/>
        <v>0</v>
      </c>
      <c r="P22" s="9">
        <f t="shared" si="6"/>
        <v>0</v>
      </c>
      <c r="Q22" s="9" t="str">
        <f t="shared" si="7"/>
        <v>OK</v>
      </c>
    </row>
    <row r="23" spans="1:17">
      <c r="A23" s="17">
        <v>97</v>
      </c>
      <c r="B23" s="5" t="s">
        <v>76</v>
      </c>
      <c r="C23" s="5" t="s">
        <v>77</v>
      </c>
      <c r="D23" s="5" t="s">
        <v>69</v>
      </c>
      <c r="E23" s="17" t="s">
        <v>21</v>
      </c>
      <c r="F23" s="6"/>
      <c r="G23" s="7"/>
      <c r="H23" s="7">
        <f>16</f>
        <v>16</v>
      </c>
      <c r="I23" s="7">
        <f t="shared" si="0"/>
        <v>0</v>
      </c>
      <c r="J23" s="7">
        <f t="shared" si="1"/>
        <v>0</v>
      </c>
      <c r="K23" s="7">
        <f t="shared" si="2"/>
        <v>0</v>
      </c>
      <c r="L23" s="7">
        <f>0</f>
        <v>0</v>
      </c>
      <c r="M23" s="8">
        <f t="shared" si="3"/>
        <v>0</v>
      </c>
      <c r="N23" s="8">
        <f t="shared" si="4"/>
        <v>0</v>
      </c>
      <c r="O23" s="8">
        <f t="shared" si="5"/>
        <v>0</v>
      </c>
      <c r="P23" s="9">
        <f t="shared" si="6"/>
        <v>0</v>
      </c>
      <c r="Q23" s="9" t="str">
        <f t="shared" si="7"/>
        <v>OK</v>
      </c>
    </row>
    <row r="24" spans="1:17">
      <c r="A24" s="17" t="s">
        <v>78</v>
      </c>
      <c r="B24" s="5" t="s">
        <v>79</v>
      </c>
      <c r="C24" s="5" t="s">
        <v>80</v>
      </c>
      <c r="D24" s="5" t="s">
        <v>69</v>
      </c>
      <c r="E24" s="17" t="s">
        <v>21</v>
      </c>
      <c r="F24" s="6"/>
      <c r="G24" s="7"/>
      <c r="H24" s="7">
        <f>16</f>
        <v>16</v>
      </c>
      <c r="I24" s="7">
        <f t="shared" si="0"/>
        <v>0</v>
      </c>
      <c r="J24" s="7">
        <f t="shared" si="1"/>
        <v>0</v>
      </c>
      <c r="K24" s="7">
        <f t="shared" si="2"/>
        <v>0</v>
      </c>
      <c r="L24" s="7">
        <f>0</f>
        <v>0</v>
      </c>
      <c r="M24" s="8">
        <f t="shared" si="3"/>
        <v>0</v>
      </c>
      <c r="N24" s="8">
        <f t="shared" si="4"/>
        <v>0</v>
      </c>
      <c r="O24" s="8">
        <f t="shared" si="5"/>
        <v>0</v>
      </c>
      <c r="P24" s="9">
        <f t="shared" si="6"/>
        <v>0</v>
      </c>
      <c r="Q24" s="9" t="str">
        <f t="shared" si="7"/>
        <v>OK</v>
      </c>
    </row>
    <row r="25" spans="1:17">
      <c r="A25" s="17" t="s">
        <v>81</v>
      </c>
      <c r="B25" s="5" t="s">
        <v>82</v>
      </c>
      <c r="C25" s="5" t="s">
        <v>83</v>
      </c>
      <c r="D25" s="5" t="s">
        <v>69</v>
      </c>
      <c r="E25" s="17" t="s">
        <v>21</v>
      </c>
      <c r="F25" s="6"/>
      <c r="G25" s="7"/>
      <c r="H25" s="7">
        <f>16</f>
        <v>16</v>
      </c>
      <c r="I25" s="7">
        <f t="shared" si="0"/>
        <v>0</v>
      </c>
      <c r="J25" s="7">
        <f t="shared" si="1"/>
        <v>0</v>
      </c>
      <c r="K25" s="7">
        <f t="shared" si="2"/>
        <v>0</v>
      </c>
      <c r="L25" s="7">
        <f>0</f>
        <v>0</v>
      </c>
      <c r="M25" s="8">
        <f t="shared" si="3"/>
        <v>0</v>
      </c>
      <c r="N25" s="8">
        <f t="shared" si="4"/>
        <v>0</v>
      </c>
      <c r="O25" s="8">
        <f t="shared" si="5"/>
        <v>0</v>
      </c>
      <c r="P25" s="9">
        <f t="shared" si="6"/>
        <v>0</v>
      </c>
      <c r="Q25" s="9" t="str">
        <f t="shared" si="7"/>
        <v>OK</v>
      </c>
    </row>
    <row r="26" spans="1:17">
      <c r="A26" s="17" t="s">
        <v>84</v>
      </c>
      <c r="B26" s="5" t="s">
        <v>85</v>
      </c>
      <c r="C26" s="5" t="s">
        <v>86</v>
      </c>
      <c r="D26" s="5" t="s">
        <v>87</v>
      </c>
      <c r="E26" s="17" t="s">
        <v>21</v>
      </c>
      <c r="F26" s="6"/>
      <c r="G26" s="7"/>
      <c r="H26" s="7">
        <f>16</f>
        <v>16</v>
      </c>
      <c r="I26" s="7">
        <f t="shared" si="0"/>
        <v>0</v>
      </c>
      <c r="J26" s="7">
        <f t="shared" si="1"/>
        <v>0</v>
      </c>
      <c r="K26" s="7">
        <f t="shared" si="2"/>
        <v>0</v>
      </c>
      <c r="L26" s="7">
        <f>0</f>
        <v>0</v>
      </c>
      <c r="M26" s="8">
        <f t="shared" si="3"/>
        <v>0</v>
      </c>
      <c r="N26" s="8">
        <f t="shared" si="4"/>
        <v>0</v>
      </c>
      <c r="O26" s="8">
        <f t="shared" si="5"/>
        <v>0</v>
      </c>
      <c r="P26" s="9">
        <f t="shared" si="6"/>
        <v>0</v>
      </c>
      <c r="Q26" s="9" t="str">
        <f t="shared" si="7"/>
        <v>OK</v>
      </c>
    </row>
    <row r="27" spans="1:17">
      <c r="A27" s="17">
        <v>249</v>
      </c>
      <c r="B27" s="5" t="s">
        <v>88</v>
      </c>
      <c r="C27" s="5" t="s">
        <v>89</v>
      </c>
      <c r="D27" s="5" t="s">
        <v>87</v>
      </c>
      <c r="E27" s="17" t="s">
        <v>21</v>
      </c>
      <c r="F27" s="6"/>
      <c r="G27" s="7"/>
      <c r="H27" s="7">
        <f>16</f>
        <v>16</v>
      </c>
      <c r="I27" s="7">
        <f t="shared" si="0"/>
        <v>0</v>
      </c>
      <c r="J27" s="7">
        <f t="shared" si="1"/>
        <v>0</v>
      </c>
      <c r="K27" s="7">
        <f t="shared" si="2"/>
        <v>0</v>
      </c>
      <c r="L27" s="7">
        <f>0</f>
        <v>0</v>
      </c>
      <c r="M27" s="8">
        <f t="shared" si="3"/>
        <v>0</v>
      </c>
      <c r="N27" s="8">
        <f t="shared" si="4"/>
        <v>0</v>
      </c>
      <c r="O27" s="8">
        <f t="shared" si="5"/>
        <v>0</v>
      </c>
      <c r="P27" s="9">
        <f t="shared" si="6"/>
        <v>0</v>
      </c>
      <c r="Q27" s="9" t="str">
        <f t="shared" si="7"/>
        <v>OK</v>
      </c>
    </row>
    <row r="28" spans="1:17">
      <c r="A28" s="17">
        <v>135</v>
      </c>
      <c r="B28" s="5" t="s">
        <v>90</v>
      </c>
      <c r="C28" s="5" t="s">
        <v>91</v>
      </c>
      <c r="D28" s="5" t="s">
        <v>92</v>
      </c>
      <c r="E28" s="17" t="s">
        <v>21</v>
      </c>
      <c r="F28" s="6"/>
      <c r="G28" s="7"/>
      <c r="H28" s="7">
        <f>16</f>
        <v>16</v>
      </c>
      <c r="I28" s="7">
        <f t="shared" si="0"/>
        <v>0</v>
      </c>
      <c r="J28" s="7">
        <f t="shared" si="1"/>
        <v>0</v>
      </c>
      <c r="K28" s="7">
        <f t="shared" si="2"/>
        <v>0</v>
      </c>
      <c r="L28" s="7">
        <f>0</f>
        <v>0</v>
      </c>
      <c r="M28" s="8">
        <f t="shared" si="3"/>
        <v>0</v>
      </c>
      <c r="N28" s="8">
        <f t="shared" si="4"/>
        <v>0</v>
      </c>
      <c r="O28" s="8">
        <f t="shared" si="5"/>
        <v>0</v>
      </c>
      <c r="P28" s="9">
        <f t="shared" si="6"/>
        <v>0</v>
      </c>
      <c r="Q28" s="9" t="str">
        <f t="shared" si="7"/>
        <v>OK</v>
      </c>
    </row>
    <row r="29" spans="1:17">
      <c r="A29" s="17" t="s">
        <v>93</v>
      </c>
      <c r="B29" s="5" t="s">
        <v>94</v>
      </c>
      <c r="C29" s="5" t="s">
        <v>95</v>
      </c>
      <c r="D29" s="5" t="s">
        <v>92</v>
      </c>
      <c r="E29" s="17" t="s">
        <v>21</v>
      </c>
      <c r="F29" s="6"/>
      <c r="G29" s="7"/>
      <c r="H29" s="7">
        <f>16</f>
        <v>16</v>
      </c>
      <c r="I29" s="7">
        <f t="shared" si="0"/>
        <v>0</v>
      </c>
      <c r="J29" s="7">
        <f t="shared" si="1"/>
        <v>0</v>
      </c>
      <c r="K29" s="7">
        <f t="shared" si="2"/>
        <v>0</v>
      </c>
      <c r="L29" s="7">
        <f>0</f>
        <v>0</v>
      </c>
      <c r="M29" s="8">
        <f t="shared" si="3"/>
        <v>0</v>
      </c>
      <c r="N29" s="8">
        <f t="shared" si="4"/>
        <v>0</v>
      </c>
      <c r="O29" s="8">
        <f t="shared" si="5"/>
        <v>0</v>
      </c>
      <c r="P29" s="9">
        <f t="shared" si="6"/>
        <v>0</v>
      </c>
      <c r="Q29" s="9" t="str">
        <f t="shared" si="7"/>
        <v>OK</v>
      </c>
    </row>
    <row r="30" spans="1:17">
      <c r="A30" s="17">
        <v>248</v>
      </c>
      <c r="B30" s="5" t="s">
        <v>96</v>
      </c>
      <c r="C30" s="5" t="s">
        <v>97</v>
      </c>
      <c r="D30" s="5" t="s">
        <v>92</v>
      </c>
      <c r="E30" s="17" t="s">
        <v>21</v>
      </c>
      <c r="F30" s="6"/>
      <c r="G30" s="7"/>
      <c r="H30" s="7">
        <f>16</f>
        <v>16</v>
      </c>
      <c r="I30" s="7">
        <f t="shared" si="0"/>
        <v>0</v>
      </c>
      <c r="J30" s="7">
        <f t="shared" si="1"/>
        <v>0</v>
      </c>
      <c r="K30" s="7">
        <f t="shared" si="2"/>
        <v>0</v>
      </c>
      <c r="L30" s="7">
        <f>0</f>
        <v>0</v>
      </c>
      <c r="M30" s="8">
        <f t="shared" si="3"/>
        <v>0</v>
      </c>
      <c r="N30" s="8">
        <f t="shared" si="4"/>
        <v>0</v>
      </c>
      <c r="O30" s="8">
        <f t="shared" si="5"/>
        <v>0</v>
      </c>
      <c r="P30" s="9">
        <f t="shared" si="6"/>
        <v>0</v>
      </c>
      <c r="Q30" s="9" t="str">
        <f t="shared" si="7"/>
        <v>OK</v>
      </c>
    </row>
    <row r="31" spans="1:17">
      <c r="A31" s="17">
        <v>71</v>
      </c>
      <c r="B31" s="5" t="s">
        <v>98</v>
      </c>
      <c r="C31" s="5" t="s">
        <v>99</v>
      </c>
      <c r="D31" s="5" t="s">
        <v>92</v>
      </c>
      <c r="E31" s="17" t="s">
        <v>21</v>
      </c>
      <c r="F31" s="6"/>
      <c r="G31" s="7"/>
      <c r="H31" s="7">
        <f>16</f>
        <v>16</v>
      </c>
      <c r="I31" s="7">
        <f t="shared" si="0"/>
        <v>0</v>
      </c>
      <c r="J31" s="7">
        <f t="shared" si="1"/>
        <v>0</v>
      </c>
      <c r="K31" s="7">
        <f t="shared" si="2"/>
        <v>0</v>
      </c>
      <c r="L31" s="7">
        <f>0</f>
        <v>0</v>
      </c>
      <c r="M31" s="8">
        <f t="shared" si="3"/>
        <v>0</v>
      </c>
      <c r="N31" s="8">
        <f t="shared" si="4"/>
        <v>0</v>
      </c>
      <c r="O31" s="8">
        <f t="shared" si="5"/>
        <v>0</v>
      </c>
      <c r="P31" s="9">
        <f t="shared" si="6"/>
        <v>0</v>
      </c>
      <c r="Q31" s="9" t="str">
        <f t="shared" si="7"/>
        <v>OK</v>
      </c>
    </row>
    <row r="32" spans="1:17">
      <c r="A32" s="17">
        <v>227</v>
      </c>
      <c r="B32" s="5" t="s">
        <v>100</v>
      </c>
      <c r="C32" s="5" t="s">
        <v>101</v>
      </c>
      <c r="D32" s="5" t="s">
        <v>92</v>
      </c>
      <c r="E32" s="17" t="s">
        <v>21</v>
      </c>
      <c r="F32" s="6"/>
      <c r="G32" s="7"/>
      <c r="H32" s="7">
        <f>16</f>
        <v>16</v>
      </c>
      <c r="I32" s="7">
        <f t="shared" si="0"/>
        <v>0</v>
      </c>
      <c r="J32" s="7">
        <f t="shared" si="1"/>
        <v>0</v>
      </c>
      <c r="K32" s="7">
        <f t="shared" si="2"/>
        <v>0</v>
      </c>
      <c r="L32" s="7">
        <f>0</f>
        <v>0</v>
      </c>
      <c r="M32" s="8">
        <f t="shared" si="3"/>
        <v>0</v>
      </c>
      <c r="N32" s="8">
        <f t="shared" si="4"/>
        <v>0</v>
      </c>
      <c r="O32" s="8">
        <f t="shared" si="5"/>
        <v>0</v>
      </c>
      <c r="P32" s="9">
        <f t="shared" si="6"/>
        <v>0</v>
      </c>
      <c r="Q32" s="9" t="str">
        <f t="shared" si="7"/>
        <v>OK</v>
      </c>
    </row>
    <row r="33" spans="1:17">
      <c r="A33" s="17">
        <v>251</v>
      </c>
      <c r="B33" s="5" t="s">
        <v>102</v>
      </c>
      <c r="C33" s="5" t="s">
        <v>103</v>
      </c>
      <c r="D33" s="5" t="s">
        <v>92</v>
      </c>
      <c r="E33" s="17" t="s">
        <v>21</v>
      </c>
      <c r="F33" s="6"/>
      <c r="G33" s="7"/>
      <c r="H33" s="7">
        <f>16</f>
        <v>16</v>
      </c>
      <c r="I33" s="7">
        <f t="shared" si="0"/>
        <v>0</v>
      </c>
      <c r="J33" s="7">
        <f t="shared" si="1"/>
        <v>0</v>
      </c>
      <c r="K33" s="7">
        <f t="shared" si="2"/>
        <v>0</v>
      </c>
      <c r="L33" s="7">
        <f>0</f>
        <v>0</v>
      </c>
      <c r="M33" s="8">
        <f t="shared" si="3"/>
        <v>0</v>
      </c>
      <c r="N33" s="8">
        <f t="shared" si="4"/>
        <v>0</v>
      </c>
      <c r="O33" s="8">
        <f t="shared" si="5"/>
        <v>0</v>
      </c>
      <c r="P33" s="9">
        <f t="shared" si="6"/>
        <v>0</v>
      </c>
      <c r="Q33" s="9" t="str">
        <f t="shared" si="7"/>
        <v>OK</v>
      </c>
    </row>
    <row r="34" spans="1:17">
      <c r="A34" s="17">
        <v>70</v>
      </c>
      <c r="B34" s="5" t="s">
        <v>104</v>
      </c>
      <c r="C34" s="5" t="s">
        <v>105</v>
      </c>
      <c r="D34" s="5" t="s">
        <v>92</v>
      </c>
      <c r="E34" s="17" t="s">
        <v>21</v>
      </c>
      <c r="F34" s="6"/>
      <c r="G34" s="7"/>
      <c r="H34" s="7">
        <f>16</f>
        <v>16</v>
      </c>
      <c r="I34" s="7">
        <f t="shared" si="0"/>
        <v>0</v>
      </c>
      <c r="J34" s="7">
        <f t="shared" si="1"/>
        <v>0</v>
      </c>
      <c r="K34" s="7">
        <f t="shared" si="2"/>
        <v>0</v>
      </c>
      <c r="L34" s="7">
        <f>0</f>
        <v>0</v>
      </c>
      <c r="M34" s="8">
        <f t="shared" si="3"/>
        <v>0</v>
      </c>
      <c r="N34" s="8">
        <f t="shared" si="4"/>
        <v>0</v>
      </c>
      <c r="O34" s="8">
        <f t="shared" si="5"/>
        <v>0</v>
      </c>
      <c r="P34" s="9">
        <f t="shared" si="6"/>
        <v>0</v>
      </c>
      <c r="Q34" s="9" t="str">
        <f t="shared" si="7"/>
        <v>OK</v>
      </c>
    </row>
    <row r="35" spans="1:17">
      <c r="A35" s="17">
        <v>50</v>
      </c>
      <c r="B35" s="5" t="s">
        <v>106</v>
      </c>
      <c r="C35" s="5" t="s">
        <v>107</v>
      </c>
      <c r="D35" s="5" t="s">
        <v>92</v>
      </c>
      <c r="E35" s="17" t="s">
        <v>21</v>
      </c>
      <c r="F35" s="6"/>
      <c r="G35" s="7"/>
      <c r="H35" s="7">
        <f>16</f>
        <v>16</v>
      </c>
      <c r="I35" s="7">
        <f t="shared" ref="I35:I66" si="8">SUM(F35:G35)*24</f>
        <v>0</v>
      </c>
      <c r="J35" s="7">
        <f t="shared" ref="J35:J66" si="9">MIN(H35,SUM(F35:G35)*24)</f>
        <v>0</v>
      </c>
      <c r="K35" s="7">
        <f t="shared" ref="K35:K66" si="10">FLOOR(MAX(SUM(F35:G35)*24-H35,0),0.5)</f>
        <v>0</v>
      </c>
      <c r="L35" s="7">
        <f>0</f>
        <v>0</v>
      </c>
      <c r="M35" s="8">
        <f t="shared" ref="M35:M66" si="11">COUNTIF(F35:G35,"ABS")</f>
        <v>0</v>
      </c>
      <c r="N35" s="8">
        <f t="shared" ref="N35:N66" si="12">COUNTIF(F35:G35,"Congé")</f>
        <v>0</v>
      </c>
      <c r="O35" s="8">
        <f t="shared" ref="O35:O66" si="13">COUNTIF(F35:G35,"Férié")</f>
        <v>0</v>
      </c>
      <c r="P35" s="9">
        <f t="shared" ref="P35:P66" si="14">J35+K35+L35+(O35*8.5)</f>
        <v>0</v>
      </c>
      <c r="Q35" s="9" t="str">
        <f t="shared" ref="Q35:Q66" si="15">IF(COUNTIF(F35:G35,"STC")&gt;0,"STC",IF(COUNTIF(F35:G35,"*!*")&gt;0,"À vérifier","OK"))</f>
        <v>OK</v>
      </c>
    </row>
    <row r="36" spans="1:17">
      <c r="A36" s="17">
        <v>250</v>
      </c>
      <c r="B36" s="5" t="s">
        <v>108</v>
      </c>
      <c r="C36" s="5" t="s">
        <v>66</v>
      </c>
      <c r="D36" s="5" t="s">
        <v>92</v>
      </c>
      <c r="E36" s="17" t="s">
        <v>21</v>
      </c>
      <c r="F36" s="6"/>
      <c r="G36" s="7"/>
      <c r="H36" s="7">
        <f>16</f>
        <v>16</v>
      </c>
      <c r="I36" s="7">
        <f t="shared" si="8"/>
        <v>0</v>
      </c>
      <c r="J36" s="7">
        <f t="shared" si="9"/>
        <v>0</v>
      </c>
      <c r="K36" s="7">
        <f t="shared" si="10"/>
        <v>0</v>
      </c>
      <c r="L36" s="7">
        <f>0</f>
        <v>0</v>
      </c>
      <c r="M36" s="8">
        <f t="shared" si="11"/>
        <v>0</v>
      </c>
      <c r="N36" s="8">
        <f t="shared" si="12"/>
        <v>0</v>
      </c>
      <c r="O36" s="8">
        <f t="shared" si="13"/>
        <v>0</v>
      </c>
      <c r="P36" s="9">
        <f t="shared" si="14"/>
        <v>0</v>
      </c>
      <c r="Q36" s="9" t="str">
        <f t="shared" si="15"/>
        <v>OK</v>
      </c>
    </row>
    <row r="37" spans="1:17">
      <c r="A37" s="17" t="s">
        <v>109</v>
      </c>
      <c r="B37" s="5" t="s">
        <v>110</v>
      </c>
      <c r="C37" s="5" t="s">
        <v>111</v>
      </c>
      <c r="D37" s="5" t="s">
        <v>92</v>
      </c>
      <c r="E37" s="17" t="s">
        <v>21</v>
      </c>
      <c r="F37" s="6"/>
      <c r="G37" s="7"/>
      <c r="H37" s="7">
        <f>16</f>
        <v>16</v>
      </c>
      <c r="I37" s="7">
        <f t="shared" si="8"/>
        <v>0</v>
      </c>
      <c r="J37" s="7">
        <f t="shared" si="9"/>
        <v>0</v>
      </c>
      <c r="K37" s="7">
        <f t="shared" si="10"/>
        <v>0</v>
      </c>
      <c r="L37" s="7">
        <f>0</f>
        <v>0</v>
      </c>
      <c r="M37" s="8">
        <f t="shared" si="11"/>
        <v>0</v>
      </c>
      <c r="N37" s="8">
        <f t="shared" si="12"/>
        <v>0</v>
      </c>
      <c r="O37" s="8">
        <f t="shared" si="13"/>
        <v>0</v>
      </c>
      <c r="P37" s="9">
        <f t="shared" si="14"/>
        <v>0</v>
      </c>
      <c r="Q37" s="9" t="str">
        <f t="shared" si="15"/>
        <v>OK</v>
      </c>
    </row>
    <row r="38" spans="1:17">
      <c r="A38" s="17">
        <v>223</v>
      </c>
      <c r="B38" s="5" t="s">
        <v>112</v>
      </c>
      <c r="C38" s="5" t="s">
        <v>113</v>
      </c>
      <c r="D38" s="5" t="s">
        <v>92</v>
      </c>
      <c r="E38" s="17" t="s">
        <v>21</v>
      </c>
      <c r="F38" s="6"/>
      <c r="G38" s="7"/>
      <c r="H38" s="7">
        <f>16</f>
        <v>16</v>
      </c>
      <c r="I38" s="7">
        <f t="shared" si="8"/>
        <v>0</v>
      </c>
      <c r="J38" s="7">
        <f t="shared" si="9"/>
        <v>0</v>
      </c>
      <c r="K38" s="7">
        <f t="shared" si="10"/>
        <v>0</v>
      </c>
      <c r="L38" s="7">
        <f>0</f>
        <v>0</v>
      </c>
      <c r="M38" s="8">
        <f t="shared" si="11"/>
        <v>0</v>
      </c>
      <c r="N38" s="8">
        <f t="shared" si="12"/>
        <v>0</v>
      </c>
      <c r="O38" s="8">
        <f t="shared" si="13"/>
        <v>0</v>
      </c>
      <c r="P38" s="9">
        <f t="shared" si="14"/>
        <v>0</v>
      </c>
      <c r="Q38" s="9" t="str">
        <f t="shared" si="15"/>
        <v>OK</v>
      </c>
    </row>
    <row r="39" spans="1:17">
      <c r="A39" s="17" t="s">
        <v>114</v>
      </c>
      <c r="B39" s="5" t="s">
        <v>115</v>
      </c>
      <c r="C39" s="5" t="s">
        <v>116</v>
      </c>
      <c r="D39" s="5" t="s">
        <v>92</v>
      </c>
      <c r="E39" s="17" t="s">
        <v>21</v>
      </c>
      <c r="F39" s="6"/>
      <c r="G39" s="7"/>
      <c r="H39" s="7">
        <f>16</f>
        <v>16</v>
      </c>
      <c r="I39" s="7">
        <f t="shared" si="8"/>
        <v>0</v>
      </c>
      <c r="J39" s="7">
        <f t="shared" si="9"/>
        <v>0</v>
      </c>
      <c r="K39" s="7">
        <f t="shared" si="10"/>
        <v>0</v>
      </c>
      <c r="L39" s="7">
        <f>0</f>
        <v>0</v>
      </c>
      <c r="M39" s="8">
        <f t="shared" si="11"/>
        <v>0</v>
      </c>
      <c r="N39" s="8">
        <f t="shared" si="12"/>
        <v>0</v>
      </c>
      <c r="O39" s="8">
        <f t="shared" si="13"/>
        <v>0</v>
      </c>
      <c r="P39" s="9">
        <f t="shared" si="14"/>
        <v>0</v>
      </c>
      <c r="Q39" s="9" t="str">
        <f t="shared" si="15"/>
        <v>OK</v>
      </c>
    </row>
    <row r="40" spans="1:17">
      <c r="A40" s="17" t="s">
        <v>117</v>
      </c>
      <c r="B40" s="5" t="s">
        <v>118</v>
      </c>
      <c r="C40" s="5" t="s">
        <v>119</v>
      </c>
      <c r="D40" s="5" t="s">
        <v>92</v>
      </c>
      <c r="E40" s="17" t="s">
        <v>21</v>
      </c>
      <c r="F40" s="6"/>
      <c r="G40" s="7"/>
      <c r="H40" s="7">
        <f>16</f>
        <v>16</v>
      </c>
      <c r="I40" s="7">
        <f t="shared" si="8"/>
        <v>0</v>
      </c>
      <c r="J40" s="7">
        <f t="shared" si="9"/>
        <v>0</v>
      </c>
      <c r="K40" s="7">
        <f t="shared" si="10"/>
        <v>0</v>
      </c>
      <c r="L40" s="7">
        <f>0</f>
        <v>0</v>
      </c>
      <c r="M40" s="8">
        <f t="shared" si="11"/>
        <v>0</v>
      </c>
      <c r="N40" s="8">
        <f t="shared" si="12"/>
        <v>0</v>
      </c>
      <c r="O40" s="8">
        <f t="shared" si="13"/>
        <v>0</v>
      </c>
      <c r="P40" s="9">
        <f t="shared" si="14"/>
        <v>0</v>
      </c>
      <c r="Q40" s="9" t="str">
        <f t="shared" si="15"/>
        <v>OK</v>
      </c>
    </row>
    <row r="41" spans="1:17">
      <c r="A41" s="17" t="s">
        <v>120</v>
      </c>
      <c r="B41" s="5" t="s">
        <v>121</v>
      </c>
      <c r="C41" s="5" t="s">
        <v>122</v>
      </c>
      <c r="D41" s="5" t="s">
        <v>31</v>
      </c>
      <c r="E41" s="17" t="s">
        <v>123</v>
      </c>
      <c r="F41" s="6"/>
      <c r="G41" s="7"/>
      <c r="H41" s="7">
        <f>16</f>
        <v>16</v>
      </c>
      <c r="I41" s="7">
        <f t="shared" si="8"/>
        <v>0</v>
      </c>
      <c r="J41" s="7">
        <f t="shared" si="9"/>
        <v>0</v>
      </c>
      <c r="K41" s="7">
        <f t="shared" si="10"/>
        <v>0</v>
      </c>
      <c r="L41" s="7">
        <f>0</f>
        <v>0</v>
      </c>
      <c r="M41" s="8">
        <f t="shared" si="11"/>
        <v>0</v>
      </c>
      <c r="N41" s="8">
        <f t="shared" si="12"/>
        <v>0</v>
      </c>
      <c r="O41" s="8">
        <f t="shared" si="13"/>
        <v>0</v>
      </c>
      <c r="P41" s="9">
        <f t="shared" si="14"/>
        <v>0</v>
      </c>
      <c r="Q41" s="9" t="str">
        <f t="shared" si="15"/>
        <v>OK</v>
      </c>
    </row>
    <row r="42" spans="1:17">
      <c r="A42" s="17" t="s">
        <v>124</v>
      </c>
      <c r="B42" s="5" t="s">
        <v>68</v>
      </c>
      <c r="C42" s="5" t="s">
        <v>125</v>
      </c>
      <c r="D42" s="5" t="s">
        <v>31</v>
      </c>
      <c r="E42" s="17" t="s">
        <v>123</v>
      </c>
      <c r="F42" s="6"/>
      <c r="G42" s="7"/>
      <c r="H42" s="7">
        <f>16</f>
        <v>16</v>
      </c>
      <c r="I42" s="7">
        <f t="shared" si="8"/>
        <v>0</v>
      </c>
      <c r="J42" s="7">
        <f t="shared" si="9"/>
        <v>0</v>
      </c>
      <c r="K42" s="7">
        <f t="shared" si="10"/>
        <v>0</v>
      </c>
      <c r="L42" s="7">
        <f>0</f>
        <v>0</v>
      </c>
      <c r="M42" s="8">
        <f t="shared" si="11"/>
        <v>0</v>
      </c>
      <c r="N42" s="8">
        <f t="shared" si="12"/>
        <v>0</v>
      </c>
      <c r="O42" s="8">
        <f t="shared" si="13"/>
        <v>0</v>
      </c>
      <c r="P42" s="9">
        <f t="shared" si="14"/>
        <v>0</v>
      </c>
      <c r="Q42" s="9" t="str">
        <f t="shared" si="15"/>
        <v>OK</v>
      </c>
    </row>
    <row r="43" spans="1:17">
      <c r="A43" s="17" t="s">
        <v>126</v>
      </c>
      <c r="B43" s="5" t="s">
        <v>127</v>
      </c>
      <c r="C43" s="5" t="s">
        <v>128</v>
      </c>
      <c r="D43" s="5" t="s">
        <v>31</v>
      </c>
      <c r="E43" s="17" t="s">
        <v>123</v>
      </c>
      <c r="F43" s="6"/>
      <c r="G43" s="7"/>
      <c r="H43" s="7">
        <f>16</f>
        <v>16</v>
      </c>
      <c r="I43" s="7">
        <f t="shared" si="8"/>
        <v>0</v>
      </c>
      <c r="J43" s="7">
        <f t="shared" si="9"/>
        <v>0</v>
      </c>
      <c r="K43" s="7">
        <f t="shared" si="10"/>
        <v>0</v>
      </c>
      <c r="L43" s="7">
        <f>0</f>
        <v>0</v>
      </c>
      <c r="M43" s="8">
        <f t="shared" si="11"/>
        <v>0</v>
      </c>
      <c r="N43" s="8">
        <f t="shared" si="12"/>
        <v>0</v>
      </c>
      <c r="O43" s="8">
        <f t="shared" si="13"/>
        <v>0</v>
      </c>
      <c r="P43" s="9">
        <f t="shared" si="14"/>
        <v>0</v>
      </c>
      <c r="Q43" s="9" t="str">
        <f t="shared" si="15"/>
        <v>OK</v>
      </c>
    </row>
    <row r="44" spans="1:17">
      <c r="A44" s="17">
        <v>53</v>
      </c>
      <c r="B44" s="5" t="s">
        <v>129</v>
      </c>
      <c r="C44" s="5" t="s">
        <v>130</v>
      </c>
      <c r="D44" s="5" t="s">
        <v>31</v>
      </c>
      <c r="E44" s="17" t="s">
        <v>123</v>
      </c>
      <c r="F44" s="6"/>
      <c r="G44" s="7"/>
      <c r="H44" s="7">
        <f>16</f>
        <v>16</v>
      </c>
      <c r="I44" s="7">
        <f t="shared" si="8"/>
        <v>0</v>
      </c>
      <c r="J44" s="7">
        <f t="shared" si="9"/>
        <v>0</v>
      </c>
      <c r="K44" s="7">
        <f t="shared" si="10"/>
        <v>0</v>
      </c>
      <c r="L44" s="7">
        <f>0</f>
        <v>0</v>
      </c>
      <c r="M44" s="8">
        <f t="shared" si="11"/>
        <v>0</v>
      </c>
      <c r="N44" s="8">
        <f t="shared" si="12"/>
        <v>0</v>
      </c>
      <c r="O44" s="8">
        <f t="shared" si="13"/>
        <v>0</v>
      </c>
      <c r="P44" s="9">
        <f t="shared" si="14"/>
        <v>0</v>
      </c>
      <c r="Q44" s="9" t="str">
        <f t="shared" si="15"/>
        <v>OK</v>
      </c>
    </row>
    <row r="45" spans="1:17">
      <c r="A45" s="17" t="s">
        <v>131</v>
      </c>
      <c r="B45" s="5" t="s">
        <v>132</v>
      </c>
      <c r="C45" s="5" t="s">
        <v>133</v>
      </c>
      <c r="D45" s="5" t="s">
        <v>31</v>
      </c>
      <c r="E45" s="17" t="s">
        <v>123</v>
      </c>
      <c r="F45" s="6"/>
      <c r="G45" s="7"/>
      <c r="H45" s="7">
        <f>16</f>
        <v>16</v>
      </c>
      <c r="I45" s="7">
        <f t="shared" si="8"/>
        <v>0</v>
      </c>
      <c r="J45" s="7">
        <f t="shared" si="9"/>
        <v>0</v>
      </c>
      <c r="K45" s="7">
        <f t="shared" si="10"/>
        <v>0</v>
      </c>
      <c r="L45" s="7">
        <f>0</f>
        <v>0</v>
      </c>
      <c r="M45" s="8">
        <f t="shared" si="11"/>
        <v>0</v>
      </c>
      <c r="N45" s="8">
        <f t="shared" si="12"/>
        <v>0</v>
      </c>
      <c r="O45" s="8">
        <f t="shared" si="13"/>
        <v>0</v>
      </c>
      <c r="P45" s="9">
        <f t="shared" si="14"/>
        <v>0</v>
      </c>
      <c r="Q45" s="9" t="str">
        <f t="shared" si="15"/>
        <v>OK</v>
      </c>
    </row>
    <row r="46" spans="1:17">
      <c r="A46" s="17" t="s">
        <v>134</v>
      </c>
      <c r="B46" s="5" t="s">
        <v>135</v>
      </c>
      <c r="C46" s="5" t="s">
        <v>136</v>
      </c>
      <c r="D46" s="5" t="s">
        <v>31</v>
      </c>
      <c r="E46" s="17" t="s">
        <v>123</v>
      </c>
      <c r="F46" s="6"/>
      <c r="G46" s="7"/>
      <c r="H46" s="7">
        <f>16</f>
        <v>16</v>
      </c>
      <c r="I46" s="7">
        <f t="shared" si="8"/>
        <v>0</v>
      </c>
      <c r="J46" s="7">
        <f t="shared" si="9"/>
        <v>0</v>
      </c>
      <c r="K46" s="7">
        <f t="shared" si="10"/>
        <v>0</v>
      </c>
      <c r="L46" s="7">
        <f>0</f>
        <v>0</v>
      </c>
      <c r="M46" s="8">
        <f t="shared" si="11"/>
        <v>0</v>
      </c>
      <c r="N46" s="8">
        <f t="shared" si="12"/>
        <v>0</v>
      </c>
      <c r="O46" s="8">
        <f t="shared" si="13"/>
        <v>0</v>
      </c>
      <c r="P46" s="9">
        <f t="shared" si="14"/>
        <v>0</v>
      </c>
      <c r="Q46" s="9" t="str">
        <f t="shared" si="15"/>
        <v>OK</v>
      </c>
    </row>
    <row r="47" spans="1:17">
      <c r="A47" s="17" t="s">
        <v>137</v>
      </c>
      <c r="B47" s="5" t="s">
        <v>138</v>
      </c>
      <c r="C47" s="5" t="s">
        <v>139</v>
      </c>
      <c r="D47" s="5" t="s">
        <v>31</v>
      </c>
      <c r="E47" s="17" t="s">
        <v>123</v>
      </c>
      <c r="F47" s="6"/>
      <c r="G47" s="7"/>
      <c r="H47" s="7">
        <f>16</f>
        <v>16</v>
      </c>
      <c r="I47" s="7">
        <f t="shared" si="8"/>
        <v>0</v>
      </c>
      <c r="J47" s="7">
        <f t="shared" si="9"/>
        <v>0</v>
      </c>
      <c r="K47" s="7">
        <f t="shared" si="10"/>
        <v>0</v>
      </c>
      <c r="L47" s="7">
        <f>0</f>
        <v>0</v>
      </c>
      <c r="M47" s="8">
        <f t="shared" si="11"/>
        <v>0</v>
      </c>
      <c r="N47" s="8">
        <f t="shared" si="12"/>
        <v>0</v>
      </c>
      <c r="O47" s="8">
        <f t="shared" si="13"/>
        <v>0</v>
      </c>
      <c r="P47" s="9">
        <f t="shared" si="14"/>
        <v>0</v>
      </c>
      <c r="Q47" s="9" t="str">
        <f t="shared" si="15"/>
        <v>OK</v>
      </c>
    </row>
    <row r="48" spans="1:17">
      <c r="A48" s="17" t="s">
        <v>140</v>
      </c>
      <c r="B48" s="5" t="s">
        <v>141</v>
      </c>
      <c r="C48" s="5" t="s">
        <v>142</v>
      </c>
      <c r="D48" s="5" t="s">
        <v>31</v>
      </c>
      <c r="E48" s="17" t="s">
        <v>123</v>
      </c>
      <c r="F48" s="6"/>
      <c r="G48" s="7"/>
      <c r="H48" s="7">
        <f>16</f>
        <v>16</v>
      </c>
      <c r="I48" s="7">
        <f t="shared" si="8"/>
        <v>0</v>
      </c>
      <c r="J48" s="7">
        <f t="shared" si="9"/>
        <v>0</v>
      </c>
      <c r="K48" s="7">
        <f t="shared" si="10"/>
        <v>0</v>
      </c>
      <c r="L48" s="7">
        <f>0</f>
        <v>0</v>
      </c>
      <c r="M48" s="8">
        <f t="shared" si="11"/>
        <v>0</v>
      </c>
      <c r="N48" s="8">
        <f t="shared" si="12"/>
        <v>0</v>
      </c>
      <c r="O48" s="8">
        <f t="shared" si="13"/>
        <v>0</v>
      </c>
      <c r="P48" s="9">
        <f t="shared" si="14"/>
        <v>0</v>
      </c>
      <c r="Q48" s="9" t="str">
        <f t="shared" si="15"/>
        <v>OK</v>
      </c>
    </row>
    <row r="49" spans="1:17">
      <c r="A49" s="17" t="s">
        <v>143</v>
      </c>
      <c r="B49" s="5" t="s">
        <v>144</v>
      </c>
      <c r="C49" s="5" t="s">
        <v>145</v>
      </c>
      <c r="D49" s="5" t="s">
        <v>31</v>
      </c>
      <c r="E49" s="17" t="s">
        <v>123</v>
      </c>
      <c r="F49" s="6"/>
      <c r="G49" s="7"/>
      <c r="H49" s="7">
        <f>16</f>
        <v>16</v>
      </c>
      <c r="I49" s="7">
        <f t="shared" si="8"/>
        <v>0</v>
      </c>
      <c r="J49" s="7">
        <f t="shared" si="9"/>
        <v>0</v>
      </c>
      <c r="K49" s="7">
        <f t="shared" si="10"/>
        <v>0</v>
      </c>
      <c r="L49" s="7">
        <f>0</f>
        <v>0</v>
      </c>
      <c r="M49" s="8">
        <f t="shared" si="11"/>
        <v>0</v>
      </c>
      <c r="N49" s="8">
        <f t="shared" si="12"/>
        <v>0</v>
      </c>
      <c r="O49" s="8">
        <f t="shared" si="13"/>
        <v>0</v>
      </c>
      <c r="P49" s="9">
        <f t="shared" si="14"/>
        <v>0</v>
      </c>
      <c r="Q49" s="9" t="str">
        <f t="shared" si="15"/>
        <v>OK</v>
      </c>
    </row>
    <row r="50" spans="1:17">
      <c r="A50" s="17" t="s">
        <v>146</v>
      </c>
      <c r="B50" s="5" t="s">
        <v>147</v>
      </c>
      <c r="C50" s="5" t="s">
        <v>148</v>
      </c>
      <c r="D50" s="5" t="s">
        <v>31</v>
      </c>
      <c r="E50" s="17" t="s">
        <v>123</v>
      </c>
      <c r="F50" s="6"/>
      <c r="G50" s="7"/>
      <c r="H50" s="7">
        <f>16</f>
        <v>16</v>
      </c>
      <c r="I50" s="7">
        <f t="shared" si="8"/>
        <v>0</v>
      </c>
      <c r="J50" s="7">
        <f t="shared" si="9"/>
        <v>0</v>
      </c>
      <c r="K50" s="7">
        <f t="shared" si="10"/>
        <v>0</v>
      </c>
      <c r="L50" s="7">
        <f>0</f>
        <v>0</v>
      </c>
      <c r="M50" s="8">
        <f t="shared" si="11"/>
        <v>0</v>
      </c>
      <c r="N50" s="8">
        <f t="shared" si="12"/>
        <v>0</v>
      </c>
      <c r="O50" s="8">
        <f t="shared" si="13"/>
        <v>0</v>
      </c>
      <c r="P50" s="9">
        <f t="shared" si="14"/>
        <v>0</v>
      </c>
      <c r="Q50" s="9" t="str">
        <f t="shared" si="15"/>
        <v>OK</v>
      </c>
    </row>
    <row r="51" spans="1:17">
      <c r="A51" s="17" t="s">
        <v>149</v>
      </c>
      <c r="B51" s="5" t="s">
        <v>150</v>
      </c>
      <c r="C51" s="5" t="s">
        <v>151</v>
      </c>
      <c r="D51" s="5" t="s">
        <v>31</v>
      </c>
      <c r="E51" s="17" t="s">
        <v>123</v>
      </c>
      <c r="F51" s="6"/>
      <c r="G51" s="7"/>
      <c r="H51" s="7">
        <f>16</f>
        <v>16</v>
      </c>
      <c r="I51" s="7">
        <f t="shared" si="8"/>
        <v>0</v>
      </c>
      <c r="J51" s="7">
        <f t="shared" si="9"/>
        <v>0</v>
      </c>
      <c r="K51" s="7">
        <f t="shared" si="10"/>
        <v>0</v>
      </c>
      <c r="L51" s="7">
        <f>0</f>
        <v>0</v>
      </c>
      <c r="M51" s="8">
        <f t="shared" si="11"/>
        <v>0</v>
      </c>
      <c r="N51" s="8">
        <f t="shared" si="12"/>
        <v>0</v>
      </c>
      <c r="O51" s="8">
        <f t="shared" si="13"/>
        <v>0</v>
      </c>
      <c r="P51" s="9">
        <f t="shared" si="14"/>
        <v>0</v>
      </c>
      <c r="Q51" s="9" t="str">
        <f t="shared" si="15"/>
        <v>OK</v>
      </c>
    </row>
    <row r="52" spans="1:17">
      <c r="A52" s="17" t="s">
        <v>114</v>
      </c>
      <c r="B52" s="5" t="s">
        <v>150</v>
      </c>
      <c r="C52" s="5" t="s">
        <v>152</v>
      </c>
      <c r="D52" s="5" t="s">
        <v>31</v>
      </c>
      <c r="E52" s="17" t="s">
        <v>123</v>
      </c>
      <c r="F52" s="6"/>
      <c r="G52" s="7"/>
      <c r="H52" s="7">
        <f>16</f>
        <v>16</v>
      </c>
      <c r="I52" s="7">
        <f t="shared" si="8"/>
        <v>0</v>
      </c>
      <c r="J52" s="7">
        <f t="shared" si="9"/>
        <v>0</v>
      </c>
      <c r="K52" s="7">
        <f t="shared" si="10"/>
        <v>0</v>
      </c>
      <c r="L52" s="7">
        <f>0</f>
        <v>0</v>
      </c>
      <c r="M52" s="8">
        <f t="shared" si="11"/>
        <v>0</v>
      </c>
      <c r="N52" s="8">
        <f t="shared" si="12"/>
        <v>0</v>
      </c>
      <c r="O52" s="8">
        <f t="shared" si="13"/>
        <v>0</v>
      </c>
      <c r="P52" s="9">
        <f t="shared" si="14"/>
        <v>0</v>
      </c>
      <c r="Q52" s="9" t="str">
        <f t="shared" si="15"/>
        <v>OK</v>
      </c>
    </row>
    <row r="53" spans="1:17">
      <c r="A53" s="17">
        <v>177</v>
      </c>
      <c r="B53" s="5" t="s">
        <v>153</v>
      </c>
      <c r="C53" s="5" t="s">
        <v>154</v>
      </c>
      <c r="D53" s="5" t="s">
        <v>31</v>
      </c>
      <c r="E53" s="17" t="s">
        <v>123</v>
      </c>
      <c r="F53" s="6"/>
      <c r="G53" s="7"/>
      <c r="H53" s="7">
        <f>16</f>
        <v>16</v>
      </c>
      <c r="I53" s="7">
        <f t="shared" si="8"/>
        <v>0</v>
      </c>
      <c r="J53" s="7">
        <f t="shared" si="9"/>
        <v>0</v>
      </c>
      <c r="K53" s="7">
        <f t="shared" si="10"/>
        <v>0</v>
      </c>
      <c r="L53" s="7">
        <f>0</f>
        <v>0</v>
      </c>
      <c r="M53" s="8">
        <f t="shared" si="11"/>
        <v>0</v>
      </c>
      <c r="N53" s="8">
        <f t="shared" si="12"/>
        <v>0</v>
      </c>
      <c r="O53" s="8">
        <f t="shared" si="13"/>
        <v>0</v>
      </c>
      <c r="P53" s="9">
        <f t="shared" si="14"/>
        <v>0</v>
      </c>
      <c r="Q53" s="9" t="str">
        <f t="shared" si="15"/>
        <v>OK</v>
      </c>
    </row>
    <row r="54" spans="1:17">
      <c r="A54" s="17" t="s">
        <v>155</v>
      </c>
      <c r="B54" s="5" t="s">
        <v>156</v>
      </c>
      <c r="C54" s="5" t="s">
        <v>154</v>
      </c>
      <c r="D54" s="5" t="s">
        <v>31</v>
      </c>
      <c r="E54" s="17" t="s">
        <v>123</v>
      </c>
      <c r="F54" s="6"/>
      <c r="G54" s="7"/>
      <c r="H54" s="7">
        <f>16</f>
        <v>16</v>
      </c>
      <c r="I54" s="7">
        <f t="shared" si="8"/>
        <v>0</v>
      </c>
      <c r="J54" s="7">
        <f t="shared" si="9"/>
        <v>0</v>
      </c>
      <c r="K54" s="7">
        <f t="shared" si="10"/>
        <v>0</v>
      </c>
      <c r="L54" s="7">
        <f>0</f>
        <v>0</v>
      </c>
      <c r="M54" s="8">
        <f t="shared" si="11"/>
        <v>0</v>
      </c>
      <c r="N54" s="8">
        <f t="shared" si="12"/>
        <v>0</v>
      </c>
      <c r="O54" s="8">
        <f t="shared" si="13"/>
        <v>0</v>
      </c>
      <c r="P54" s="9">
        <f t="shared" si="14"/>
        <v>0</v>
      </c>
      <c r="Q54" s="9" t="str">
        <f t="shared" si="15"/>
        <v>OK</v>
      </c>
    </row>
    <row r="55" spans="1:17">
      <c r="A55" s="17" t="s">
        <v>157</v>
      </c>
      <c r="B55" s="5" t="s">
        <v>158</v>
      </c>
      <c r="C55" s="5" t="s">
        <v>159</v>
      </c>
      <c r="D55" s="5" t="s">
        <v>31</v>
      </c>
      <c r="E55" s="17" t="s">
        <v>123</v>
      </c>
      <c r="F55" s="6"/>
      <c r="G55" s="7"/>
      <c r="H55" s="7">
        <f>16</f>
        <v>16</v>
      </c>
      <c r="I55" s="7">
        <f t="shared" si="8"/>
        <v>0</v>
      </c>
      <c r="J55" s="7">
        <f t="shared" si="9"/>
        <v>0</v>
      </c>
      <c r="K55" s="7">
        <f t="shared" si="10"/>
        <v>0</v>
      </c>
      <c r="L55" s="7">
        <f>0</f>
        <v>0</v>
      </c>
      <c r="M55" s="8">
        <f t="shared" si="11"/>
        <v>0</v>
      </c>
      <c r="N55" s="8">
        <f t="shared" si="12"/>
        <v>0</v>
      </c>
      <c r="O55" s="8">
        <f t="shared" si="13"/>
        <v>0</v>
      </c>
      <c r="P55" s="9">
        <f t="shared" si="14"/>
        <v>0</v>
      </c>
      <c r="Q55" s="9" t="str">
        <f t="shared" si="15"/>
        <v>OK</v>
      </c>
    </row>
    <row r="56" spans="1:17">
      <c r="A56" s="17">
        <v>163</v>
      </c>
      <c r="B56" s="5" t="s">
        <v>160</v>
      </c>
      <c r="C56" s="5" t="s">
        <v>161</v>
      </c>
      <c r="D56" s="5" t="s">
        <v>31</v>
      </c>
      <c r="E56" s="17" t="s">
        <v>123</v>
      </c>
      <c r="F56" s="6"/>
      <c r="G56" s="7"/>
      <c r="H56" s="7">
        <f>16</f>
        <v>16</v>
      </c>
      <c r="I56" s="7">
        <f t="shared" si="8"/>
        <v>0</v>
      </c>
      <c r="J56" s="7">
        <f t="shared" si="9"/>
        <v>0</v>
      </c>
      <c r="K56" s="7">
        <f t="shared" si="10"/>
        <v>0</v>
      </c>
      <c r="L56" s="7">
        <f>0</f>
        <v>0</v>
      </c>
      <c r="M56" s="8">
        <f t="shared" si="11"/>
        <v>0</v>
      </c>
      <c r="N56" s="8">
        <f t="shared" si="12"/>
        <v>0</v>
      </c>
      <c r="O56" s="8">
        <f t="shared" si="13"/>
        <v>0</v>
      </c>
      <c r="P56" s="9">
        <f t="shared" si="14"/>
        <v>0</v>
      </c>
      <c r="Q56" s="9" t="str">
        <f t="shared" si="15"/>
        <v>OK</v>
      </c>
    </row>
    <row r="57" spans="1:17">
      <c r="A57" s="17">
        <v>240</v>
      </c>
      <c r="B57" s="5" t="s">
        <v>162</v>
      </c>
      <c r="C57" s="5" t="s">
        <v>163</v>
      </c>
      <c r="D57" s="5" t="s">
        <v>31</v>
      </c>
      <c r="E57" s="17" t="s">
        <v>123</v>
      </c>
      <c r="F57" s="6"/>
      <c r="G57" s="7"/>
      <c r="H57" s="7">
        <f>16</f>
        <v>16</v>
      </c>
      <c r="I57" s="7">
        <f t="shared" si="8"/>
        <v>0</v>
      </c>
      <c r="J57" s="7">
        <f t="shared" si="9"/>
        <v>0</v>
      </c>
      <c r="K57" s="7">
        <f t="shared" si="10"/>
        <v>0</v>
      </c>
      <c r="L57" s="7">
        <f>0</f>
        <v>0</v>
      </c>
      <c r="M57" s="8">
        <f t="shared" si="11"/>
        <v>0</v>
      </c>
      <c r="N57" s="8">
        <f t="shared" si="12"/>
        <v>0</v>
      </c>
      <c r="O57" s="8">
        <f t="shared" si="13"/>
        <v>0</v>
      </c>
      <c r="P57" s="9">
        <f t="shared" si="14"/>
        <v>0</v>
      </c>
      <c r="Q57" s="9" t="str">
        <f t="shared" si="15"/>
        <v>OK</v>
      </c>
    </row>
    <row r="58" spans="1:17">
      <c r="A58" s="17" t="s">
        <v>164</v>
      </c>
      <c r="B58" s="5" t="s">
        <v>165</v>
      </c>
      <c r="C58" s="5" t="s">
        <v>166</v>
      </c>
      <c r="D58" s="5" t="s">
        <v>31</v>
      </c>
      <c r="E58" s="17" t="s">
        <v>123</v>
      </c>
      <c r="F58" s="6"/>
      <c r="G58" s="7"/>
      <c r="H58" s="7">
        <f>16</f>
        <v>16</v>
      </c>
      <c r="I58" s="7">
        <f t="shared" si="8"/>
        <v>0</v>
      </c>
      <c r="J58" s="7">
        <f t="shared" si="9"/>
        <v>0</v>
      </c>
      <c r="K58" s="7">
        <f t="shared" si="10"/>
        <v>0</v>
      </c>
      <c r="L58" s="7">
        <f>0</f>
        <v>0</v>
      </c>
      <c r="M58" s="8">
        <f t="shared" si="11"/>
        <v>0</v>
      </c>
      <c r="N58" s="8">
        <f t="shared" si="12"/>
        <v>0</v>
      </c>
      <c r="O58" s="8">
        <f t="shared" si="13"/>
        <v>0</v>
      </c>
      <c r="P58" s="9">
        <f t="shared" si="14"/>
        <v>0</v>
      </c>
      <c r="Q58" s="9" t="str">
        <f t="shared" si="15"/>
        <v>OK</v>
      </c>
    </row>
    <row r="59" spans="1:17">
      <c r="A59" s="17" t="s">
        <v>167</v>
      </c>
      <c r="B59" s="5" t="s">
        <v>168</v>
      </c>
      <c r="C59" s="5" t="s">
        <v>169</v>
      </c>
      <c r="D59" s="5" t="s">
        <v>31</v>
      </c>
      <c r="E59" s="17" t="s">
        <v>123</v>
      </c>
      <c r="F59" s="6"/>
      <c r="G59" s="7"/>
      <c r="H59" s="7">
        <f>16</f>
        <v>16</v>
      </c>
      <c r="I59" s="7">
        <f t="shared" si="8"/>
        <v>0</v>
      </c>
      <c r="J59" s="7">
        <f t="shared" si="9"/>
        <v>0</v>
      </c>
      <c r="K59" s="7">
        <f t="shared" si="10"/>
        <v>0</v>
      </c>
      <c r="L59" s="7">
        <f>0</f>
        <v>0</v>
      </c>
      <c r="M59" s="8">
        <f t="shared" si="11"/>
        <v>0</v>
      </c>
      <c r="N59" s="8">
        <f t="shared" si="12"/>
        <v>0</v>
      </c>
      <c r="O59" s="8">
        <f t="shared" si="13"/>
        <v>0</v>
      </c>
      <c r="P59" s="9">
        <f t="shared" si="14"/>
        <v>0</v>
      </c>
      <c r="Q59" s="9" t="str">
        <f t="shared" si="15"/>
        <v>OK</v>
      </c>
    </row>
    <row r="60" spans="1:17">
      <c r="A60" s="17">
        <v>192</v>
      </c>
      <c r="B60" s="5" t="s">
        <v>170</v>
      </c>
      <c r="C60" s="5" t="s">
        <v>171</v>
      </c>
      <c r="D60" s="5" t="s">
        <v>31</v>
      </c>
      <c r="E60" s="17" t="s">
        <v>123</v>
      </c>
      <c r="F60" s="6"/>
      <c r="G60" s="7"/>
      <c r="H60" s="7">
        <f>16</f>
        <v>16</v>
      </c>
      <c r="I60" s="7">
        <f t="shared" si="8"/>
        <v>0</v>
      </c>
      <c r="J60" s="7">
        <f t="shared" si="9"/>
        <v>0</v>
      </c>
      <c r="K60" s="7">
        <f t="shared" si="10"/>
        <v>0</v>
      </c>
      <c r="L60" s="7">
        <f>0</f>
        <v>0</v>
      </c>
      <c r="M60" s="8">
        <f t="shared" si="11"/>
        <v>0</v>
      </c>
      <c r="N60" s="8">
        <f t="shared" si="12"/>
        <v>0</v>
      </c>
      <c r="O60" s="8">
        <f t="shared" si="13"/>
        <v>0</v>
      </c>
      <c r="P60" s="9">
        <f t="shared" si="14"/>
        <v>0</v>
      </c>
      <c r="Q60" s="9" t="str">
        <f t="shared" si="15"/>
        <v>OK</v>
      </c>
    </row>
    <row r="61" spans="1:17">
      <c r="A61" s="17" t="s">
        <v>172</v>
      </c>
      <c r="B61" s="5" t="s">
        <v>173</v>
      </c>
      <c r="C61" s="5" t="s">
        <v>174</v>
      </c>
      <c r="D61" s="5" t="s">
        <v>31</v>
      </c>
      <c r="E61" s="17" t="s">
        <v>123</v>
      </c>
      <c r="F61" s="6"/>
      <c r="G61" s="7"/>
      <c r="H61" s="7">
        <f>16</f>
        <v>16</v>
      </c>
      <c r="I61" s="7">
        <f t="shared" si="8"/>
        <v>0</v>
      </c>
      <c r="J61" s="7">
        <f t="shared" si="9"/>
        <v>0</v>
      </c>
      <c r="K61" s="7">
        <f t="shared" si="10"/>
        <v>0</v>
      </c>
      <c r="L61" s="7">
        <f>0</f>
        <v>0</v>
      </c>
      <c r="M61" s="8">
        <f t="shared" si="11"/>
        <v>0</v>
      </c>
      <c r="N61" s="8">
        <f t="shared" si="12"/>
        <v>0</v>
      </c>
      <c r="O61" s="8">
        <f t="shared" si="13"/>
        <v>0</v>
      </c>
      <c r="P61" s="9">
        <f t="shared" si="14"/>
        <v>0</v>
      </c>
      <c r="Q61" s="9" t="str">
        <f t="shared" si="15"/>
        <v>OK</v>
      </c>
    </row>
    <row r="62" spans="1:17">
      <c r="A62" s="17" t="s">
        <v>175</v>
      </c>
      <c r="B62" s="5" t="s">
        <v>176</v>
      </c>
      <c r="C62" s="5" t="s">
        <v>177</v>
      </c>
      <c r="D62" s="5" t="s">
        <v>31</v>
      </c>
      <c r="E62" s="17" t="s">
        <v>123</v>
      </c>
      <c r="F62" s="6"/>
      <c r="G62" s="7"/>
      <c r="H62" s="7">
        <f>16</f>
        <v>16</v>
      </c>
      <c r="I62" s="7">
        <f t="shared" si="8"/>
        <v>0</v>
      </c>
      <c r="J62" s="7">
        <f t="shared" si="9"/>
        <v>0</v>
      </c>
      <c r="K62" s="7">
        <f t="shared" si="10"/>
        <v>0</v>
      </c>
      <c r="L62" s="7">
        <f>0</f>
        <v>0</v>
      </c>
      <c r="M62" s="8">
        <f t="shared" si="11"/>
        <v>0</v>
      </c>
      <c r="N62" s="8">
        <f t="shared" si="12"/>
        <v>0</v>
      </c>
      <c r="O62" s="8">
        <f t="shared" si="13"/>
        <v>0</v>
      </c>
      <c r="P62" s="9">
        <f t="shared" si="14"/>
        <v>0</v>
      </c>
      <c r="Q62" s="9" t="str">
        <f t="shared" si="15"/>
        <v>OK</v>
      </c>
    </row>
    <row r="63" spans="1:17">
      <c r="A63" s="17" t="s">
        <v>178</v>
      </c>
      <c r="B63" s="5" t="s">
        <v>179</v>
      </c>
      <c r="C63" s="5" t="s">
        <v>180</v>
      </c>
      <c r="D63" s="5" t="s">
        <v>31</v>
      </c>
      <c r="E63" s="17" t="s">
        <v>123</v>
      </c>
      <c r="F63" s="6"/>
      <c r="G63" s="7"/>
      <c r="H63" s="7">
        <f>16</f>
        <v>16</v>
      </c>
      <c r="I63" s="7">
        <f t="shared" si="8"/>
        <v>0</v>
      </c>
      <c r="J63" s="7">
        <f t="shared" si="9"/>
        <v>0</v>
      </c>
      <c r="K63" s="7">
        <f t="shared" si="10"/>
        <v>0</v>
      </c>
      <c r="L63" s="7">
        <f>0</f>
        <v>0</v>
      </c>
      <c r="M63" s="8">
        <f t="shared" si="11"/>
        <v>0</v>
      </c>
      <c r="N63" s="8">
        <f t="shared" si="12"/>
        <v>0</v>
      </c>
      <c r="O63" s="8">
        <f t="shared" si="13"/>
        <v>0</v>
      </c>
      <c r="P63" s="9">
        <f t="shared" si="14"/>
        <v>0</v>
      </c>
      <c r="Q63" s="9" t="str">
        <f t="shared" si="15"/>
        <v>OK</v>
      </c>
    </row>
    <row r="64" spans="1:17">
      <c r="A64" s="17" t="s">
        <v>181</v>
      </c>
      <c r="B64" s="5" t="s">
        <v>182</v>
      </c>
      <c r="C64" s="5" t="s">
        <v>183</v>
      </c>
      <c r="D64" s="5" t="s">
        <v>31</v>
      </c>
      <c r="E64" s="17" t="s">
        <v>123</v>
      </c>
      <c r="F64" s="6"/>
      <c r="G64" s="7"/>
      <c r="H64" s="7">
        <f>16</f>
        <v>16</v>
      </c>
      <c r="I64" s="7">
        <f t="shared" si="8"/>
        <v>0</v>
      </c>
      <c r="J64" s="7">
        <f t="shared" si="9"/>
        <v>0</v>
      </c>
      <c r="K64" s="7">
        <f t="shared" si="10"/>
        <v>0</v>
      </c>
      <c r="L64" s="7">
        <f>0</f>
        <v>0</v>
      </c>
      <c r="M64" s="8">
        <f t="shared" si="11"/>
        <v>0</v>
      </c>
      <c r="N64" s="8">
        <f t="shared" si="12"/>
        <v>0</v>
      </c>
      <c r="O64" s="8">
        <f t="shared" si="13"/>
        <v>0</v>
      </c>
      <c r="P64" s="9">
        <f t="shared" si="14"/>
        <v>0</v>
      </c>
      <c r="Q64" s="9" t="str">
        <f t="shared" si="15"/>
        <v>OK</v>
      </c>
    </row>
    <row r="65" spans="1:17">
      <c r="A65" s="17">
        <v>169</v>
      </c>
      <c r="B65" s="5" t="s">
        <v>184</v>
      </c>
      <c r="C65" s="5" t="s">
        <v>185</v>
      </c>
      <c r="D65" s="5" t="s">
        <v>31</v>
      </c>
      <c r="E65" s="17" t="s">
        <v>123</v>
      </c>
      <c r="F65" s="6"/>
      <c r="G65" s="7"/>
      <c r="H65" s="7">
        <f>16</f>
        <v>16</v>
      </c>
      <c r="I65" s="7">
        <f t="shared" si="8"/>
        <v>0</v>
      </c>
      <c r="J65" s="7">
        <f t="shared" si="9"/>
        <v>0</v>
      </c>
      <c r="K65" s="7">
        <f t="shared" si="10"/>
        <v>0</v>
      </c>
      <c r="L65" s="7">
        <f>0</f>
        <v>0</v>
      </c>
      <c r="M65" s="8">
        <f t="shared" si="11"/>
        <v>0</v>
      </c>
      <c r="N65" s="8">
        <f t="shared" si="12"/>
        <v>0</v>
      </c>
      <c r="O65" s="8">
        <f t="shared" si="13"/>
        <v>0</v>
      </c>
      <c r="P65" s="9">
        <f t="shared" si="14"/>
        <v>0</v>
      </c>
      <c r="Q65" s="9" t="str">
        <f t="shared" si="15"/>
        <v>OK</v>
      </c>
    </row>
    <row r="66" spans="1:17">
      <c r="A66" s="17" t="s">
        <v>186</v>
      </c>
      <c r="B66" s="5" t="s">
        <v>187</v>
      </c>
      <c r="C66" s="5" t="s">
        <v>188</v>
      </c>
      <c r="D66" s="5" t="s">
        <v>31</v>
      </c>
      <c r="E66" s="17" t="s">
        <v>123</v>
      </c>
      <c r="F66" s="6"/>
      <c r="G66" s="7"/>
      <c r="H66" s="7">
        <f>16</f>
        <v>16</v>
      </c>
      <c r="I66" s="7">
        <f t="shared" si="8"/>
        <v>0</v>
      </c>
      <c r="J66" s="7">
        <f t="shared" si="9"/>
        <v>0</v>
      </c>
      <c r="K66" s="7">
        <f t="shared" si="10"/>
        <v>0</v>
      </c>
      <c r="L66" s="7">
        <f>0</f>
        <v>0</v>
      </c>
      <c r="M66" s="8">
        <f t="shared" si="11"/>
        <v>0</v>
      </c>
      <c r="N66" s="8">
        <f t="shared" si="12"/>
        <v>0</v>
      </c>
      <c r="O66" s="8">
        <f t="shared" si="13"/>
        <v>0</v>
      </c>
      <c r="P66" s="9">
        <f t="shared" si="14"/>
        <v>0</v>
      </c>
      <c r="Q66" s="9" t="str">
        <f t="shared" si="15"/>
        <v>OK</v>
      </c>
    </row>
    <row r="67" spans="1:17">
      <c r="A67" s="17" t="s">
        <v>189</v>
      </c>
      <c r="B67" s="5" t="s">
        <v>190</v>
      </c>
      <c r="C67" s="5" t="s">
        <v>191</v>
      </c>
      <c r="D67" s="5" t="s">
        <v>31</v>
      </c>
      <c r="E67" s="17" t="s">
        <v>123</v>
      </c>
      <c r="F67" s="6"/>
      <c r="G67" s="7"/>
      <c r="H67" s="7">
        <f>16</f>
        <v>16</v>
      </c>
      <c r="I67" s="7">
        <f t="shared" ref="I67:I98" si="16">SUM(F67:G67)*24</f>
        <v>0</v>
      </c>
      <c r="J67" s="7">
        <f t="shared" ref="J67:J98" si="17">MIN(H67,SUM(F67:G67)*24)</f>
        <v>0</v>
      </c>
      <c r="K67" s="7">
        <f t="shared" ref="K67:K98" si="18">FLOOR(MAX(SUM(F67:G67)*24-H67,0),0.5)</f>
        <v>0</v>
      </c>
      <c r="L67" s="7">
        <f>0</f>
        <v>0</v>
      </c>
      <c r="M67" s="8">
        <f t="shared" ref="M67:M98" si="19">COUNTIF(F67:G67,"ABS")</f>
        <v>0</v>
      </c>
      <c r="N67" s="8">
        <f t="shared" ref="N67:N98" si="20">COUNTIF(F67:G67,"Congé")</f>
        <v>0</v>
      </c>
      <c r="O67" s="8">
        <f t="shared" ref="O67:O98" si="21">COUNTIF(F67:G67,"Férié")</f>
        <v>0</v>
      </c>
      <c r="P67" s="9">
        <f t="shared" ref="P67:P98" si="22">J67+K67+L67+(O67*8.5)</f>
        <v>0</v>
      </c>
      <c r="Q67" s="9" t="str">
        <f t="shared" ref="Q67:Q98" si="23">IF(COUNTIF(F67:G67,"STC")&gt;0,"STC",IF(COUNTIF(F67:G67,"*!*")&gt;0,"À vérifier","OK"))</f>
        <v>OK</v>
      </c>
    </row>
    <row r="68" spans="1:17">
      <c r="A68" s="17" t="s">
        <v>192</v>
      </c>
      <c r="B68" s="5" t="s">
        <v>193</v>
      </c>
      <c r="C68" s="5" t="s">
        <v>194</v>
      </c>
      <c r="D68" s="5" t="s">
        <v>31</v>
      </c>
      <c r="E68" s="17" t="s">
        <v>123</v>
      </c>
      <c r="F68" s="6"/>
      <c r="G68" s="7"/>
      <c r="H68" s="7">
        <f>16</f>
        <v>16</v>
      </c>
      <c r="I68" s="7">
        <f t="shared" si="16"/>
        <v>0</v>
      </c>
      <c r="J68" s="7">
        <f t="shared" si="17"/>
        <v>0</v>
      </c>
      <c r="K68" s="7">
        <f t="shared" si="18"/>
        <v>0</v>
      </c>
      <c r="L68" s="7">
        <f>0</f>
        <v>0</v>
      </c>
      <c r="M68" s="8">
        <f t="shared" si="19"/>
        <v>0</v>
      </c>
      <c r="N68" s="8">
        <f t="shared" si="20"/>
        <v>0</v>
      </c>
      <c r="O68" s="8">
        <f t="shared" si="21"/>
        <v>0</v>
      </c>
      <c r="P68" s="9">
        <f t="shared" si="22"/>
        <v>0</v>
      </c>
      <c r="Q68" s="9" t="str">
        <f t="shared" si="23"/>
        <v>OK</v>
      </c>
    </row>
    <row r="69" spans="1:17">
      <c r="A69" s="17">
        <v>166</v>
      </c>
      <c r="B69" s="5" t="s">
        <v>195</v>
      </c>
      <c r="C69" s="5" t="s">
        <v>196</v>
      </c>
      <c r="D69" s="5" t="s">
        <v>31</v>
      </c>
      <c r="E69" s="17" t="s">
        <v>123</v>
      </c>
      <c r="F69" s="6"/>
      <c r="G69" s="7"/>
      <c r="H69" s="7">
        <f>16</f>
        <v>16</v>
      </c>
      <c r="I69" s="7">
        <f t="shared" si="16"/>
        <v>0</v>
      </c>
      <c r="J69" s="7">
        <f t="shared" si="17"/>
        <v>0</v>
      </c>
      <c r="K69" s="7">
        <f t="shared" si="18"/>
        <v>0</v>
      </c>
      <c r="L69" s="7">
        <f>0</f>
        <v>0</v>
      </c>
      <c r="M69" s="8">
        <f t="shared" si="19"/>
        <v>0</v>
      </c>
      <c r="N69" s="8">
        <f t="shared" si="20"/>
        <v>0</v>
      </c>
      <c r="O69" s="8">
        <f t="shared" si="21"/>
        <v>0</v>
      </c>
      <c r="P69" s="9">
        <f t="shared" si="22"/>
        <v>0</v>
      </c>
      <c r="Q69" s="9" t="str">
        <f t="shared" si="23"/>
        <v>OK</v>
      </c>
    </row>
    <row r="70" spans="1:17">
      <c r="A70" s="17" t="s">
        <v>197</v>
      </c>
      <c r="B70" s="5" t="s">
        <v>195</v>
      </c>
      <c r="C70" s="5" t="s">
        <v>198</v>
      </c>
      <c r="D70" s="5" t="s">
        <v>31</v>
      </c>
      <c r="E70" s="17" t="s">
        <v>123</v>
      </c>
      <c r="F70" s="6"/>
      <c r="G70" s="7"/>
      <c r="H70" s="7">
        <f>16</f>
        <v>16</v>
      </c>
      <c r="I70" s="7">
        <f t="shared" si="16"/>
        <v>0</v>
      </c>
      <c r="J70" s="7">
        <f t="shared" si="17"/>
        <v>0</v>
      </c>
      <c r="K70" s="7">
        <f t="shared" si="18"/>
        <v>0</v>
      </c>
      <c r="L70" s="7">
        <f>0</f>
        <v>0</v>
      </c>
      <c r="M70" s="8">
        <f t="shared" si="19"/>
        <v>0</v>
      </c>
      <c r="N70" s="8">
        <f t="shared" si="20"/>
        <v>0</v>
      </c>
      <c r="O70" s="8">
        <f t="shared" si="21"/>
        <v>0</v>
      </c>
      <c r="P70" s="9">
        <f t="shared" si="22"/>
        <v>0</v>
      </c>
      <c r="Q70" s="9" t="str">
        <f t="shared" si="23"/>
        <v>OK</v>
      </c>
    </row>
    <row r="71" spans="1:17">
      <c r="A71" s="17" t="s">
        <v>199</v>
      </c>
      <c r="B71" s="5" t="s">
        <v>195</v>
      </c>
      <c r="C71" s="5" t="s">
        <v>200</v>
      </c>
      <c r="D71" s="5" t="s">
        <v>31</v>
      </c>
      <c r="E71" s="17" t="s">
        <v>123</v>
      </c>
      <c r="F71" s="6"/>
      <c r="G71" s="7"/>
      <c r="H71" s="7">
        <f>16</f>
        <v>16</v>
      </c>
      <c r="I71" s="7">
        <f t="shared" si="16"/>
        <v>0</v>
      </c>
      <c r="J71" s="7">
        <f t="shared" si="17"/>
        <v>0</v>
      </c>
      <c r="K71" s="7">
        <f t="shared" si="18"/>
        <v>0</v>
      </c>
      <c r="L71" s="7">
        <f>0</f>
        <v>0</v>
      </c>
      <c r="M71" s="8">
        <f t="shared" si="19"/>
        <v>0</v>
      </c>
      <c r="N71" s="8">
        <f t="shared" si="20"/>
        <v>0</v>
      </c>
      <c r="O71" s="8">
        <f t="shared" si="21"/>
        <v>0</v>
      </c>
      <c r="P71" s="9">
        <f t="shared" si="22"/>
        <v>0</v>
      </c>
      <c r="Q71" s="9" t="str">
        <f t="shared" si="23"/>
        <v>OK</v>
      </c>
    </row>
    <row r="72" spans="1:17">
      <c r="A72" s="17" t="s">
        <v>201</v>
      </c>
      <c r="B72" s="5" t="s">
        <v>195</v>
      </c>
      <c r="C72" s="5" t="s">
        <v>202</v>
      </c>
      <c r="D72" s="5" t="s">
        <v>31</v>
      </c>
      <c r="E72" s="17" t="s">
        <v>123</v>
      </c>
      <c r="F72" s="6"/>
      <c r="G72" s="7"/>
      <c r="H72" s="7">
        <f>16</f>
        <v>16</v>
      </c>
      <c r="I72" s="7">
        <f t="shared" si="16"/>
        <v>0</v>
      </c>
      <c r="J72" s="7">
        <f t="shared" si="17"/>
        <v>0</v>
      </c>
      <c r="K72" s="7">
        <f t="shared" si="18"/>
        <v>0</v>
      </c>
      <c r="L72" s="7">
        <f>0</f>
        <v>0</v>
      </c>
      <c r="M72" s="8">
        <f t="shared" si="19"/>
        <v>0</v>
      </c>
      <c r="N72" s="8">
        <f t="shared" si="20"/>
        <v>0</v>
      </c>
      <c r="O72" s="8">
        <f t="shared" si="21"/>
        <v>0</v>
      </c>
      <c r="P72" s="9">
        <f t="shared" si="22"/>
        <v>0</v>
      </c>
      <c r="Q72" s="9" t="str">
        <f t="shared" si="23"/>
        <v>OK</v>
      </c>
    </row>
    <row r="73" spans="1:17">
      <c r="A73" s="17" t="s">
        <v>203</v>
      </c>
      <c r="B73" s="5" t="s">
        <v>204</v>
      </c>
      <c r="C73" s="5" t="s">
        <v>205</v>
      </c>
      <c r="D73" s="5" t="s">
        <v>31</v>
      </c>
      <c r="E73" s="17" t="s">
        <v>123</v>
      </c>
      <c r="F73" s="6"/>
      <c r="G73" s="7"/>
      <c r="H73" s="7">
        <f>16</f>
        <v>16</v>
      </c>
      <c r="I73" s="7">
        <f t="shared" si="16"/>
        <v>0</v>
      </c>
      <c r="J73" s="7">
        <f t="shared" si="17"/>
        <v>0</v>
      </c>
      <c r="K73" s="7">
        <f t="shared" si="18"/>
        <v>0</v>
      </c>
      <c r="L73" s="7">
        <f>0</f>
        <v>0</v>
      </c>
      <c r="M73" s="8">
        <f t="shared" si="19"/>
        <v>0</v>
      </c>
      <c r="N73" s="8">
        <f t="shared" si="20"/>
        <v>0</v>
      </c>
      <c r="O73" s="8">
        <f t="shared" si="21"/>
        <v>0</v>
      </c>
      <c r="P73" s="9">
        <f t="shared" si="22"/>
        <v>0</v>
      </c>
      <c r="Q73" s="9" t="str">
        <f t="shared" si="23"/>
        <v>OK</v>
      </c>
    </row>
    <row r="74" spans="1:17">
      <c r="A74" s="17" t="s">
        <v>206</v>
      </c>
      <c r="B74" s="5" t="s">
        <v>207</v>
      </c>
      <c r="C74" s="5" t="s">
        <v>208</v>
      </c>
      <c r="D74" s="5" t="s">
        <v>31</v>
      </c>
      <c r="E74" s="17" t="s">
        <v>123</v>
      </c>
      <c r="F74" s="6"/>
      <c r="G74" s="7"/>
      <c r="H74" s="7">
        <f>16</f>
        <v>16</v>
      </c>
      <c r="I74" s="7">
        <f t="shared" si="16"/>
        <v>0</v>
      </c>
      <c r="J74" s="7">
        <f t="shared" si="17"/>
        <v>0</v>
      </c>
      <c r="K74" s="7">
        <f t="shared" si="18"/>
        <v>0</v>
      </c>
      <c r="L74" s="7">
        <f>0</f>
        <v>0</v>
      </c>
      <c r="M74" s="8">
        <f t="shared" si="19"/>
        <v>0</v>
      </c>
      <c r="N74" s="8">
        <f t="shared" si="20"/>
        <v>0</v>
      </c>
      <c r="O74" s="8">
        <f t="shared" si="21"/>
        <v>0</v>
      </c>
      <c r="P74" s="9">
        <f t="shared" si="22"/>
        <v>0</v>
      </c>
      <c r="Q74" s="9" t="str">
        <f t="shared" si="23"/>
        <v>OK</v>
      </c>
    </row>
    <row r="75" spans="1:17">
      <c r="A75" s="17" t="s">
        <v>209</v>
      </c>
      <c r="B75" s="5" t="s">
        <v>210</v>
      </c>
      <c r="C75" s="5" t="s">
        <v>211</v>
      </c>
      <c r="D75" s="5" t="s">
        <v>31</v>
      </c>
      <c r="E75" s="17" t="s">
        <v>123</v>
      </c>
      <c r="F75" s="6"/>
      <c r="G75" s="7"/>
      <c r="H75" s="7">
        <f>16</f>
        <v>16</v>
      </c>
      <c r="I75" s="7">
        <f t="shared" si="16"/>
        <v>0</v>
      </c>
      <c r="J75" s="7">
        <f t="shared" si="17"/>
        <v>0</v>
      </c>
      <c r="K75" s="7">
        <f t="shared" si="18"/>
        <v>0</v>
      </c>
      <c r="L75" s="7">
        <f>0</f>
        <v>0</v>
      </c>
      <c r="M75" s="8">
        <f t="shared" si="19"/>
        <v>0</v>
      </c>
      <c r="N75" s="8">
        <f t="shared" si="20"/>
        <v>0</v>
      </c>
      <c r="O75" s="8">
        <f t="shared" si="21"/>
        <v>0</v>
      </c>
      <c r="P75" s="9">
        <f t="shared" si="22"/>
        <v>0</v>
      </c>
      <c r="Q75" s="9" t="str">
        <f t="shared" si="23"/>
        <v>OK</v>
      </c>
    </row>
    <row r="76" spans="1:17">
      <c r="A76" s="17">
        <v>244</v>
      </c>
      <c r="B76" s="5" t="s">
        <v>212</v>
      </c>
      <c r="C76" s="5" t="s">
        <v>163</v>
      </c>
      <c r="D76" s="5" t="s">
        <v>31</v>
      </c>
      <c r="E76" s="17" t="s">
        <v>123</v>
      </c>
      <c r="F76" s="6"/>
      <c r="G76" s="7"/>
      <c r="H76" s="7">
        <f>16</f>
        <v>16</v>
      </c>
      <c r="I76" s="7">
        <f t="shared" si="16"/>
        <v>0</v>
      </c>
      <c r="J76" s="7">
        <f t="shared" si="17"/>
        <v>0</v>
      </c>
      <c r="K76" s="7">
        <f t="shared" si="18"/>
        <v>0</v>
      </c>
      <c r="L76" s="7">
        <f>0</f>
        <v>0</v>
      </c>
      <c r="M76" s="8">
        <f t="shared" si="19"/>
        <v>0</v>
      </c>
      <c r="N76" s="8">
        <f t="shared" si="20"/>
        <v>0</v>
      </c>
      <c r="O76" s="8">
        <f t="shared" si="21"/>
        <v>0</v>
      </c>
      <c r="P76" s="9">
        <f t="shared" si="22"/>
        <v>0</v>
      </c>
      <c r="Q76" s="9" t="str">
        <f t="shared" si="23"/>
        <v>OK</v>
      </c>
    </row>
    <row r="77" spans="1:17">
      <c r="A77" s="17" t="s">
        <v>213</v>
      </c>
      <c r="B77" s="5" t="s">
        <v>214</v>
      </c>
      <c r="C77" s="5" t="s">
        <v>61</v>
      </c>
      <c r="D77" s="5" t="s">
        <v>31</v>
      </c>
      <c r="E77" s="17" t="s">
        <v>123</v>
      </c>
      <c r="F77" s="6"/>
      <c r="G77" s="7"/>
      <c r="H77" s="7">
        <f>16</f>
        <v>16</v>
      </c>
      <c r="I77" s="7">
        <f t="shared" si="16"/>
        <v>0</v>
      </c>
      <c r="J77" s="7">
        <f t="shared" si="17"/>
        <v>0</v>
      </c>
      <c r="K77" s="7">
        <f t="shared" si="18"/>
        <v>0</v>
      </c>
      <c r="L77" s="7">
        <f>0</f>
        <v>0</v>
      </c>
      <c r="M77" s="8">
        <f t="shared" si="19"/>
        <v>0</v>
      </c>
      <c r="N77" s="8">
        <f t="shared" si="20"/>
        <v>0</v>
      </c>
      <c r="O77" s="8">
        <f t="shared" si="21"/>
        <v>0</v>
      </c>
      <c r="P77" s="9">
        <f t="shared" si="22"/>
        <v>0</v>
      </c>
      <c r="Q77" s="9" t="str">
        <f t="shared" si="23"/>
        <v>OK</v>
      </c>
    </row>
    <row r="78" spans="1:17">
      <c r="A78" s="17">
        <v>183</v>
      </c>
      <c r="B78" s="5" t="s">
        <v>215</v>
      </c>
      <c r="C78" s="5" t="s">
        <v>216</v>
      </c>
      <c r="D78" s="5" t="s">
        <v>31</v>
      </c>
      <c r="E78" s="17" t="s">
        <v>123</v>
      </c>
      <c r="F78" s="6"/>
      <c r="G78" s="7"/>
      <c r="H78" s="7">
        <f>16</f>
        <v>16</v>
      </c>
      <c r="I78" s="7">
        <f t="shared" si="16"/>
        <v>0</v>
      </c>
      <c r="J78" s="7">
        <f t="shared" si="17"/>
        <v>0</v>
      </c>
      <c r="K78" s="7">
        <f t="shared" si="18"/>
        <v>0</v>
      </c>
      <c r="L78" s="7">
        <f>0</f>
        <v>0</v>
      </c>
      <c r="M78" s="8">
        <f t="shared" si="19"/>
        <v>0</v>
      </c>
      <c r="N78" s="8">
        <f t="shared" si="20"/>
        <v>0</v>
      </c>
      <c r="O78" s="8">
        <f t="shared" si="21"/>
        <v>0</v>
      </c>
      <c r="P78" s="9">
        <f t="shared" si="22"/>
        <v>0</v>
      </c>
      <c r="Q78" s="9" t="str">
        <f t="shared" si="23"/>
        <v>OK</v>
      </c>
    </row>
    <row r="79" spans="1:17">
      <c r="A79" s="17">
        <v>234</v>
      </c>
      <c r="B79" s="5" t="s">
        <v>217</v>
      </c>
      <c r="C79" s="5" t="s">
        <v>218</v>
      </c>
      <c r="D79" s="5" t="s">
        <v>31</v>
      </c>
      <c r="E79" s="17" t="s">
        <v>123</v>
      </c>
      <c r="F79" s="6"/>
      <c r="G79" s="7"/>
      <c r="H79" s="7">
        <f>16</f>
        <v>16</v>
      </c>
      <c r="I79" s="7">
        <f t="shared" si="16"/>
        <v>0</v>
      </c>
      <c r="J79" s="7">
        <f t="shared" si="17"/>
        <v>0</v>
      </c>
      <c r="K79" s="7">
        <f t="shared" si="18"/>
        <v>0</v>
      </c>
      <c r="L79" s="7">
        <f>0</f>
        <v>0</v>
      </c>
      <c r="M79" s="8">
        <f t="shared" si="19"/>
        <v>0</v>
      </c>
      <c r="N79" s="8">
        <f t="shared" si="20"/>
        <v>0</v>
      </c>
      <c r="O79" s="8">
        <f t="shared" si="21"/>
        <v>0</v>
      </c>
      <c r="P79" s="9">
        <f t="shared" si="22"/>
        <v>0</v>
      </c>
      <c r="Q79" s="9" t="str">
        <f t="shared" si="23"/>
        <v>OK</v>
      </c>
    </row>
    <row r="80" spans="1:17">
      <c r="A80" s="17" t="s">
        <v>219</v>
      </c>
      <c r="B80" s="5" t="s">
        <v>220</v>
      </c>
      <c r="C80" s="5" t="s">
        <v>221</v>
      </c>
      <c r="D80" s="5" t="s">
        <v>31</v>
      </c>
      <c r="E80" s="17" t="s">
        <v>123</v>
      </c>
      <c r="F80" s="6"/>
      <c r="G80" s="7"/>
      <c r="H80" s="7">
        <f>16</f>
        <v>16</v>
      </c>
      <c r="I80" s="7">
        <f t="shared" si="16"/>
        <v>0</v>
      </c>
      <c r="J80" s="7">
        <f t="shared" si="17"/>
        <v>0</v>
      </c>
      <c r="K80" s="7">
        <f t="shared" si="18"/>
        <v>0</v>
      </c>
      <c r="L80" s="7">
        <f>0</f>
        <v>0</v>
      </c>
      <c r="M80" s="8">
        <f t="shared" si="19"/>
        <v>0</v>
      </c>
      <c r="N80" s="8">
        <f t="shared" si="20"/>
        <v>0</v>
      </c>
      <c r="O80" s="8">
        <f t="shared" si="21"/>
        <v>0</v>
      </c>
      <c r="P80" s="9">
        <f t="shared" si="22"/>
        <v>0</v>
      </c>
      <c r="Q80" s="9" t="str">
        <f t="shared" si="23"/>
        <v>OK</v>
      </c>
    </row>
    <row r="81" spans="1:17">
      <c r="A81" s="17" t="s">
        <v>222</v>
      </c>
      <c r="B81" s="5" t="s">
        <v>223</v>
      </c>
      <c r="C81" s="5" t="s">
        <v>19</v>
      </c>
      <c r="D81" s="5" t="s">
        <v>31</v>
      </c>
      <c r="E81" s="17" t="s">
        <v>123</v>
      </c>
      <c r="F81" s="6"/>
      <c r="G81" s="7"/>
      <c r="H81" s="7">
        <f>16</f>
        <v>16</v>
      </c>
      <c r="I81" s="7">
        <f t="shared" si="16"/>
        <v>0</v>
      </c>
      <c r="J81" s="7">
        <f t="shared" si="17"/>
        <v>0</v>
      </c>
      <c r="K81" s="7">
        <f t="shared" si="18"/>
        <v>0</v>
      </c>
      <c r="L81" s="7">
        <f>0</f>
        <v>0</v>
      </c>
      <c r="M81" s="8">
        <f t="shared" si="19"/>
        <v>0</v>
      </c>
      <c r="N81" s="8">
        <f t="shared" si="20"/>
        <v>0</v>
      </c>
      <c r="O81" s="8">
        <f t="shared" si="21"/>
        <v>0</v>
      </c>
      <c r="P81" s="9">
        <f t="shared" si="22"/>
        <v>0</v>
      </c>
      <c r="Q81" s="9" t="str">
        <f t="shared" si="23"/>
        <v>OK</v>
      </c>
    </row>
    <row r="82" spans="1:17">
      <c r="A82" s="17">
        <v>118</v>
      </c>
      <c r="B82" s="5" t="s">
        <v>224</v>
      </c>
      <c r="C82" s="5" t="s">
        <v>225</v>
      </c>
      <c r="D82" s="5" t="s">
        <v>31</v>
      </c>
      <c r="E82" s="17" t="s">
        <v>123</v>
      </c>
      <c r="F82" s="6"/>
      <c r="G82" s="7"/>
      <c r="H82" s="7">
        <f>16</f>
        <v>16</v>
      </c>
      <c r="I82" s="7">
        <f t="shared" si="16"/>
        <v>0</v>
      </c>
      <c r="J82" s="7">
        <f t="shared" si="17"/>
        <v>0</v>
      </c>
      <c r="K82" s="7">
        <f t="shared" si="18"/>
        <v>0</v>
      </c>
      <c r="L82" s="7">
        <f>0</f>
        <v>0</v>
      </c>
      <c r="M82" s="8">
        <f t="shared" si="19"/>
        <v>0</v>
      </c>
      <c r="N82" s="8">
        <f t="shared" si="20"/>
        <v>0</v>
      </c>
      <c r="O82" s="8">
        <f t="shared" si="21"/>
        <v>0</v>
      </c>
      <c r="P82" s="9">
        <f t="shared" si="22"/>
        <v>0</v>
      </c>
      <c r="Q82" s="9" t="str">
        <f t="shared" si="23"/>
        <v>OK</v>
      </c>
    </row>
    <row r="83" spans="1:17">
      <c r="A83" s="17">
        <v>199</v>
      </c>
      <c r="B83" s="5" t="s">
        <v>226</v>
      </c>
      <c r="C83" s="5" t="s">
        <v>227</v>
      </c>
      <c r="D83" s="5" t="s">
        <v>31</v>
      </c>
      <c r="E83" s="17" t="s">
        <v>123</v>
      </c>
      <c r="F83" s="6"/>
      <c r="G83" s="7"/>
      <c r="H83" s="7">
        <f>16</f>
        <v>16</v>
      </c>
      <c r="I83" s="7">
        <f t="shared" si="16"/>
        <v>0</v>
      </c>
      <c r="J83" s="7">
        <f t="shared" si="17"/>
        <v>0</v>
      </c>
      <c r="K83" s="7">
        <f t="shared" si="18"/>
        <v>0</v>
      </c>
      <c r="L83" s="7">
        <f>0</f>
        <v>0</v>
      </c>
      <c r="M83" s="8">
        <f t="shared" si="19"/>
        <v>0</v>
      </c>
      <c r="N83" s="8">
        <f t="shared" si="20"/>
        <v>0</v>
      </c>
      <c r="O83" s="8">
        <f t="shared" si="21"/>
        <v>0</v>
      </c>
      <c r="P83" s="9">
        <f t="shared" si="22"/>
        <v>0</v>
      </c>
      <c r="Q83" s="9" t="str">
        <f t="shared" si="23"/>
        <v>OK</v>
      </c>
    </row>
    <row r="84" spans="1:17">
      <c r="A84" s="17" t="s">
        <v>228</v>
      </c>
      <c r="B84" s="5" t="s">
        <v>226</v>
      </c>
      <c r="C84" s="5" t="s">
        <v>229</v>
      </c>
      <c r="D84" s="5" t="s">
        <v>31</v>
      </c>
      <c r="E84" s="17" t="s">
        <v>123</v>
      </c>
      <c r="F84" s="6"/>
      <c r="G84" s="7"/>
      <c r="H84" s="7">
        <f>16</f>
        <v>16</v>
      </c>
      <c r="I84" s="7">
        <f t="shared" si="16"/>
        <v>0</v>
      </c>
      <c r="J84" s="7">
        <f t="shared" si="17"/>
        <v>0</v>
      </c>
      <c r="K84" s="7">
        <f t="shared" si="18"/>
        <v>0</v>
      </c>
      <c r="L84" s="7">
        <f>0</f>
        <v>0</v>
      </c>
      <c r="M84" s="8">
        <f t="shared" si="19"/>
        <v>0</v>
      </c>
      <c r="N84" s="8">
        <f t="shared" si="20"/>
        <v>0</v>
      </c>
      <c r="O84" s="8">
        <f t="shared" si="21"/>
        <v>0</v>
      </c>
      <c r="P84" s="9">
        <f t="shared" si="22"/>
        <v>0</v>
      </c>
      <c r="Q84" s="9" t="str">
        <f t="shared" si="23"/>
        <v>OK</v>
      </c>
    </row>
    <row r="85" spans="1:17">
      <c r="A85" s="17">
        <v>243</v>
      </c>
      <c r="B85" s="5" t="s">
        <v>230</v>
      </c>
      <c r="C85" s="5" t="s">
        <v>205</v>
      </c>
      <c r="D85" s="5" t="s">
        <v>31</v>
      </c>
      <c r="E85" s="17" t="s">
        <v>123</v>
      </c>
      <c r="F85" s="6"/>
      <c r="G85" s="7"/>
      <c r="H85" s="7">
        <f>16</f>
        <v>16</v>
      </c>
      <c r="I85" s="7">
        <f t="shared" si="16"/>
        <v>0</v>
      </c>
      <c r="J85" s="7">
        <f t="shared" si="17"/>
        <v>0</v>
      </c>
      <c r="K85" s="7">
        <f t="shared" si="18"/>
        <v>0</v>
      </c>
      <c r="L85" s="7">
        <f>0</f>
        <v>0</v>
      </c>
      <c r="M85" s="8">
        <f t="shared" si="19"/>
        <v>0</v>
      </c>
      <c r="N85" s="8">
        <f t="shared" si="20"/>
        <v>0</v>
      </c>
      <c r="O85" s="8">
        <f t="shared" si="21"/>
        <v>0</v>
      </c>
      <c r="P85" s="9">
        <f t="shared" si="22"/>
        <v>0</v>
      </c>
      <c r="Q85" s="9" t="str">
        <f t="shared" si="23"/>
        <v>OK</v>
      </c>
    </row>
    <row r="86" spans="1:17">
      <c r="A86" s="17" t="s">
        <v>231</v>
      </c>
      <c r="B86" s="5" t="s">
        <v>232</v>
      </c>
      <c r="C86" s="5" t="s">
        <v>233</v>
      </c>
      <c r="D86" s="5" t="s">
        <v>31</v>
      </c>
      <c r="E86" s="17" t="s">
        <v>123</v>
      </c>
      <c r="F86" s="6"/>
      <c r="G86" s="7"/>
      <c r="H86" s="7">
        <f>16</f>
        <v>16</v>
      </c>
      <c r="I86" s="7">
        <f t="shared" si="16"/>
        <v>0</v>
      </c>
      <c r="J86" s="7">
        <f t="shared" si="17"/>
        <v>0</v>
      </c>
      <c r="K86" s="7">
        <f t="shared" si="18"/>
        <v>0</v>
      </c>
      <c r="L86" s="7">
        <f>0</f>
        <v>0</v>
      </c>
      <c r="M86" s="8">
        <f t="shared" si="19"/>
        <v>0</v>
      </c>
      <c r="N86" s="8">
        <f t="shared" si="20"/>
        <v>0</v>
      </c>
      <c r="O86" s="8">
        <f t="shared" si="21"/>
        <v>0</v>
      </c>
      <c r="P86" s="9">
        <f t="shared" si="22"/>
        <v>0</v>
      </c>
      <c r="Q86" s="9" t="str">
        <f t="shared" si="23"/>
        <v>OK</v>
      </c>
    </row>
    <row r="87" spans="1:17">
      <c r="A87" s="17">
        <v>96</v>
      </c>
      <c r="B87" s="5" t="s">
        <v>232</v>
      </c>
      <c r="C87" s="5" t="s">
        <v>234</v>
      </c>
      <c r="D87" s="5" t="s">
        <v>31</v>
      </c>
      <c r="E87" s="17" t="s">
        <v>123</v>
      </c>
      <c r="F87" s="6"/>
      <c r="G87" s="7"/>
      <c r="H87" s="7">
        <f>16</f>
        <v>16</v>
      </c>
      <c r="I87" s="7">
        <f t="shared" si="16"/>
        <v>0</v>
      </c>
      <c r="J87" s="7">
        <f t="shared" si="17"/>
        <v>0</v>
      </c>
      <c r="K87" s="7">
        <f t="shared" si="18"/>
        <v>0</v>
      </c>
      <c r="L87" s="7">
        <f>0</f>
        <v>0</v>
      </c>
      <c r="M87" s="8">
        <f t="shared" si="19"/>
        <v>0</v>
      </c>
      <c r="N87" s="8">
        <f t="shared" si="20"/>
        <v>0</v>
      </c>
      <c r="O87" s="8">
        <f t="shared" si="21"/>
        <v>0</v>
      </c>
      <c r="P87" s="9">
        <f t="shared" si="22"/>
        <v>0</v>
      </c>
      <c r="Q87" s="9" t="str">
        <f t="shared" si="23"/>
        <v>OK</v>
      </c>
    </row>
    <row r="88" spans="1:17">
      <c r="A88" s="17" t="s">
        <v>235</v>
      </c>
      <c r="B88" s="5" t="s">
        <v>232</v>
      </c>
      <c r="C88" s="5" t="s">
        <v>236</v>
      </c>
      <c r="D88" s="5" t="s">
        <v>31</v>
      </c>
      <c r="E88" s="17" t="s">
        <v>123</v>
      </c>
      <c r="F88" s="6"/>
      <c r="G88" s="7"/>
      <c r="H88" s="7">
        <f>16</f>
        <v>16</v>
      </c>
      <c r="I88" s="7">
        <f t="shared" si="16"/>
        <v>0</v>
      </c>
      <c r="J88" s="7">
        <f t="shared" si="17"/>
        <v>0</v>
      </c>
      <c r="K88" s="7">
        <f t="shared" si="18"/>
        <v>0</v>
      </c>
      <c r="L88" s="7">
        <f>0</f>
        <v>0</v>
      </c>
      <c r="M88" s="8">
        <f t="shared" si="19"/>
        <v>0</v>
      </c>
      <c r="N88" s="8">
        <f t="shared" si="20"/>
        <v>0</v>
      </c>
      <c r="O88" s="8">
        <f t="shared" si="21"/>
        <v>0</v>
      </c>
      <c r="P88" s="9">
        <f t="shared" si="22"/>
        <v>0</v>
      </c>
      <c r="Q88" s="9" t="str">
        <f t="shared" si="23"/>
        <v>OK</v>
      </c>
    </row>
    <row r="89" spans="1:17">
      <c r="A89" s="17" t="s">
        <v>237</v>
      </c>
      <c r="B89" s="5" t="s">
        <v>238</v>
      </c>
      <c r="C89" s="5" t="s">
        <v>239</v>
      </c>
      <c r="D89" s="5" t="s">
        <v>31</v>
      </c>
      <c r="E89" s="17" t="s">
        <v>123</v>
      </c>
      <c r="F89" s="6"/>
      <c r="G89" s="7"/>
      <c r="H89" s="7">
        <f>16</f>
        <v>16</v>
      </c>
      <c r="I89" s="7">
        <f t="shared" si="16"/>
        <v>0</v>
      </c>
      <c r="J89" s="7">
        <f t="shared" si="17"/>
        <v>0</v>
      </c>
      <c r="K89" s="7">
        <f t="shared" si="18"/>
        <v>0</v>
      </c>
      <c r="L89" s="7">
        <f>0</f>
        <v>0</v>
      </c>
      <c r="M89" s="8">
        <f t="shared" si="19"/>
        <v>0</v>
      </c>
      <c r="N89" s="8">
        <f t="shared" si="20"/>
        <v>0</v>
      </c>
      <c r="O89" s="8">
        <f t="shared" si="21"/>
        <v>0</v>
      </c>
      <c r="P89" s="9">
        <f t="shared" si="22"/>
        <v>0</v>
      </c>
      <c r="Q89" s="9" t="str">
        <f t="shared" si="23"/>
        <v>OK</v>
      </c>
    </row>
    <row r="90" spans="1:17">
      <c r="A90" s="17" t="s">
        <v>240</v>
      </c>
      <c r="B90" s="5" t="s">
        <v>241</v>
      </c>
      <c r="C90" s="5" t="s">
        <v>242</v>
      </c>
      <c r="D90" s="5" t="s">
        <v>31</v>
      </c>
      <c r="E90" s="17" t="s">
        <v>123</v>
      </c>
      <c r="F90" s="6"/>
      <c r="G90" s="7"/>
      <c r="H90" s="7">
        <f>16</f>
        <v>16</v>
      </c>
      <c r="I90" s="7">
        <f t="shared" si="16"/>
        <v>0</v>
      </c>
      <c r="J90" s="7">
        <f t="shared" si="17"/>
        <v>0</v>
      </c>
      <c r="K90" s="7">
        <f t="shared" si="18"/>
        <v>0</v>
      </c>
      <c r="L90" s="7">
        <f>0</f>
        <v>0</v>
      </c>
      <c r="M90" s="8">
        <f t="shared" si="19"/>
        <v>0</v>
      </c>
      <c r="N90" s="8">
        <f t="shared" si="20"/>
        <v>0</v>
      </c>
      <c r="O90" s="8">
        <f t="shared" si="21"/>
        <v>0</v>
      </c>
      <c r="P90" s="9">
        <f t="shared" si="22"/>
        <v>0</v>
      </c>
      <c r="Q90" s="9" t="str">
        <f t="shared" si="23"/>
        <v>OK</v>
      </c>
    </row>
    <row r="91" spans="1:17">
      <c r="A91" s="17" t="s">
        <v>243</v>
      </c>
      <c r="B91" s="5" t="s">
        <v>244</v>
      </c>
      <c r="C91" s="5" t="s">
        <v>245</v>
      </c>
      <c r="D91" s="5" t="s">
        <v>31</v>
      </c>
      <c r="E91" s="17" t="s">
        <v>123</v>
      </c>
      <c r="F91" s="6"/>
      <c r="G91" s="7"/>
      <c r="H91" s="7">
        <f>16</f>
        <v>16</v>
      </c>
      <c r="I91" s="7">
        <f t="shared" si="16"/>
        <v>0</v>
      </c>
      <c r="J91" s="7">
        <f t="shared" si="17"/>
        <v>0</v>
      </c>
      <c r="K91" s="7">
        <f t="shared" si="18"/>
        <v>0</v>
      </c>
      <c r="L91" s="7">
        <f>0</f>
        <v>0</v>
      </c>
      <c r="M91" s="8">
        <f t="shared" si="19"/>
        <v>0</v>
      </c>
      <c r="N91" s="8">
        <f t="shared" si="20"/>
        <v>0</v>
      </c>
      <c r="O91" s="8">
        <f t="shared" si="21"/>
        <v>0</v>
      </c>
      <c r="P91" s="9">
        <f t="shared" si="22"/>
        <v>0</v>
      </c>
      <c r="Q91" s="9" t="str">
        <f t="shared" si="23"/>
        <v>OK</v>
      </c>
    </row>
    <row r="92" spans="1:17">
      <c r="A92" s="17" t="s">
        <v>246</v>
      </c>
      <c r="B92" s="5" t="s">
        <v>247</v>
      </c>
      <c r="C92" s="5" t="s">
        <v>248</v>
      </c>
      <c r="D92" s="5" t="s">
        <v>31</v>
      </c>
      <c r="E92" s="17" t="s">
        <v>123</v>
      </c>
      <c r="F92" s="6"/>
      <c r="G92" s="7"/>
      <c r="H92" s="7">
        <f>16</f>
        <v>16</v>
      </c>
      <c r="I92" s="7">
        <f t="shared" si="16"/>
        <v>0</v>
      </c>
      <c r="J92" s="7">
        <f t="shared" si="17"/>
        <v>0</v>
      </c>
      <c r="K92" s="7">
        <f t="shared" si="18"/>
        <v>0</v>
      </c>
      <c r="L92" s="7">
        <f>0</f>
        <v>0</v>
      </c>
      <c r="M92" s="8">
        <f t="shared" si="19"/>
        <v>0</v>
      </c>
      <c r="N92" s="8">
        <f t="shared" si="20"/>
        <v>0</v>
      </c>
      <c r="O92" s="8">
        <f t="shared" si="21"/>
        <v>0</v>
      </c>
      <c r="P92" s="9">
        <f t="shared" si="22"/>
        <v>0</v>
      </c>
      <c r="Q92" s="9" t="str">
        <f t="shared" si="23"/>
        <v>OK</v>
      </c>
    </row>
    <row r="93" spans="1:17">
      <c r="A93" s="17" t="s">
        <v>249</v>
      </c>
      <c r="B93" s="5" t="s">
        <v>250</v>
      </c>
      <c r="C93" s="5" t="s">
        <v>251</v>
      </c>
      <c r="D93" s="5" t="s">
        <v>31</v>
      </c>
      <c r="E93" s="17" t="s">
        <v>123</v>
      </c>
      <c r="F93" s="6"/>
      <c r="G93" s="7"/>
      <c r="H93" s="7">
        <f>16</f>
        <v>16</v>
      </c>
      <c r="I93" s="7">
        <f t="shared" si="16"/>
        <v>0</v>
      </c>
      <c r="J93" s="7">
        <f t="shared" si="17"/>
        <v>0</v>
      </c>
      <c r="K93" s="7">
        <f t="shared" si="18"/>
        <v>0</v>
      </c>
      <c r="L93" s="7">
        <f>0</f>
        <v>0</v>
      </c>
      <c r="M93" s="8">
        <f t="shared" si="19"/>
        <v>0</v>
      </c>
      <c r="N93" s="8">
        <f t="shared" si="20"/>
        <v>0</v>
      </c>
      <c r="O93" s="8">
        <f t="shared" si="21"/>
        <v>0</v>
      </c>
      <c r="P93" s="9">
        <f t="shared" si="22"/>
        <v>0</v>
      </c>
      <c r="Q93" s="9" t="str">
        <f t="shared" si="23"/>
        <v>OK</v>
      </c>
    </row>
    <row r="94" spans="1:17">
      <c r="A94" s="17" t="s">
        <v>252</v>
      </c>
      <c r="B94" s="5" t="s">
        <v>253</v>
      </c>
      <c r="C94" s="5" t="s">
        <v>254</v>
      </c>
      <c r="D94" s="5" t="s">
        <v>31</v>
      </c>
      <c r="E94" s="17" t="s">
        <v>123</v>
      </c>
      <c r="F94" s="6"/>
      <c r="G94" s="7"/>
      <c r="H94" s="7">
        <f>16</f>
        <v>16</v>
      </c>
      <c r="I94" s="7">
        <f t="shared" si="16"/>
        <v>0</v>
      </c>
      <c r="J94" s="7">
        <f t="shared" si="17"/>
        <v>0</v>
      </c>
      <c r="K94" s="7">
        <f t="shared" si="18"/>
        <v>0</v>
      </c>
      <c r="L94" s="7">
        <f>0</f>
        <v>0</v>
      </c>
      <c r="M94" s="8">
        <f t="shared" si="19"/>
        <v>0</v>
      </c>
      <c r="N94" s="8">
        <f t="shared" si="20"/>
        <v>0</v>
      </c>
      <c r="O94" s="8">
        <f t="shared" si="21"/>
        <v>0</v>
      </c>
      <c r="P94" s="9">
        <f t="shared" si="22"/>
        <v>0</v>
      </c>
      <c r="Q94" s="9" t="str">
        <f t="shared" si="23"/>
        <v>OK</v>
      </c>
    </row>
    <row r="95" spans="1:17">
      <c r="A95" s="17" t="s">
        <v>255</v>
      </c>
      <c r="B95" s="5" t="s">
        <v>256</v>
      </c>
      <c r="C95" s="5" t="s">
        <v>257</v>
      </c>
      <c r="D95" s="5" t="s">
        <v>31</v>
      </c>
      <c r="E95" s="17" t="s">
        <v>123</v>
      </c>
      <c r="F95" s="6"/>
      <c r="G95" s="7"/>
      <c r="H95" s="7">
        <f>16</f>
        <v>16</v>
      </c>
      <c r="I95" s="7">
        <f t="shared" si="16"/>
        <v>0</v>
      </c>
      <c r="J95" s="7">
        <f t="shared" si="17"/>
        <v>0</v>
      </c>
      <c r="K95" s="7">
        <f t="shared" si="18"/>
        <v>0</v>
      </c>
      <c r="L95" s="7">
        <f>0</f>
        <v>0</v>
      </c>
      <c r="M95" s="8">
        <f t="shared" si="19"/>
        <v>0</v>
      </c>
      <c r="N95" s="8">
        <f t="shared" si="20"/>
        <v>0</v>
      </c>
      <c r="O95" s="8">
        <f t="shared" si="21"/>
        <v>0</v>
      </c>
      <c r="P95" s="9">
        <f t="shared" si="22"/>
        <v>0</v>
      </c>
      <c r="Q95" s="9" t="str">
        <f t="shared" si="23"/>
        <v>OK</v>
      </c>
    </row>
    <row r="96" spans="1:17">
      <c r="A96" s="17">
        <v>247</v>
      </c>
      <c r="B96" s="5" t="s">
        <v>258</v>
      </c>
      <c r="C96" s="5" t="s">
        <v>259</v>
      </c>
      <c r="D96" s="5" t="s">
        <v>31</v>
      </c>
      <c r="E96" s="17" t="s">
        <v>123</v>
      </c>
      <c r="F96" s="6"/>
      <c r="G96" s="7"/>
      <c r="H96" s="7">
        <f>16</f>
        <v>16</v>
      </c>
      <c r="I96" s="7">
        <f t="shared" si="16"/>
        <v>0</v>
      </c>
      <c r="J96" s="7">
        <f t="shared" si="17"/>
        <v>0</v>
      </c>
      <c r="K96" s="7">
        <f t="shared" si="18"/>
        <v>0</v>
      </c>
      <c r="L96" s="7">
        <f>0</f>
        <v>0</v>
      </c>
      <c r="M96" s="8">
        <f t="shared" si="19"/>
        <v>0</v>
      </c>
      <c r="N96" s="8">
        <f t="shared" si="20"/>
        <v>0</v>
      </c>
      <c r="O96" s="8">
        <f t="shared" si="21"/>
        <v>0</v>
      </c>
      <c r="P96" s="9">
        <f t="shared" si="22"/>
        <v>0</v>
      </c>
      <c r="Q96" s="9" t="str">
        <f t="shared" si="23"/>
        <v>OK</v>
      </c>
    </row>
    <row r="97" spans="1:17">
      <c r="A97" s="17" t="s">
        <v>260</v>
      </c>
      <c r="B97" s="5" t="s">
        <v>261</v>
      </c>
      <c r="C97" s="5" t="s">
        <v>188</v>
      </c>
      <c r="D97" s="5" t="s">
        <v>31</v>
      </c>
      <c r="E97" s="17" t="s">
        <v>123</v>
      </c>
      <c r="F97" s="6"/>
      <c r="G97" s="7"/>
      <c r="H97" s="7">
        <f>16</f>
        <v>16</v>
      </c>
      <c r="I97" s="7">
        <f t="shared" si="16"/>
        <v>0</v>
      </c>
      <c r="J97" s="7">
        <f t="shared" si="17"/>
        <v>0</v>
      </c>
      <c r="K97" s="7">
        <f t="shared" si="18"/>
        <v>0</v>
      </c>
      <c r="L97" s="7">
        <f>0</f>
        <v>0</v>
      </c>
      <c r="M97" s="8">
        <f t="shared" si="19"/>
        <v>0</v>
      </c>
      <c r="N97" s="8">
        <f t="shared" si="20"/>
        <v>0</v>
      </c>
      <c r="O97" s="8">
        <f t="shared" si="21"/>
        <v>0</v>
      </c>
      <c r="P97" s="9">
        <f t="shared" si="22"/>
        <v>0</v>
      </c>
      <c r="Q97" s="9" t="str">
        <f t="shared" si="23"/>
        <v>OK</v>
      </c>
    </row>
    <row r="98" spans="1:17">
      <c r="A98" s="17">
        <v>242</v>
      </c>
      <c r="B98" s="5" t="s">
        <v>262</v>
      </c>
      <c r="C98" s="5" t="s">
        <v>263</v>
      </c>
      <c r="D98" s="5" t="s">
        <v>31</v>
      </c>
      <c r="E98" s="17" t="s">
        <v>123</v>
      </c>
      <c r="F98" s="6"/>
      <c r="G98" s="7"/>
      <c r="H98" s="7">
        <f>16</f>
        <v>16</v>
      </c>
      <c r="I98" s="7">
        <f t="shared" si="16"/>
        <v>0</v>
      </c>
      <c r="J98" s="7">
        <f t="shared" si="17"/>
        <v>0</v>
      </c>
      <c r="K98" s="7">
        <f t="shared" si="18"/>
        <v>0</v>
      </c>
      <c r="L98" s="7">
        <f>0</f>
        <v>0</v>
      </c>
      <c r="M98" s="8">
        <f t="shared" si="19"/>
        <v>0</v>
      </c>
      <c r="N98" s="8">
        <f t="shared" si="20"/>
        <v>0</v>
      </c>
      <c r="O98" s="8">
        <f t="shared" si="21"/>
        <v>0</v>
      </c>
      <c r="P98" s="9">
        <f t="shared" si="22"/>
        <v>0</v>
      </c>
      <c r="Q98" s="9" t="str">
        <f t="shared" si="23"/>
        <v>OK</v>
      </c>
    </row>
    <row r="99" spans="1:17">
      <c r="A99" s="17">
        <v>94</v>
      </c>
      <c r="B99" s="5" t="s">
        <v>264</v>
      </c>
      <c r="C99" s="5" t="s">
        <v>265</v>
      </c>
      <c r="D99" s="5" t="s">
        <v>31</v>
      </c>
      <c r="E99" s="17" t="s">
        <v>123</v>
      </c>
      <c r="F99" s="6"/>
      <c r="G99" s="7"/>
      <c r="H99" s="7">
        <f>16</f>
        <v>16</v>
      </c>
      <c r="I99" s="7">
        <f t="shared" ref="I99:I113" si="24">SUM(F99:G99)*24</f>
        <v>0</v>
      </c>
      <c r="J99" s="7">
        <f t="shared" ref="J99:J113" si="25">MIN(H99,SUM(F99:G99)*24)</f>
        <v>0</v>
      </c>
      <c r="K99" s="7">
        <f t="shared" ref="K99:K113" si="26">FLOOR(MAX(SUM(F99:G99)*24-H99,0),0.5)</f>
        <v>0</v>
      </c>
      <c r="L99" s="7">
        <f>0</f>
        <v>0</v>
      </c>
      <c r="M99" s="8">
        <f t="shared" ref="M99:M113" si="27">COUNTIF(F99:G99,"ABS")</f>
        <v>0</v>
      </c>
      <c r="N99" s="8">
        <f t="shared" ref="N99:N113" si="28">COUNTIF(F99:G99,"Congé")</f>
        <v>0</v>
      </c>
      <c r="O99" s="8">
        <f t="shared" ref="O99:O113" si="29">COUNTIF(F99:G99,"Férié")</f>
        <v>0</v>
      </c>
      <c r="P99" s="9">
        <f t="shared" ref="P99:P113" si="30">J99+K99+L99+(O99*8.5)</f>
        <v>0</v>
      </c>
      <c r="Q99" s="9" t="str">
        <f t="shared" ref="Q99:Q113" si="31">IF(COUNTIF(F99:G99,"STC")&gt;0,"STC",IF(COUNTIF(F99:G99,"*!*")&gt;0,"À vérifier","OK"))</f>
        <v>OK</v>
      </c>
    </row>
    <row r="100" spans="1:17">
      <c r="A100" s="17" t="s">
        <v>266</v>
      </c>
      <c r="B100" s="5" t="s">
        <v>267</v>
      </c>
      <c r="C100" s="5" t="s">
        <v>63</v>
      </c>
      <c r="D100" s="5" t="s">
        <v>31</v>
      </c>
      <c r="E100" s="17" t="s">
        <v>123</v>
      </c>
      <c r="F100" s="6"/>
      <c r="G100" s="7"/>
      <c r="H100" s="7">
        <f>16</f>
        <v>16</v>
      </c>
      <c r="I100" s="7">
        <f t="shared" si="24"/>
        <v>0</v>
      </c>
      <c r="J100" s="7">
        <f t="shared" si="25"/>
        <v>0</v>
      </c>
      <c r="K100" s="7">
        <f t="shared" si="26"/>
        <v>0</v>
      </c>
      <c r="L100" s="7">
        <f>0</f>
        <v>0</v>
      </c>
      <c r="M100" s="8">
        <f t="shared" si="27"/>
        <v>0</v>
      </c>
      <c r="N100" s="8">
        <f t="shared" si="28"/>
        <v>0</v>
      </c>
      <c r="O100" s="8">
        <f t="shared" si="29"/>
        <v>0</v>
      </c>
      <c r="P100" s="9">
        <f t="shared" si="30"/>
        <v>0</v>
      </c>
      <c r="Q100" s="9" t="str">
        <f t="shared" si="31"/>
        <v>OK</v>
      </c>
    </row>
    <row r="101" spans="1:17">
      <c r="A101" s="17" t="s">
        <v>268</v>
      </c>
      <c r="B101" s="5" t="s">
        <v>269</v>
      </c>
      <c r="C101" s="5" t="s">
        <v>270</v>
      </c>
      <c r="D101" s="5" t="s">
        <v>31</v>
      </c>
      <c r="E101" s="17" t="s">
        <v>123</v>
      </c>
      <c r="F101" s="6"/>
      <c r="G101" s="7"/>
      <c r="H101" s="7">
        <f>16</f>
        <v>16</v>
      </c>
      <c r="I101" s="7">
        <f t="shared" si="24"/>
        <v>0</v>
      </c>
      <c r="J101" s="7">
        <f t="shared" si="25"/>
        <v>0</v>
      </c>
      <c r="K101" s="7">
        <f t="shared" si="26"/>
        <v>0</v>
      </c>
      <c r="L101" s="7">
        <f>0</f>
        <v>0</v>
      </c>
      <c r="M101" s="8">
        <f t="shared" si="27"/>
        <v>0</v>
      </c>
      <c r="N101" s="8">
        <f t="shared" si="28"/>
        <v>0</v>
      </c>
      <c r="O101" s="8">
        <f t="shared" si="29"/>
        <v>0</v>
      </c>
      <c r="P101" s="9">
        <f t="shared" si="30"/>
        <v>0</v>
      </c>
      <c r="Q101" s="9" t="str">
        <f t="shared" si="31"/>
        <v>OK</v>
      </c>
    </row>
    <row r="102" spans="1:17">
      <c r="A102" s="17" t="s">
        <v>271</v>
      </c>
      <c r="B102" s="5" t="s">
        <v>272</v>
      </c>
      <c r="C102" s="5" t="s">
        <v>273</v>
      </c>
      <c r="D102" s="5" t="s">
        <v>31</v>
      </c>
      <c r="E102" s="17" t="s">
        <v>123</v>
      </c>
      <c r="F102" s="6"/>
      <c r="G102" s="7"/>
      <c r="H102" s="7">
        <f>16</f>
        <v>16</v>
      </c>
      <c r="I102" s="7">
        <f t="shared" si="24"/>
        <v>0</v>
      </c>
      <c r="J102" s="7">
        <f t="shared" si="25"/>
        <v>0</v>
      </c>
      <c r="K102" s="7">
        <f t="shared" si="26"/>
        <v>0</v>
      </c>
      <c r="L102" s="7">
        <f>0</f>
        <v>0</v>
      </c>
      <c r="M102" s="8">
        <f t="shared" si="27"/>
        <v>0</v>
      </c>
      <c r="N102" s="8">
        <f t="shared" si="28"/>
        <v>0</v>
      </c>
      <c r="O102" s="8">
        <f t="shared" si="29"/>
        <v>0</v>
      </c>
      <c r="P102" s="9">
        <f t="shared" si="30"/>
        <v>0</v>
      </c>
      <c r="Q102" s="9" t="str">
        <f t="shared" si="31"/>
        <v>OK</v>
      </c>
    </row>
    <row r="103" spans="1:17">
      <c r="A103" s="17" t="s">
        <v>274</v>
      </c>
      <c r="B103" s="5" t="s">
        <v>272</v>
      </c>
      <c r="C103" s="5" t="s">
        <v>275</v>
      </c>
      <c r="D103" s="5" t="s">
        <v>31</v>
      </c>
      <c r="E103" s="17" t="s">
        <v>123</v>
      </c>
      <c r="F103" s="6"/>
      <c r="G103" s="7"/>
      <c r="H103" s="7">
        <f>16</f>
        <v>16</v>
      </c>
      <c r="I103" s="7">
        <f t="shared" si="24"/>
        <v>0</v>
      </c>
      <c r="J103" s="7">
        <f t="shared" si="25"/>
        <v>0</v>
      </c>
      <c r="K103" s="7">
        <f t="shared" si="26"/>
        <v>0</v>
      </c>
      <c r="L103" s="7">
        <f>0</f>
        <v>0</v>
      </c>
      <c r="M103" s="8">
        <f t="shared" si="27"/>
        <v>0</v>
      </c>
      <c r="N103" s="8">
        <f t="shared" si="28"/>
        <v>0</v>
      </c>
      <c r="O103" s="8">
        <f t="shared" si="29"/>
        <v>0</v>
      </c>
      <c r="P103" s="9">
        <f t="shared" si="30"/>
        <v>0</v>
      </c>
      <c r="Q103" s="9" t="str">
        <f t="shared" si="31"/>
        <v>OK</v>
      </c>
    </row>
    <row r="104" spans="1:17">
      <c r="A104" s="17" t="s">
        <v>276</v>
      </c>
      <c r="B104" s="5" t="s">
        <v>277</v>
      </c>
      <c r="C104" s="5" t="s">
        <v>278</v>
      </c>
      <c r="D104" s="5" t="s">
        <v>31</v>
      </c>
      <c r="E104" s="17" t="s">
        <v>123</v>
      </c>
      <c r="F104" s="6"/>
      <c r="G104" s="7"/>
      <c r="H104" s="7">
        <f>16</f>
        <v>16</v>
      </c>
      <c r="I104" s="7">
        <f t="shared" si="24"/>
        <v>0</v>
      </c>
      <c r="J104" s="7">
        <f t="shared" si="25"/>
        <v>0</v>
      </c>
      <c r="K104" s="7">
        <f t="shared" si="26"/>
        <v>0</v>
      </c>
      <c r="L104" s="7">
        <f>0</f>
        <v>0</v>
      </c>
      <c r="M104" s="8">
        <f t="shared" si="27"/>
        <v>0</v>
      </c>
      <c r="N104" s="8">
        <f t="shared" si="28"/>
        <v>0</v>
      </c>
      <c r="O104" s="8">
        <f t="shared" si="29"/>
        <v>0</v>
      </c>
      <c r="P104" s="9">
        <f t="shared" si="30"/>
        <v>0</v>
      </c>
      <c r="Q104" s="9" t="str">
        <f t="shared" si="31"/>
        <v>OK</v>
      </c>
    </row>
    <row r="105" spans="1:17">
      <c r="A105" s="17">
        <v>215</v>
      </c>
      <c r="B105" s="5" t="s">
        <v>279</v>
      </c>
      <c r="C105" s="5" t="s">
        <v>280</v>
      </c>
      <c r="D105" s="5" t="s">
        <v>31</v>
      </c>
      <c r="E105" s="17" t="s">
        <v>123</v>
      </c>
      <c r="F105" s="6"/>
      <c r="G105" s="7"/>
      <c r="H105" s="7">
        <f>16</f>
        <v>16</v>
      </c>
      <c r="I105" s="7">
        <f t="shared" si="24"/>
        <v>0</v>
      </c>
      <c r="J105" s="7">
        <f t="shared" si="25"/>
        <v>0</v>
      </c>
      <c r="K105" s="7">
        <f t="shared" si="26"/>
        <v>0</v>
      </c>
      <c r="L105" s="7">
        <f>0</f>
        <v>0</v>
      </c>
      <c r="M105" s="8">
        <f t="shared" si="27"/>
        <v>0</v>
      </c>
      <c r="N105" s="8">
        <f t="shared" si="28"/>
        <v>0</v>
      </c>
      <c r="O105" s="8">
        <f t="shared" si="29"/>
        <v>0</v>
      </c>
      <c r="P105" s="9">
        <f t="shared" si="30"/>
        <v>0</v>
      </c>
      <c r="Q105" s="9" t="str">
        <f t="shared" si="31"/>
        <v>OK</v>
      </c>
    </row>
    <row r="106" spans="1:17">
      <c r="A106" s="17">
        <v>204</v>
      </c>
      <c r="B106" s="5" t="s">
        <v>281</v>
      </c>
      <c r="C106" s="5" t="s">
        <v>282</v>
      </c>
      <c r="D106" s="5" t="s">
        <v>31</v>
      </c>
      <c r="E106" s="17" t="s">
        <v>123</v>
      </c>
      <c r="F106" s="6"/>
      <c r="G106" s="7"/>
      <c r="H106" s="7">
        <f>16</f>
        <v>16</v>
      </c>
      <c r="I106" s="7">
        <f t="shared" si="24"/>
        <v>0</v>
      </c>
      <c r="J106" s="7">
        <f t="shared" si="25"/>
        <v>0</v>
      </c>
      <c r="K106" s="7">
        <f t="shared" si="26"/>
        <v>0</v>
      </c>
      <c r="L106" s="7">
        <f>0</f>
        <v>0</v>
      </c>
      <c r="M106" s="8">
        <f t="shared" si="27"/>
        <v>0</v>
      </c>
      <c r="N106" s="8">
        <f t="shared" si="28"/>
        <v>0</v>
      </c>
      <c r="O106" s="8">
        <f t="shared" si="29"/>
        <v>0</v>
      </c>
      <c r="P106" s="9">
        <f t="shared" si="30"/>
        <v>0</v>
      </c>
      <c r="Q106" s="9" t="str">
        <f t="shared" si="31"/>
        <v>OK</v>
      </c>
    </row>
    <row r="107" spans="1:17">
      <c r="A107" s="17" t="s">
        <v>283</v>
      </c>
      <c r="B107" s="5" t="s">
        <v>284</v>
      </c>
      <c r="C107" s="5" t="s">
        <v>285</v>
      </c>
      <c r="D107" s="5" t="s">
        <v>31</v>
      </c>
      <c r="E107" s="17" t="s">
        <v>123</v>
      </c>
      <c r="F107" s="6"/>
      <c r="G107" s="7"/>
      <c r="H107" s="7">
        <f>16</f>
        <v>16</v>
      </c>
      <c r="I107" s="7">
        <f t="shared" si="24"/>
        <v>0</v>
      </c>
      <c r="J107" s="7">
        <f t="shared" si="25"/>
        <v>0</v>
      </c>
      <c r="K107" s="7">
        <f t="shared" si="26"/>
        <v>0</v>
      </c>
      <c r="L107" s="7">
        <f>0</f>
        <v>0</v>
      </c>
      <c r="M107" s="8">
        <f t="shared" si="27"/>
        <v>0</v>
      </c>
      <c r="N107" s="8">
        <f t="shared" si="28"/>
        <v>0</v>
      </c>
      <c r="O107" s="8">
        <f t="shared" si="29"/>
        <v>0</v>
      </c>
      <c r="P107" s="9">
        <f t="shared" si="30"/>
        <v>0</v>
      </c>
      <c r="Q107" s="9" t="str">
        <f t="shared" si="31"/>
        <v>OK</v>
      </c>
    </row>
    <row r="108" spans="1:17">
      <c r="A108" s="17" t="s">
        <v>286</v>
      </c>
      <c r="B108" s="5" t="s">
        <v>63</v>
      </c>
      <c r="C108" s="5" t="s">
        <v>287</v>
      </c>
      <c r="D108" s="5" t="s">
        <v>49</v>
      </c>
      <c r="E108" s="17" t="s">
        <v>123</v>
      </c>
      <c r="F108" s="6"/>
      <c r="G108" s="7"/>
      <c r="H108" s="7">
        <f>16</f>
        <v>16</v>
      </c>
      <c r="I108" s="7">
        <f t="shared" si="24"/>
        <v>0</v>
      </c>
      <c r="J108" s="7">
        <f t="shared" si="25"/>
        <v>0</v>
      </c>
      <c r="K108" s="7">
        <f t="shared" si="26"/>
        <v>0</v>
      </c>
      <c r="L108" s="7">
        <f>0</f>
        <v>0</v>
      </c>
      <c r="M108" s="8">
        <f t="shared" si="27"/>
        <v>0</v>
      </c>
      <c r="N108" s="8">
        <f t="shared" si="28"/>
        <v>0</v>
      </c>
      <c r="O108" s="8">
        <f t="shared" si="29"/>
        <v>0</v>
      </c>
      <c r="P108" s="9">
        <f t="shared" si="30"/>
        <v>0</v>
      </c>
      <c r="Q108" s="9" t="str">
        <f t="shared" si="31"/>
        <v>OK</v>
      </c>
    </row>
    <row r="109" spans="1:17">
      <c r="A109" s="17" t="s">
        <v>288</v>
      </c>
      <c r="B109" s="5" t="s">
        <v>289</v>
      </c>
      <c r="C109" s="5" t="s">
        <v>290</v>
      </c>
      <c r="D109" s="5" t="s">
        <v>69</v>
      </c>
      <c r="E109" s="17" t="s">
        <v>123</v>
      </c>
      <c r="F109" s="6"/>
      <c r="G109" s="7"/>
      <c r="H109" s="7">
        <f>16</f>
        <v>16</v>
      </c>
      <c r="I109" s="7">
        <f t="shared" si="24"/>
        <v>0</v>
      </c>
      <c r="J109" s="7">
        <f t="shared" si="25"/>
        <v>0</v>
      </c>
      <c r="K109" s="7">
        <f t="shared" si="26"/>
        <v>0</v>
      </c>
      <c r="L109" s="7">
        <f>0</f>
        <v>0</v>
      </c>
      <c r="M109" s="8">
        <f t="shared" si="27"/>
        <v>0</v>
      </c>
      <c r="N109" s="8">
        <f t="shared" si="28"/>
        <v>0</v>
      </c>
      <c r="O109" s="8">
        <f t="shared" si="29"/>
        <v>0</v>
      </c>
      <c r="P109" s="9">
        <f t="shared" si="30"/>
        <v>0</v>
      </c>
      <c r="Q109" s="9" t="str">
        <f t="shared" si="31"/>
        <v>OK</v>
      </c>
    </row>
    <row r="110" spans="1:17">
      <c r="A110" s="17" t="s">
        <v>291</v>
      </c>
      <c r="B110" s="5" t="s">
        <v>292</v>
      </c>
      <c r="C110" s="5" t="s">
        <v>77</v>
      </c>
      <c r="D110" s="5" t="s">
        <v>69</v>
      </c>
      <c r="E110" s="17" t="s">
        <v>123</v>
      </c>
      <c r="F110" s="6"/>
      <c r="G110" s="7"/>
      <c r="H110" s="7">
        <f>16</f>
        <v>16</v>
      </c>
      <c r="I110" s="7">
        <f t="shared" si="24"/>
        <v>0</v>
      </c>
      <c r="J110" s="7">
        <f t="shared" si="25"/>
        <v>0</v>
      </c>
      <c r="K110" s="7">
        <f t="shared" si="26"/>
        <v>0</v>
      </c>
      <c r="L110" s="7">
        <f>0</f>
        <v>0</v>
      </c>
      <c r="M110" s="8">
        <f t="shared" si="27"/>
        <v>0</v>
      </c>
      <c r="N110" s="8">
        <f t="shared" si="28"/>
        <v>0</v>
      </c>
      <c r="O110" s="8">
        <f t="shared" si="29"/>
        <v>0</v>
      </c>
      <c r="P110" s="9">
        <f t="shared" si="30"/>
        <v>0</v>
      </c>
      <c r="Q110" s="9" t="str">
        <f t="shared" si="31"/>
        <v>OK</v>
      </c>
    </row>
    <row r="111" spans="1:17">
      <c r="A111" s="17" t="s">
        <v>293</v>
      </c>
      <c r="B111" s="5" t="s">
        <v>294</v>
      </c>
      <c r="C111" s="5" t="s">
        <v>295</v>
      </c>
      <c r="D111" s="5" t="s">
        <v>69</v>
      </c>
      <c r="E111" s="17" t="s">
        <v>123</v>
      </c>
      <c r="F111" s="6"/>
      <c r="G111" s="7"/>
      <c r="H111" s="7">
        <f>16</f>
        <v>16</v>
      </c>
      <c r="I111" s="7">
        <f t="shared" si="24"/>
        <v>0</v>
      </c>
      <c r="J111" s="7">
        <f t="shared" si="25"/>
        <v>0</v>
      </c>
      <c r="K111" s="7">
        <f t="shared" si="26"/>
        <v>0</v>
      </c>
      <c r="L111" s="7">
        <f>0</f>
        <v>0</v>
      </c>
      <c r="M111" s="8">
        <f t="shared" si="27"/>
        <v>0</v>
      </c>
      <c r="N111" s="8">
        <f t="shared" si="28"/>
        <v>0</v>
      </c>
      <c r="O111" s="8">
        <f t="shared" si="29"/>
        <v>0</v>
      </c>
      <c r="P111" s="9">
        <f t="shared" si="30"/>
        <v>0</v>
      </c>
      <c r="Q111" s="9" t="str">
        <f t="shared" si="31"/>
        <v>OK</v>
      </c>
    </row>
    <row r="112" spans="1:17">
      <c r="A112" s="17" t="s">
        <v>296</v>
      </c>
      <c r="B112" s="5" t="s">
        <v>217</v>
      </c>
      <c r="C112" s="5" t="s">
        <v>297</v>
      </c>
      <c r="D112" s="5" t="s">
        <v>69</v>
      </c>
      <c r="E112" s="17" t="s">
        <v>123</v>
      </c>
      <c r="F112" s="6"/>
      <c r="G112" s="7"/>
      <c r="H112" s="7">
        <f>16</f>
        <v>16</v>
      </c>
      <c r="I112" s="7">
        <f t="shared" si="24"/>
        <v>0</v>
      </c>
      <c r="J112" s="7">
        <f t="shared" si="25"/>
        <v>0</v>
      </c>
      <c r="K112" s="7">
        <f t="shared" si="26"/>
        <v>0</v>
      </c>
      <c r="L112" s="7">
        <f>0</f>
        <v>0</v>
      </c>
      <c r="M112" s="8">
        <f t="shared" si="27"/>
        <v>0</v>
      </c>
      <c r="N112" s="8">
        <f t="shared" si="28"/>
        <v>0</v>
      </c>
      <c r="O112" s="8">
        <f t="shared" si="29"/>
        <v>0</v>
      </c>
      <c r="P112" s="9">
        <f t="shared" si="30"/>
        <v>0</v>
      </c>
      <c r="Q112" s="9" t="str">
        <f t="shared" si="31"/>
        <v>OK</v>
      </c>
    </row>
    <row r="113" spans="1:17">
      <c r="A113" s="17">
        <v>89</v>
      </c>
      <c r="B113" s="5" t="s">
        <v>298</v>
      </c>
      <c r="C113" s="5" t="s">
        <v>299</v>
      </c>
      <c r="D113" s="5" t="s">
        <v>69</v>
      </c>
      <c r="E113" s="17" t="s">
        <v>123</v>
      </c>
      <c r="F113" s="6"/>
      <c r="G113" s="7"/>
      <c r="H113" s="7">
        <f>16</f>
        <v>16</v>
      </c>
      <c r="I113" s="7">
        <f t="shared" si="24"/>
        <v>0</v>
      </c>
      <c r="J113" s="7">
        <f t="shared" si="25"/>
        <v>0</v>
      </c>
      <c r="K113" s="7">
        <f t="shared" si="26"/>
        <v>0</v>
      </c>
      <c r="L113" s="7">
        <f>0</f>
        <v>0</v>
      </c>
      <c r="M113" s="8">
        <f t="shared" si="27"/>
        <v>0</v>
      </c>
      <c r="N113" s="8">
        <f t="shared" si="28"/>
        <v>0</v>
      </c>
      <c r="O113" s="8">
        <f t="shared" si="29"/>
        <v>0</v>
      </c>
      <c r="P113" s="9">
        <f t="shared" si="30"/>
        <v>0</v>
      </c>
      <c r="Q113" s="9" t="str">
        <f t="shared" si="31"/>
        <v>OK</v>
      </c>
    </row>
  </sheetData>
  <mergeCells count="1">
    <mergeCell ref="A1:Q1"/>
  </mergeCells>
  <conditionalFormatting sqref="F3:G113">
    <cfRule type="expression" dxfId="51" priority="19">
      <formula>F3="Congé"</formula>
    </cfRule>
    <cfRule type="expression" dxfId="50" priority="20">
      <formula>F3="Congé sans solde"</formula>
    </cfRule>
    <cfRule type="expression" dxfId="49" priority="21">
      <formula>F3="Congé maladie"</formula>
    </cfRule>
    <cfRule type="expression" dxfId="48" priority="22">
      <formula>OR(F3="CSS",F3="CM")</formula>
    </cfRule>
  </conditionalFormatting>
  <conditionalFormatting sqref="F3:J113">
    <cfRule type="expression" dxfId="47" priority="4">
      <formula>F3="Repos"</formula>
    </cfRule>
    <cfRule type="expression" dxfId="46" priority="5">
      <formula>F3="ABS"</formula>
    </cfRule>
    <cfRule type="expression" dxfId="45" priority="6">
      <formula>F3="Congé"</formula>
    </cfRule>
    <cfRule type="expression" dxfId="44" priority="7">
      <formula>F3="Férié"</formula>
    </cfRule>
    <cfRule type="expression" dxfId="43" priority="8">
      <formula>F3="STC"</formula>
    </cfRule>
  </conditionalFormatting>
  <conditionalFormatting sqref="F3:L113">
    <cfRule type="expression" dxfId="42" priority="14">
      <formula>F3="ABS"</formula>
    </cfRule>
    <cfRule type="expression" dxfId="41" priority="15">
      <formula>F3="STC"</formula>
    </cfRule>
    <cfRule type="expression" dxfId="40" priority="16">
      <formula>F3="Congé"</formula>
    </cfRule>
    <cfRule type="expression" dxfId="39" priority="17">
      <formula>F3="Férié"</formula>
    </cfRule>
    <cfRule type="expression" dxfId="38" priority="18">
      <formula>F3="Repos"</formula>
    </cfRule>
  </conditionalFormatting>
  <conditionalFormatting sqref="O3:P113">
    <cfRule type="cellIs" dxfId="37" priority="1" operator="greaterThanOrEqual">
      <formula>1</formula>
    </cfRule>
  </conditionalFormatting>
  <conditionalFormatting sqref="P3:Q113 M3:N113">
    <cfRule type="cellIs" dxfId="36" priority="3" operator="greaterThan">
      <formula>0</formula>
    </cfRule>
  </conditionalFormatting>
  <conditionalFormatting sqref="Q3:Q113">
    <cfRule type="cellIs" dxfId="35" priority="2" operator="greaterThanOr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13"/>
  <sheetViews>
    <sheetView workbookViewId="0"/>
  </sheetViews>
  <sheetFormatPr baseColWidth="10" defaultColWidth="9" defaultRowHeight="14.25"/>
  <cols>
    <col min="1" max="1" width="9" customWidth="1"/>
    <col min="2" max="2" width="18" customWidth="1"/>
    <col min="3" max="3" width="20" customWidth="1"/>
    <col min="4" max="4" width="15.625" customWidth="1"/>
    <col min="5" max="5" width="10.5" style="16" customWidth="1"/>
    <col min="6" max="11" width="7.875" customWidth="1"/>
    <col min="12" max="21" width="8.25" customWidth="1"/>
  </cols>
  <sheetData>
    <row r="1" spans="1:21" ht="18">
      <c r="A1" s="33" t="s">
        <v>341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2" spans="1:21" ht="38.1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342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347</v>
      </c>
      <c r="L2" s="4" t="s">
        <v>348</v>
      </c>
      <c r="M2" s="4" t="s">
        <v>9</v>
      </c>
      <c r="N2" s="4" t="s">
        <v>10</v>
      </c>
      <c r="O2" s="4" t="s">
        <v>11</v>
      </c>
      <c r="P2" s="4" t="s">
        <v>12</v>
      </c>
      <c r="Q2" s="20" t="s">
        <v>13</v>
      </c>
      <c r="R2" s="4" t="s">
        <v>14</v>
      </c>
      <c r="S2" s="4" t="s">
        <v>7</v>
      </c>
      <c r="T2" s="4" t="s">
        <v>15</v>
      </c>
      <c r="U2" s="4" t="s">
        <v>16</v>
      </c>
    </row>
    <row r="3" spans="1:21">
      <c r="A3" s="12" t="s">
        <v>17</v>
      </c>
      <c r="B3" s="12" t="s">
        <v>18</v>
      </c>
      <c r="C3" s="13" t="s">
        <v>19</v>
      </c>
      <c r="D3" s="12" t="s">
        <v>20</v>
      </c>
      <c r="E3" s="10" t="s">
        <v>21</v>
      </c>
      <c r="F3" s="8">
        <f>IFERROR(SUMIF(S1_26_JUIL!$A$3:$A$113,$A3,S1_26_JUIL!$O$3:$O$113),0)</f>
        <v>0</v>
      </c>
      <c r="G3" s="8">
        <f>IFERROR(SUMIF('S2_27_JUIL-02_AOUT'!$A$3:$A$113,$A3,'S2_27_JUIL-02_AOUT'!$U$3:$U$113),0)</f>
        <v>43</v>
      </c>
      <c r="H3" s="8">
        <f>IFERROR(SUMIF('S3_03-09_AOUT'!$A$3:$A$113,$A3,'S3_03-09_AOUT'!$U$3:$U$113),0)</f>
        <v>0</v>
      </c>
      <c r="I3" s="8">
        <f>IFERROR(SUMIF('S4_10-16_AOUT'!$A$3:$A$113,$A3,'S4_10-16_AOUT'!$U$3:$U$113),0)</f>
        <v>0</v>
      </c>
      <c r="J3" s="8">
        <f>IFERROR(SUMIF('S5_17-23_AOUT'!$A$3:$A$113,$A3,'S5_17-23_AOUT'!$U$3:$U$113),0)</f>
        <v>0</v>
      </c>
      <c r="K3" s="8">
        <f>IFERROR(SUMIF('S6_24-25_AOUT'!$A$3:$A$113,$A3,'S6_24-25_AOUT'!$P$3:$P$113),0)</f>
        <v>0</v>
      </c>
      <c r="L3" s="8">
        <f t="shared" ref="L3:L34" si="0">SUM(F3:K3)</f>
        <v>43</v>
      </c>
      <c r="M3" s="8">
        <f>IFERROR(SUMIF(S1_26_JUIL!$A$3:$A$113,$A3,S1_26_JUIL!$I$3:$I$113),0)+IFERROR(SUMIF('S2_27_JUIL-02_AOUT'!$A$3:$A$113,$A3,'S2_27_JUIL-02_AOUT'!$O$3:$O$113),0)+IFERROR(SUMIF('S3_03-09_AOUT'!$A$3:$A$113,$A3,'S3_03-09_AOUT'!$O$3:$O$113),0)+IFERROR(SUMIF('S4_10-16_AOUT'!$A$3:$A$113,$A3,'S4_10-16_AOUT'!$O$3:$O$113),0)+IFERROR(SUMIF('S5_17-23_AOUT'!$A$3:$A$113,$A3,'S5_17-23_AOUT'!$O$3:$O$113),0)+IFERROR(SUMIF('S6_24-25_AOUT'!$A$3:$A$113,$A3,'S6_24-25_AOUT'!$J$3:$J$113),0)</f>
        <v>43</v>
      </c>
      <c r="N3" s="9">
        <f>IFERROR(SUMIF(S1_26_JUIL!$A$3:$A$113,$A3,S1_26_JUIL!$J$3:$J$113),0)+IFERROR(SUMIF('S2_27_JUIL-02_AOUT'!$A$3:$A$113,$A3,'S2_27_JUIL-02_AOUT'!$P$3:$P$113),0)+IFERROR(SUMIF('S3_03-09_AOUT'!$A$3:$A$113,$A3,'S3_03-09_AOUT'!$P$3:$P$113),0)+IFERROR(SUMIF('S4_10-16_AOUT'!$A$3:$A$113,$A3,'S4_10-16_AOUT'!$P$3:$P$113),0)+IFERROR(SUMIF('S5_17-23_AOUT'!$A$3:$A$113,$A3,'S5_17-23_AOUT'!$P$3:$P$113),0)+IFERROR(SUMIF('S6_24-25_AOUT'!$A$3:$A$113,$A3,'S6_24-25_AOUT'!$K$3:$K$113),0)</f>
        <v>0</v>
      </c>
      <c r="O3" s="9">
        <f>IFERROR(SUMIF(S1_26_JUIL!$A$3:$A$113,$A3,S1_26_JUIL!$K$3:$K$113),0)+IFERROR(SUMIF('S2_27_JUIL-02_AOUT'!$A$3:$A$113,$A3,'S2_27_JUIL-02_AOUT'!$Q$3:$Q$113),0)+IFERROR(SUMIF('S3_03-09_AOUT'!$A$3:$A$113,$A3,'S3_03-09_AOUT'!$Q$3:$Q$113),0)+IFERROR(SUMIF('S4_10-16_AOUT'!$A$3:$A$113,$A3,'S4_10-16_AOUT'!$Q$3:$Q$113),0)+IFERROR(SUMIF('S5_17-23_AOUT'!$A$3:$A$113,$A3,'S5_17-23_AOUT'!$Q$3:$Q$113),0)+IFERROR(SUMIF('S6_24-25_AOUT'!$A$3:$A$113,$A3,'S6_24-25_AOUT'!$L$3:$L$113),0)</f>
        <v>0</v>
      </c>
      <c r="P3" s="8">
        <f>IFERROR(SUMIF(S1_26_JUIL!$A$3:$A$113,$A3,S1_26_JUIL!$L$3:$L$113),0)+IFERROR(SUMIF('S2_27_JUIL-02_AOUT'!$A$3:$A$113,$A3,'S2_27_JUIL-02_AOUT'!$R$3:$R$113),0)+IFERROR(SUMIF('S3_03-09_AOUT'!$A$3:$A$113,$A3,'S3_03-09_AOUT'!$R$3:$R$113),0)+IFERROR(SUMIF('S4_10-16_AOUT'!$A$3:$A$113,$A3,'S4_10-16_AOUT'!$R$3:$R$113),0)+IFERROR(SUMIF('S5_17-23_AOUT'!$A$3:$A$113,$A3,'S5_17-23_AOUT'!$R$3:$R$113),0)+IFERROR(SUMIF('S6_24-25_AOUT'!$A$3:$A$113,$A3,'S6_24-25_AOUT'!$M$3:$M$113),0)</f>
        <v>0</v>
      </c>
      <c r="Q3" s="8">
        <f>IFERROR(SUMIF(S1_26_JUIL!$A$3:$A$113,$A3,S1_26_JUIL!$M$3:$M$113),0)+IFERROR(SUMIF('S2_27_JUIL-02_AOUT'!$A$3:$A$113,$A3,'S2_27_JUIL-02_AOUT'!$S$3:$S$113),0)+IFERROR(SUMIF('S3_03-09_AOUT'!$A$3:$A$113,$A3,'S3_03-09_AOUT'!$S$3:$S$113),0)+IFERROR(SUMIF('S4_10-16_AOUT'!$A$3:$A$113,$A3,'S4_10-16_AOUT'!$S$3:$S$113),0)+IFERROR(SUMIF('S5_17-23_AOUT'!$A$3:$A$113,$A3,'S5_17-23_AOUT'!$S$3:$S$113),0)+IFERROR(SUMIF('S6_24-25_AOUT'!$A$3:$A$113,$A3,'S6_24-25_AOUT'!$N$3:$N$113),0)</f>
        <v>0</v>
      </c>
      <c r="R3" s="11">
        <f>IFERROR(SUMIF(S1_26_JUIL!$A$3:$A$113,$A3,S1_26_JUIL!$N$3:$N$113),0)+IFERROR(SUMIF('S2_27_JUIL-02_AOUT'!$A$3:$A$113,$A3,'S2_27_JUIL-02_AOUT'!$T$3:$T$113),0)+IFERROR(SUMIF('S3_03-09_AOUT'!$A$3:$A$113,$A3,'S3_03-09_AOUT'!$T$3:$T$113),0)+IFERROR(SUMIF('S4_10-16_AOUT'!$A$3:$A$113,$A3,'S4_10-16_AOUT'!$T$3:$T$113),0)+IFERROR(SUMIF('S5_17-23_AOUT'!$A$3:$A$113,$A3,'S5_17-23_AOUT'!$T$3:$T$113),0)+IFERROR(SUMIF('S6_24-25_AOUT'!$A$3:$A$113,$A3,'S6_24-25_AOUT'!$O$3:$O$113),0)</f>
        <v>0</v>
      </c>
      <c r="S3" s="8">
        <f>208</f>
        <v>208</v>
      </c>
      <c r="T3" s="8">
        <f t="shared" ref="T3:T34" si="1">M3+N3+O3+(R3*8.5)</f>
        <v>43</v>
      </c>
      <c r="U3" s="10" t="str">
        <f>IF(OR(IFERROR(INDEX(S1_26_JUIL!$P$3:$P$113,MATCH($A3,S1_26_JUIL!$A$3:$A$113,0)),"")="STC",IFERROR(INDEX('S2_27_JUIL-02_AOUT'!$V$3:$V$113,MATCH($A3,'S2_27_JUIL-02_AOUT'!$A$3:$A$113,0)),"")="STC",IFERROR(INDEX('S3_03-09_AOUT'!$V$3:$V$113,MATCH($A3,'S3_03-09_AOUT'!$A$3:$A$113,0)),"")="STC",IFERROR(INDEX('S4_10-16_AOUT'!$V$3:$V$113,MATCH($A3,'S4_10-16_AOUT'!$A$3:$A$113,0)),"")="STC",IFERROR(INDEX('S5_17-23_AOUT'!$V$3:$V$113,MATCH($A3,'S5_17-23_AOUT'!$A$3:$A$113,0)),"")="STC",IFERROR(INDEX('S6_24-25_AOUT'!$Q$3:$Q$113,MATCH($A3,'S6_24-25_AOUT'!$A$3:$A$113,0)),"")="STC"),"STC",IF(OR(IFERROR(INDEX(S1_26_JUIL!$P$3:$P$113,MATCH($A3,S1_26_JUIL!$A$3:$A$113,0)),"")="À vérifier",IFERROR(INDEX('S2_27_JUIL-02_AOUT'!$V$3:$V$113,MATCH($A3,'S2_27_JUIL-02_AOUT'!$A$3:$A$113,0)),"")="À vérifier",IFERROR(INDEX('S3_03-09_AOUT'!$V$3:$V$113,MATCH($A3,'S3_03-09_AOUT'!$A$3:$A$113,0)),"")="À vérifier",IFERROR(INDEX('S4_10-16_AOUT'!$V$3:$V$113,MATCH($A3,'S4_10-16_AOUT'!$A$3:$A$113,0)),"")="À vérifier",IFERROR(INDEX('S5_17-23_AOUT'!$V$3:$V$113,MATCH($A3,'S5_17-23_AOUT'!$A$3:$A$113,0)),"")="À vérifier",IFERROR(INDEX('S6_24-25_AOUT'!$Q$3:$Q$113,MATCH($A3,'S6_24-25_AOUT'!$A$3:$A$113,0)),"")="À vérifier",ABS(L3-T3)&gt;=0.01),"À vérifier","OK"))</f>
        <v>OK</v>
      </c>
    </row>
    <row r="4" spans="1:21">
      <c r="A4" s="12" t="s">
        <v>23</v>
      </c>
      <c r="B4" s="12" t="s">
        <v>24</v>
      </c>
      <c r="C4" s="13" t="s">
        <v>25</v>
      </c>
      <c r="D4" s="12" t="s">
        <v>20</v>
      </c>
      <c r="E4" s="10" t="s">
        <v>21</v>
      </c>
      <c r="F4" s="8">
        <f>IFERROR(SUMIF(S1_26_JUIL!$A$3:$A$113,$A4,S1_26_JUIL!$O$3:$O$113),0)</f>
        <v>0</v>
      </c>
      <c r="G4" s="8">
        <f>IFERROR(SUMIF('S2_27_JUIL-02_AOUT'!$A$3:$A$113,$A4,'S2_27_JUIL-02_AOUT'!$U$3:$U$113),0)</f>
        <v>48</v>
      </c>
      <c r="H4" s="8">
        <f>IFERROR(SUMIF('S3_03-09_AOUT'!$A$3:$A$113,$A4,'S3_03-09_AOUT'!$U$3:$U$113),0)</f>
        <v>0</v>
      </c>
      <c r="I4" s="8">
        <f>IFERROR(SUMIF('S4_10-16_AOUT'!$A$3:$A$113,$A4,'S4_10-16_AOUT'!$U$3:$U$113),0)</f>
        <v>0</v>
      </c>
      <c r="J4" s="8">
        <f>IFERROR(SUMIF('S5_17-23_AOUT'!$A$3:$A$113,$A4,'S5_17-23_AOUT'!$U$3:$U$113),0)</f>
        <v>0</v>
      </c>
      <c r="K4" s="8">
        <f>IFERROR(SUMIF('S6_24-25_AOUT'!$A$3:$A$113,$A4,'S6_24-25_AOUT'!$P$3:$P$113),0)</f>
        <v>0</v>
      </c>
      <c r="L4" s="8">
        <f t="shared" si="0"/>
        <v>48</v>
      </c>
      <c r="M4" s="8">
        <f>IFERROR(SUMIF(S1_26_JUIL!$A$3:$A$113,$A4,S1_26_JUIL!$I$3:$I$113),0)+IFERROR(SUMIF('S2_27_JUIL-02_AOUT'!$A$3:$A$113,$A4,'S2_27_JUIL-02_AOUT'!$O$3:$O$113),0)+IFERROR(SUMIF('S3_03-09_AOUT'!$A$3:$A$113,$A4,'S3_03-09_AOUT'!$O$3:$O$113),0)+IFERROR(SUMIF('S4_10-16_AOUT'!$A$3:$A$113,$A4,'S4_10-16_AOUT'!$O$3:$O$113),0)+IFERROR(SUMIF('S5_17-23_AOUT'!$A$3:$A$113,$A4,'S5_17-23_AOUT'!$O$3:$O$113),0)+IFERROR(SUMIF('S6_24-25_AOUT'!$A$3:$A$113,$A4,'S6_24-25_AOUT'!$J$3:$J$113),0)</f>
        <v>48</v>
      </c>
      <c r="N4" s="9">
        <f>IFERROR(SUMIF(S1_26_JUIL!$A$3:$A$113,$A4,S1_26_JUIL!$J$3:$J$113),0)+IFERROR(SUMIF('S2_27_JUIL-02_AOUT'!$A$3:$A$113,$A4,'S2_27_JUIL-02_AOUT'!$P$3:$P$113),0)+IFERROR(SUMIF('S3_03-09_AOUT'!$A$3:$A$113,$A4,'S3_03-09_AOUT'!$P$3:$P$113),0)+IFERROR(SUMIF('S4_10-16_AOUT'!$A$3:$A$113,$A4,'S4_10-16_AOUT'!$P$3:$P$113),0)+IFERROR(SUMIF('S5_17-23_AOUT'!$A$3:$A$113,$A4,'S5_17-23_AOUT'!$P$3:$P$113),0)+IFERROR(SUMIF('S6_24-25_AOUT'!$A$3:$A$113,$A4,'S6_24-25_AOUT'!$K$3:$K$113),0)</f>
        <v>0</v>
      </c>
      <c r="O4" s="9">
        <f>IFERROR(SUMIF(S1_26_JUIL!$A$3:$A$113,$A4,S1_26_JUIL!$K$3:$K$113),0)+IFERROR(SUMIF('S2_27_JUIL-02_AOUT'!$A$3:$A$113,$A4,'S2_27_JUIL-02_AOUT'!$Q$3:$Q$113),0)+IFERROR(SUMIF('S3_03-09_AOUT'!$A$3:$A$113,$A4,'S3_03-09_AOUT'!$Q$3:$Q$113),0)+IFERROR(SUMIF('S4_10-16_AOUT'!$A$3:$A$113,$A4,'S4_10-16_AOUT'!$Q$3:$Q$113),0)+IFERROR(SUMIF('S5_17-23_AOUT'!$A$3:$A$113,$A4,'S5_17-23_AOUT'!$Q$3:$Q$113),0)+IFERROR(SUMIF('S6_24-25_AOUT'!$A$3:$A$113,$A4,'S6_24-25_AOUT'!$L$3:$L$113),0)</f>
        <v>0</v>
      </c>
      <c r="P4" s="8">
        <f>IFERROR(SUMIF(S1_26_JUIL!$A$3:$A$113,$A4,S1_26_JUIL!$L$3:$L$113),0)+IFERROR(SUMIF('S2_27_JUIL-02_AOUT'!$A$3:$A$113,$A4,'S2_27_JUIL-02_AOUT'!$R$3:$R$113),0)+IFERROR(SUMIF('S3_03-09_AOUT'!$A$3:$A$113,$A4,'S3_03-09_AOUT'!$R$3:$R$113),0)+IFERROR(SUMIF('S4_10-16_AOUT'!$A$3:$A$113,$A4,'S4_10-16_AOUT'!$R$3:$R$113),0)+IFERROR(SUMIF('S5_17-23_AOUT'!$A$3:$A$113,$A4,'S5_17-23_AOUT'!$R$3:$R$113),0)+IFERROR(SUMIF('S6_24-25_AOUT'!$A$3:$A$113,$A4,'S6_24-25_AOUT'!$M$3:$M$113),0)</f>
        <v>0</v>
      </c>
      <c r="Q4" s="8">
        <f>IFERROR(SUMIF(S1_26_JUIL!$A$3:$A$113,$A4,S1_26_JUIL!$M$3:$M$113),0)+IFERROR(SUMIF('S2_27_JUIL-02_AOUT'!$A$3:$A$113,$A4,'S2_27_JUIL-02_AOUT'!$S$3:$S$113),0)+IFERROR(SUMIF('S3_03-09_AOUT'!$A$3:$A$113,$A4,'S3_03-09_AOUT'!$S$3:$S$113),0)+IFERROR(SUMIF('S4_10-16_AOUT'!$A$3:$A$113,$A4,'S4_10-16_AOUT'!$S$3:$S$113),0)+IFERROR(SUMIF('S5_17-23_AOUT'!$A$3:$A$113,$A4,'S5_17-23_AOUT'!$S$3:$S$113),0)+IFERROR(SUMIF('S6_24-25_AOUT'!$A$3:$A$113,$A4,'S6_24-25_AOUT'!$N$3:$N$113),0)</f>
        <v>0</v>
      </c>
      <c r="R4" s="11">
        <f>IFERROR(SUMIF(S1_26_JUIL!$A$3:$A$113,$A4,S1_26_JUIL!$N$3:$N$113),0)+IFERROR(SUMIF('S2_27_JUIL-02_AOUT'!$A$3:$A$113,$A4,'S2_27_JUIL-02_AOUT'!$T$3:$T$113),0)+IFERROR(SUMIF('S3_03-09_AOUT'!$A$3:$A$113,$A4,'S3_03-09_AOUT'!$T$3:$T$113),0)+IFERROR(SUMIF('S4_10-16_AOUT'!$A$3:$A$113,$A4,'S4_10-16_AOUT'!$T$3:$T$113),0)+IFERROR(SUMIF('S5_17-23_AOUT'!$A$3:$A$113,$A4,'S5_17-23_AOUT'!$T$3:$T$113),0)+IFERROR(SUMIF('S6_24-25_AOUT'!$A$3:$A$113,$A4,'S6_24-25_AOUT'!$O$3:$O$113),0)</f>
        <v>0</v>
      </c>
      <c r="S4" s="8">
        <f>208</f>
        <v>208</v>
      </c>
      <c r="T4" s="8">
        <f t="shared" si="1"/>
        <v>48</v>
      </c>
      <c r="U4" s="10" t="str">
        <f>IF(OR(IFERROR(INDEX(S1_26_JUIL!$P$3:$P$113,MATCH($A4,S1_26_JUIL!$A$3:$A$113,0)),"")="STC",IFERROR(INDEX('S2_27_JUIL-02_AOUT'!$V$3:$V$113,MATCH($A4,'S2_27_JUIL-02_AOUT'!$A$3:$A$113,0)),"")="STC",IFERROR(INDEX('S3_03-09_AOUT'!$V$3:$V$113,MATCH($A4,'S3_03-09_AOUT'!$A$3:$A$113,0)),"")="STC",IFERROR(INDEX('S4_10-16_AOUT'!$V$3:$V$113,MATCH($A4,'S4_10-16_AOUT'!$A$3:$A$113,0)),"")="STC",IFERROR(INDEX('S5_17-23_AOUT'!$V$3:$V$113,MATCH($A4,'S5_17-23_AOUT'!$A$3:$A$113,0)),"")="STC",IFERROR(INDEX('S6_24-25_AOUT'!$Q$3:$Q$113,MATCH($A4,'S6_24-25_AOUT'!$A$3:$A$113,0)),"")="STC"),"STC",IF(OR(IFERROR(INDEX(S1_26_JUIL!$P$3:$P$113,MATCH($A4,S1_26_JUIL!$A$3:$A$113,0)),"")="À vérifier",IFERROR(INDEX('S2_27_JUIL-02_AOUT'!$V$3:$V$113,MATCH($A4,'S2_27_JUIL-02_AOUT'!$A$3:$A$113,0)),"")="À vérifier",IFERROR(INDEX('S3_03-09_AOUT'!$V$3:$V$113,MATCH($A4,'S3_03-09_AOUT'!$A$3:$A$113,0)),"")="À vérifier",IFERROR(INDEX('S4_10-16_AOUT'!$V$3:$V$113,MATCH($A4,'S4_10-16_AOUT'!$A$3:$A$113,0)),"")="À vérifier",IFERROR(INDEX('S5_17-23_AOUT'!$V$3:$V$113,MATCH($A4,'S5_17-23_AOUT'!$A$3:$A$113,0)),"")="À vérifier",IFERROR(INDEX('S6_24-25_AOUT'!$Q$3:$Q$113,MATCH($A4,'S6_24-25_AOUT'!$A$3:$A$113,0)),"")="À vérifier",ABS(L4-T4)&gt;=0.01),"À vérifier","OK"))</f>
        <v>OK</v>
      </c>
    </row>
    <row r="5" spans="1:21">
      <c r="A5" s="12" t="s">
        <v>26</v>
      </c>
      <c r="B5" s="12" t="s">
        <v>27</v>
      </c>
      <c r="C5" s="13" t="s">
        <v>28</v>
      </c>
      <c r="D5" s="12" t="s">
        <v>20</v>
      </c>
      <c r="E5" s="10" t="s">
        <v>21</v>
      </c>
      <c r="F5" s="8">
        <f>IFERROR(SUMIF(S1_26_JUIL!$A$3:$A$113,$A5,S1_26_JUIL!$O$3:$O$113),0)</f>
        <v>0</v>
      </c>
      <c r="G5" s="8">
        <f>IFERROR(SUMIF('S2_27_JUIL-02_AOUT'!$A$3:$A$113,$A5,'S2_27_JUIL-02_AOUT'!$U$3:$U$113),0)</f>
        <v>45.5</v>
      </c>
      <c r="H5" s="8">
        <f>IFERROR(SUMIF('S3_03-09_AOUT'!$A$3:$A$113,$A5,'S3_03-09_AOUT'!$U$3:$U$113),0)</f>
        <v>0</v>
      </c>
      <c r="I5" s="8">
        <f>IFERROR(SUMIF('S4_10-16_AOUT'!$A$3:$A$113,$A5,'S4_10-16_AOUT'!$U$3:$U$113),0)</f>
        <v>0</v>
      </c>
      <c r="J5" s="8">
        <f>IFERROR(SUMIF('S5_17-23_AOUT'!$A$3:$A$113,$A5,'S5_17-23_AOUT'!$U$3:$U$113),0)</f>
        <v>0</v>
      </c>
      <c r="K5" s="8">
        <f>IFERROR(SUMIF('S6_24-25_AOUT'!$A$3:$A$113,$A5,'S6_24-25_AOUT'!$P$3:$P$113),0)</f>
        <v>0</v>
      </c>
      <c r="L5" s="8">
        <f t="shared" si="0"/>
        <v>45.5</v>
      </c>
      <c r="M5" s="8">
        <f>IFERROR(SUMIF(S1_26_JUIL!$A$3:$A$113,$A5,S1_26_JUIL!$I$3:$I$113),0)+IFERROR(SUMIF('S2_27_JUIL-02_AOUT'!$A$3:$A$113,$A5,'S2_27_JUIL-02_AOUT'!$O$3:$O$113),0)+IFERROR(SUMIF('S3_03-09_AOUT'!$A$3:$A$113,$A5,'S3_03-09_AOUT'!$O$3:$O$113),0)+IFERROR(SUMIF('S4_10-16_AOUT'!$A$3:$A$113,$A5,'S4_10-16_AOUT'!$O$3:$O$113),0)+IFERROR(SUMIF('S5_17-23_AOUT'!$A$3:$A$113,$A5,'S5_17-23_AOUT'!$O$3:$O$113),0)+IFERROR(SUMIF('S6_24-25_AOUT'!$A$3:$A$113,$A5,'S6_24-25_AOUT'!$J$3:$J$113),0)</f>
        <v>45.5</v>
      </c>
      <c r="N5" s="9">
        <f>IFERROR(SUMIF(S1_26_JUIL!$A$3:$A$113,$A5,S1_26_JUIL!$J$3:$J$113),0)+IFERROR(SUMIF('S2_27_JUIL-02_AOUT'!$A$3:$A$113,$A5,'S2_27_JUIL-02_AOUT'!$P$3:$P$113),0)+IFERROR(SUMIF('S3_03-09_AOUT'!$A$3:$A$113,$A5,'S3_03-09_AOUT'!$P$3:$P$113),0)+IFERROR(SUMIF('S4_10-16_AOUT'!$A$3:$A$113,$A5,'S4_10-16_AOUT'!$P$3:$P$113),0)+IFERROR(SUMIF('S5_17-23_AOUT'!$A$3:$A$113,$A5,'S5_17-23_AOUT'!$P$3:$P$113),0)+IFERROR(SUMIF('S6_24-25_AOUT'!$A$3:$A$113,$A5,'S6_24-25_AOUT'!$K$3:$K$113),0)</f>
        <v>0</v>
      </c>
      <c r="O5" s="9">
        <f>IFERROR(SUMIF(S1_26_JUIL!$A$3:$A$113,$A5,S1_26_JUIL!$K$3:$K$113),0)+IFERROR(SUMIF('S2_27_JUIL-02_AOUT'!$A$3:$A$113,$A5,'S2_27_JUIL-02_AOUT'!$Q$3:$Q$113),0)+IFERROR(SUMIF('S3_03-09_AOUT'!$A$3:$A$113,$A5,'S3_03-09_AOUT'!$Q$3:$Q$113),0)+IFERROR(SUMIF('S4_10-16_AOUT'!$A$3:$A$113,$A5,'S4_10-16_AOUT'!$Q$3:$Q$113),0)+IFERROR(SUMIF('S5_17-23_AOUT'!$A$3:$A$113,$A5,'S5_17-23_AOUT'!$Q$3:$Q$113),0)+IFERROR(SUMIF('S6_24-25_AOUT'!$A$3:$A$113,$A5,'S6_24-25_AOUT'!$L$3:$L$113),0)</f>
        <v>0</v>
      </c>
      <c r="P5" s="8">
        <f>IFERROR(SUMIF(S1_26_JUIL!$A$3:$A$113,$A5,S1_26_JUIL!$L$3:$L$113),0)+IFERROR(SUMIF('S2_27_JUIL-02_AOUT'!$A$3:$A$113,$A5,'S2_27_JUIL-02_AOUT'!$R$3:$R$113),0)+IFERROR(SUMIF('S3_03-09_AOUT'!$A$3:$A$113,$A5,'S3_03-09_AOUT'!$R$3:$R$113),0)+IFERROR(SUMIF('S4_10-16_AOUT'!$A$3:$A$113,$A5,'S4_10-16_AOUT'!$R$3:$R$113),0)+IFERROR(SUMIF('S5_17-23_AOUT'!$A$3:$A$113,$A5,'S5_17-23_AOUT'!$R$3:$R$113),0)+IFERROR(SUMIF('S6_24-25_AOUT'!$A$3:$A$113,$A5,'S6_24-25_AOUT'!$M$3:$M$113),0)</f>
        <v>0</v>
      </c>
      <c r="Q5" s="8">
        <f>IFERROR(SUMIF(S1_26_JUIL!$A$3:$A$113,$A5,S1_26_JUIL!$M$3:$M$113),0)+IFERROR(SUMIF('S2_27_JUIL-02_AOUT'!$A$3:$A$113,$A5,'S2_27_JUIL-02_AOUT'!$S$3:$S$113),0)+IFERROR(SUMIF('S3_03-09_AOUT'!$A$3:$A$113,$A5,'S3_03-09_AOUT'!$S$3:$S$113),0)+IFERROR(SUMIF('S4_10-16_AOUT'!$A$3:$A$113,$A5,'S4_10-16_AOUT'!$S$3:$S$113),0)+IFERROR(SUMIF('S5_17-23_AOUT'!$A$3:$A$113,$A5,'S5_17-23_AOUT'!$S$3:$S$113),0)+IFERROR(SUMIF('S6_24-25_AOUT'!$A$3:$A$113,$A5,'S6_24-25_AOUT'!$N$3:$N$113),0)</f>
        <v>0</v>
      </c>
      <c r="R5" s="11">
        <f>IFERROR(SUMIF(S1_26_JUIL!$A$3:$A$113,$A5,S1_26_JUIL!$N$3:$N$113),0)+IFERROR(SUMIF('S2_27_JUIL-02_AOUT'!$A$3:$A$113,$A5,'S2_27_JUIL-02_AOUT'!$T$3:$T$113),0)+IFERROR(SUMIF('S3_03-09_AOUT'!$A$3:$A$113,$A5,'S3_03-09_AOUT'!$T$3:$T$113),0)+IFERROR(SUMIF('S4_10-16_AOUT'!$A$3:$A$113,$A5,'S4_10-16_AOUT'!$T$3:$T$113),0)+IFERROR(SUMIF('S5_17-23_AOUT'!$A$3:$A$113,$A5,'S5_17-23_AOUT'!$T$3:$T$113),0)+IFERROR(SUMIF('S6_24-25_AOUT'!$A$3:$A$113,$A5,'S6_24-25_AOUT'!$O$3:$O$113),0)</f>
        <v>0</v>
      </c>
      <c r="S5" s="8">
        <f>208</f>
        <v>208</v>
      </c>
      <c r="T5" s="8">
        <f t="shared" si="1"/>
        <v>45.5</v>
      </c>
      <c r="U5" s="10" t="str">
        <f>IF(OR(IFERROR(INDEX(S1_26_JUIL!$P$3:$P$113,MATCH($A5,S1_26_JUIL!$A$3:$A$113,0)),"")="STC",IFERROR(INDEX('S2_27_JUIL-02_AOUT'!$V$3:$V$113,MATCH($A5,'S2_27_JUIL-02_AOUT'!$A$3:$A$113,0)),"")="STC",IFERROR(INDEX('S3_03-09_AOUT'!$V$3:$V$113,MATCH($A5,'S3_03-09_AOUT'!$A$3:$A$113,0)),"")="STC",IFERROR(INDEX('S4_10-16_AOUT'!$V$3:$V$113,MATCH($A5,'S4_10-16_AOUT'!$A$3:$A$113,0)),"")="STC",IFERROR(INDEX('S5_17-23_AOUT'!$V$3:$V$113,MATCH($A5,'S5_17-23_AOUT'!$A$3:$A$113,0)),"")="STC",IFERROR(INDEX('S6_24-25_AOUT'!$Q$3:$Q$113,MATCH($A5,'S6_24-25_AOUT'!$A$3:$A$113,0)),"")="STC"),"STC",IF(OR(IFERROR(INDEX(S1_26_JUIL!$P$3:$P$113,MATCH($A5,S1_26_JUIL!$A$3:$A$113,0)),"")="À vérifier",IFERROR(INDEX('S2_27_JUIL-02_AOUT'!$V$3:$V$113,MATCH($A5,'S2_27_JUIL-02_AOUT'!$A$3:$A$113,0)),"")="À vérifier",IFERROR(INDEX('S3_03-09_AOUT'!$V$3:$V$113,MATCH($A5,'S3_03-09_AOUT'!$A$3:$A$113,0)),"")="À vérifier",IFERROR(INDEX('S4_10-16_AOUT'!$V$3:$V$113,MATCH($A5,'S4_10-16_AOUT'!$A$3:$A$113,0)),"")="À vérifier",IFERROR(INDEX('S5_17-23_AOUT'!$V$3:$V$113,MATCH($A5,'S5_17-23_AOUT'!$A$3:$A$113,0)),"")="À vérifier",IFERROR(INDEX('S6_24-25_AOUT'!$Q$3:$Q$113,MATCH($A5,'S6_24-25_AOUT'!$A$3:$A$113,0)),"")="À vérifier",ABS(L5-T5)&gt;=0.01),"À vérifier","OK"))</f>
        <v>OK</v>
      </c>
    </row>
    <row r="6" spans="1:21">
      <c r="A6" s="12">
        <v>124</v>
      </c>
      <c r="B6" s="12" t="s">
        <v>29</v>
      </c>
      <c r="C6" s="13" t="s">
        <v>30</v>
      </c>
      <c r="D6" s="12" t="s">
        <v>31</v>
      </c>
      <c r="E6" s="10" t="s">
        <v>21</v>
      </c>
      <c r="F6" s="8">
        <f>IFERROR(SUMIF(S1_26_JUIL!$A$3:$A$113,$A6,S1_26_JUIL!$O$3:$O$113),0)</f>
        <v>0</v>
      </c>
      <c r="G6" s="8">
        <f>IFERROR(SUMIF('S2_27_JUIL-02_AOUT'!$A$3:$A$113,$A6,'S2_27_JUIL-02_AOUT'!$U$3:$U$113),0)</f>
        <v>46</v>
      </c>
      <c r="H6" s="8">
        <f>IFERROR(SUMIF('S3_03-09_AOUT'!$A$3:$A$113,$A6,'S3_03-09_AOUT'!$U$3:$U$113),0)</f>
        <v>0</v>
      </c>
      <c r="I6" s="8">
        <f>IFERROR(SUMIF('S4_10-16_AOUT'!$A$3:$A$113,$A6,'S4_10-16_AOUT'!$U$3:$U$113),0)</f>
        <v>0</v>
      </c>
      <c r="J6" s="8">
        <f>IFERROR(SUMIF('S5_17-23_AOUT'!$A$3:$A$113,$A6,'S5_17-23_AOUT'!$U$3:$U$113),0)</f>
        <v>0</v>
      </c>
      <c r="K6" s="8">
        <f>IFERROR(SUMIF('S6_24-25_AOUT'!$A$3:$A$113,$A6,'S6_24-25_AOUT'!$P$3:$P$113),0)</f>
        <v>0</v>
      </c>
      <c r="L6" s="8">
        <f t="shared" si="0"/>
        <v>46</v>
      </c>
      <c r="M6" s="8">
        <f>IFERROR(SUMIF(S1_26_JUIL!$A$3:$A$113,$A6,S1_26_JUIL!$I$3:$I$113),0)+IFERROR(SUMIF('S2_27_JUIL-02_AOUT'!$A$3:$A$113,$A6,'S2_27_JUIL-02_AOUT'!$O$3:$O$113),0)+IFERROR(SUMIF('S3_03-09_AOUT'!$A$3:$A$113,$A6,'S3_03-09_AOUT'!$O$3:$O$113),0)+IFERROR(SUMIF('S4_10-16_AOUT'!$A$3:$A$113,$A6,'S4_10-16_AOUT'!$O$3:$O$113),0)+IFERROR(SUMIF('S5_17-23_AOUT'!$A$3:$A$113,$A6,'S5_17-23_AOUT'!$O$3:$O$113),0)+IFERROR(SUMIF('S6_24-25_AOUT'!$A$3:$A$113,$A6,'S6_24-25_AOUT'!$J$3:$J$113),0)</f>
        <v>46</v>
      </c>
      <c r="N6" s="9">
        <f>IFERROR(SUMIF(S1_26_JUIL!$A$3:$A$113,$A6,S1_26_JUIL!$J$3:$J$113),0)+IFERROR(SUMIF('S2_27_JUIL-02_AOUT'!$A$3:$A$113,$A6,'S2_27_JUIL-02_AOUT'!$P$3:$P$113),0)+IFERROR(SUMIF('S3_03-09_AOUT'!$A$3:$A$113,$A6,'S3_03-09_AOUT'!$P$3:$P$113),0)+IFERROR(SUMIF('S4_10-16_AOUT'!$A$3:$A$113,$A6,'S4_10-16_AOUT'!$P$3:$P$113),0)+IFERROR(SUMIF('S5_17-23_AOUT'!$A$3:$A$113,$A6,'S5_17-23_AOUT'!$P$3:$P$113),0)+IFERROR(SUMIF('S6_24-25_AOUT'!$A$3:$A$113,$A6,'S6_24-25_AOUT'!$K$3:$K$113),0)</f>
        <v>0</v>
      </c>
      <c r="O6" s="9">
        <f>IFERROR(SUMIF(S1_26_JUIL!$A$3:$A$113,$A6,S1_26_JUIL!$K$3:$K$113),0)+IFERROR(SUMIF('S2_27_JUIL-02_AOUT'!$A$3:$A$113,$A6,'S2_27_JUIL-02_AOUT'!$Q$3:$Q$113),0)+IFERROR(SUMIF('S3_03-09_AOUT'!$A$3:$A$113,$A6,'S3_03-09_AOUT'!$Q$3:$Q$113),0)+IFERROR(SUMIF('S4_10-16_AOUT'!$A$3:$A$113,$A6,'S4_10-16_AOUT'!$Q$3:$Q$113),0)+IFERROR(SUMIF('S5_17-23_AOUT'!$A$3:$A$113,$A6,'S5_17-23_AOUT'!$Q$3:$Q$113),0)+IFERROR(SUMIF('S6_24-25_AOUT'!$A$3:$A$113,$A6,'S6_24-25_AOUT'!$L$3:$L$113),0)</f>
        <v>0</v>
      </c>
      <c r="P6" s="8">
        <f>IFERROR(SUMIF(S1_26_JUIL!$A$3:$A$113,$A6,S1_26_JUIL!$L$3:$L$113),0)+IFERROR(SUMIF('S2_27_JUIL-02_AOUT'!$A$3:$A$113,$A6,'S2_27_JUIL-02_AOUT'!$R$3:$R$113),0)+IFERROR(SUMIF('S3_03-09_AOUT'!$A$3:$A$113,$A6,'S3_03-09_AOUT'!$R$3:$R$113),0)+IFERROR(SUMIF('S4_10-16_AOUT'!$A$3:$A$113,$A6,'S4_10-16_AOUT'!$R$3:$R$113),0)+IFERROR(SUMIF('S5_17-23_AOUT'!$A$3:$A$113,$A6,'S5_17-23_AOUT'!$R$3:$R$113),0)+IFERROR(SUMIF('S6_24-25_AOUT'!$A$3:$A$113,$A6,'S6_24-25_AOUT'!$M$3:$M$113),0)</f>
        <v>0</v>
      </c>
      <c r="Q6" s="8">
        <f>IFERROR(SUMIF(S1_26_JUIL!$A$3:$A$113,$A6,S1_26_JUIL!$M$3:$M$113),0)+IFERROR(SUMIF('S2_27_JUIL-02_AOUT'!$A$3:$A$113,$A6,'S2_27_JUIL-02_AOUT'!$S$3:$S$113),0)+IFERROR(SUMIF('S3_03-09_AOUT'!$A$3:$A$113,$A6,'S3_03-09_AOUT'!$S$3:$S$113),0)+IFERROR(SUMIF('S4_10-16_AOUT'!$A$3:$A$113,$A6,'S4_10-16_AOUT'!$S$3:$S$113),0)+IFERROR(SUMIF('S5_17-23_AOUT'!$A$3:$A$113,$A6,'S5_17-23_AOUT'!$S$3:$S$113),0)+IFERROR(SUMIF('S6_24-25_AOUT'!$A$3:$A$113,$A6,'S6_24-25_AOUT'!$N$3:$N$113),0)</f>
        <v>0</v>
      </c>
      <c r="R6" s="11">
        <f>IFERROR(SUMIF(S1_26_JUIL!$A$3:$A$113,$A6,S1_26_JUIL!$N$3:$N$113),0)+IFERROR(SUMIF('S2_27_JUIL-02_AOUT'!$A$3:$A$113,$A6,'S2_27_JUIL-02_AOUT'!$T$3:$T$113),0)+IFERROR(SUMIF('S3_03-09_AOUT'!$A$3:$A$113,$A6,'S3_03-09_AOUT'!$T$3:$T$113),0)+IFERROR(SUMIF('S4_10-16_AOUT'!$A$3:$A$113,$A6,'S4_10-16_AOUT'!$T$3:$T$113),0)+IFERROR(SUMIF('S5_17-23_AOUT'!$A$3:$A$113,$A6,'S5_17-23_AOUT'!$T$3:$T$113),0)+IFERROR(SUMIF('S6_24-25_AOUT'!$A$3:$A$113,$A6,'S6_24-25_AOUT'!$O$3:$O$113),0)</f>
        <v>0</v>
      </c>
      <c r="S6" s="8">
        <f>208</f>
        <v>208</v>
      </c>
      <c r="T6" s="8">
        <f t="shared" si="1"/>
        <v>46</v>
      </c>
      <c r="U6" s="10" t="str">
        <f>IF(OR(IFERROR(INDEX(S1_26_JUIL!$P$3:$P$113,MATCH($A6,S1_26_JUIL!$A$3:$A$113,0)),"")="STC",IFERROR(INDEX('S2_27_JUIL-02_AOUT'!$V$3:$V$113,MATCH($A6,'S2_27_JUIL-02_AOUT'!$A$3:$A$113,0)),"")="STC",IFERROR(INDEX('S3_03-09_AOUT'!$V$3:$V$113,MATCH($A6,'S3_03-09_AOUT'!$A$3:$A$113,0)),"")="STC",IFERROR(INDEX('S4_10-16_AOUT'!$V$3:$V$113,MATCH($A6,'S4_10-16_AOUT'!$A$3:$A$113,0)),"")="STC",IFERROR(INDEX('S5_17-23_AOUT'!$V$3:$V$113,MATCH($A6,'S5_17-23_AOUT'!$A$3:$A$113,0)),"")="STC",IFERROR(INDEX('S6_24-25_AOUT'!$Q$3:$Q$113,MATCH($A6,'S6_24-25_AOUT'!$A$3:$A$113,0)),"")="STC"),"STC",IF(OR(IFERROR(INDEX(S1_26_JUIL!$P$3:$P$113,MATCH($A6,S1_26_JUIL!$A$3:$A$113,0)),"")="À vérifier",IFERROR(INDEX('S2_27_JUIL-02_AOUT'!$V$3:$V$113,MATCH($A6,'S2_27_JUIL-02_AOUT'!$A$3:$A$113,0)),"")="À vérifier",IFERROR(INDEX('S3_03-09_AOUT'!$V$3:$V$113,MATCH($A6,'S3_03-09_AOUT'!$A$3:$A$113,0)),"")="À vérifier",IFERROR(INDEX('S4_10-16_AOUT'!$V$3:$V$113,MATCH($A6,'S4_10-16_AOUT'!$A$3:$A$113,0)),"")="À vérifier",IFERROR(INDEX('S5_17-23_AOUT'!$V$3:$V$113,MATCH($A6,'S5_17-23_AOUT'!$A$3:$A$113,0)),"")="À vérifier",IFERROR(INDEX('S6_24-25_AOUT'!$Q$3:$Q$113,MATCH($A6,'S6_24-25_AOUT'!$A$3:$A$113,0)),"")="À vérifier",ABS(L6-T6)&gt;=0.01),"À vérifier","OK"))</f>
        <v>OK</v>
      </c>
    </row>
    <row r="7" spans="1:21">
      <c r="A7" s="12" t="s">
        <v>32</v>
      </c>
      <c r="B7" s="12" t="s">
        <v>33</v>
      </c>
      <c r="C7" s="13" t="s">
        <v>34</v>
      </c>
      <c r="D7" s="12" t="s">
        <v>31</v>
      </c>
      <c r="E7" s="10" t="s">
        <v>21</v>
      </c>
      <c r="F7" s="8">
        <f>IFERROR(SUMIF(S1_26_JUIL!$A$3:$A$113,$A7,S1_26_JUIL!$O$3:$O$113),0)</f>
        <v>0</v>
      </c>
      <c r="G7" s="8">
        <f>IFERROR(SUMIF('S2_27_JUIL-02_AOUT'!$A$3:$A$113,$A7,'S2_27_JUIL-02_AOUT'!$U$3:$U$113),0)</f>
        <v>43.499999999999993</v>
      </c>
      <c r="H7" s="8">
        <f>IFERROR(SUMIF('S3_03-09_AOUT'!$A$3:$A$113,$A7,'S3_03-09_AOUT'!$U$3:$U$113),0)</f>
        <v>0</v>
      </c>
      <c r="I7" s="8">
        <f>IFERROR(SUMIF('S4_10-16_AOUT'!$A$3:$A$113,$A7,'S4_10-16_AOUT'!$U$3:$U$113),0)</f>
        <v>0</v>
      </c>
      <c r="J7" s="8">
        <f>IFERROR(SUMIF('S5_17-23_AOUT'!$A$3:$A$113,$A7,'S5_17-23_AOUT'!$U$3:$U$113),0)</f>
        <v>0</v>
      </c>
      <c r="K7" s="8">
        <f>IFERROR(SUMIF('S6_24-25_AOUT'!$A$3:$A$113,$A7,'S6_24-25_AOUT'!$P$3:$P$113),0)</f>
        <v>0</v>
      </c>
      <c r="L7" s="8">
        <f t="shared" si="0"/>
        <v>43.499999999999993</v>
      </c>
      <c r="M7" s="8">
        <f>IFERROR(SUMIF(S1_26_JUIL!$A$3:$A$113,$A7,S1_26_JUIL!$I$3:$I$113),0)+IFERROR(SUMIF('S2_27_JUIL-02_AOUT'!$A$3:$A$113,$A7,'S2_27_JUIL-02_AOUT'!$O$3:$O$113),0)+IFERROR(SUMIF('S3_03-09_AOUT'!$A$3:$A$113,$A7,'S3_03-09_AOUT'!$O$3:$O$113),0)+IFERROR(SUMIF('S4_10-16_AOUT'!$A$3:$A$113,$A7,'S4_10-16_AOUT'!$O$3:$O$113),0)+IFERROR(SUMIF('S5_17-23_AOUT'!$A$3:$A$113,$A7,'S5_17-23_AOUT'!$O$3:$O$113),0)+IFERROR(SUMIF('S6_24-25_AOUT'!$A$3:$A$113,$A7,'S6_24-25_AOUT'!$J$3:$J$113),0)</f>
        <v>43.499999999999993</v>
      </c>
      <c r="N7" s="9">
        <f>IFERROR(SUMIF(S1_26_JUIL!$A$3:$A$113,$A7,S1_26_JUIL!$J$3:$J$113),0)+IFERROR(SUMIF('S2_27_JUIL-02_AOUT'!$A$3:$A$113,$A7,'S2_27_JUIL-02_AOUT'!$P$3:$P$113),0)+IFERROR(SUMIF('S3_03-09_AOUT'!$A$3:$A$113,$A7,'S3_03-09_AOUT'!$P$3:$P$113),0)+IFERROR(SUMIF('S4_10-16_AOUT'!$A$3:$A$113,$A7,'S4_10-16_AOUT'!$P$3:$P$113),0)+IFERROR(SUMIF('S5_17-23_AOUT'!$A$3:$A$113,$A7,'S5_17-23_AOUT'!$P$3:$P$113),0)+IFERROR(SUMIF('S6_24-25_AOUT'!$A$3:$A$113,$A7,'S6_24-25_AOUT'!$K$3:$K$113),0)</f>
        <v>0</v>
      </c>
      <c r="O7" s="9">
        <f>IFERROR(SUMIF(S1_26_JUIL!$A$3:$A$113,$A7,S1_26_JUIL!$K$3:$K$113),0)+IFERROR(SUMIF('S2_27_JUIL-02_AOUT'!$A$3:$A$113,$A7,'S2_27_JUIL-02_AOUT'!$Q$3:$Q$113),0)+IFERROR(SUMIF('S3_03-09_AOUT'!$A$3:$A$113,$A7,'S3_03-09_AOUT'!$Q$3:$Q$113),0)+IFERROR(SUMIF('S4_10-16_AOUT'!$A$3:$A$113,$A7,'S4_10-16_AOUT'!$Q$3:$Q$113),0)+IFERROR(SUMIF('S5_17-23_AOUT'!$A$3:$A$113,$A7,'S5_17-23_AOUT'!$Q$3:$Q$113),0)+IFERROR(SUMIF('S6_24-25_AOUT'!$A$3:$A$113,$A7,'S6_24-25_AOUT'!$L$3:$L$113),0)</f>
        <v>0</v>
      </c>
      <c r="P7" s="8">
        <f>IFERROR(SUMIF(S1_26_JUIL!$A$3:$A$113,$A7,S1_26_JUIL!$L$3:$L$113),0)+IFERROR(SUMIF('S2_27_JUIL-02_AOUT'!$A$3:$A$113,$A7,'S2_27_JUIL-02_AOUT'!$R$3:$R$113),0)+IFERROR(SUMIF('S3_03-09_AOUT'!$A$3:$A$113,$A7,'S3_03-09_AOUT'!$R$3:$R$113),0)+IFERROR(SUMIF('S4_10-16_AOUT'!$A$3:$A$113,$A7,'S4_10-16_AOUT'!$R$3:$R$113),0)+IFERROR(SUMIF('S5_17-23_AOUT'!$A$3:$A$113,$A7,'S5_17-23_AOUT'!$R$3:$R$113),0)+IFERROR(SUMIF('S6_24-25_AOUT'!$A$3:$A$113,$A7,'S6_24-25_AOUT'!$M$3:$M$113),0)</f>
        <v>0</v>
      </c>
      <c r="Q7" s="8">
        <f>IFERROR(SUMIF(S1_26_JUIL!$A$3:$A$113,$A7,S1_26_JUIL!$M$3:$M$113),0)+IFERROR(SUMIF('S2_27_JUIL-02_AOUT'!$A$3:$A$113,$A7,'S2_27_JUIL-02_AOUT'!$S$3:$S$113),0)+IFERROR(SUMIF('S3_03-09_AOUT'!$A$3:$A$113,$A7,'S3_03-09_AOUT'!$S$3:$S$113),0)+IFERROR(SUMIF('S4_10-16_AOUT'!$A$3:$A$113,$A7,'S4_10-16_AOUT'!$S$3:$S$113),0)+IFERROR(SUMIF('S5_17-23_AOUT'!$A$3:$A$113,$A7,'S5_17-23_AOUT'!$S$3:$S$113),0)+IFERROR(SUMIF('S6_24-25_AOUT'!$A$3:$A$113,$A7,'S6_24-25_AOUT'!$N$3:$N$113),0)</f>
        <v>0</v>
      </c>
      <c r="R7" s="11">
        <f>IFERROR(SUMIF(S1_26_JUIL!$A$3:$A$113,$A7,S1_26_JUIL!$N$3:$N$113),0)+IFERROR(SUMIF('S2_27_JUIL-02_AOUT'!$A$3:$A$113,$A7,'S2_27_JUIL-02_AOUT'!$T$3:$T$113),0)+IFERROR(SUMIF('S3_03-09_AOUT'!$A$3:$A$113,$A7,'S3_03-09_AOUT'!$T$3:$T$113),0)+IFERROR(SUMIF('S4_10-16_AOUT'!$A$3:$A$113,$A7,'S4_10-16_AOUT'!$T$3:$T$113),0)+IFERROR(SUMIF('S5_17-23_AOUT'!$A$3:$A$113,$A7,'S5_17-23_AOUT'!$T$3:$T$113),0)+IFERROR(SUMIF('S6_24-25_AOUT'!$A$3:$A$113,$A7,'S6_24-25_AOUT'!$O$3:$O$113),0)</f>
        <v>0</v>
      </c>
      <c r="S7" s="8">
        <f>208</f>
        <v>208</v>
      </c>
      <c r="T7" s="8">
        <f t="shared" si="1"/>
        <v>43.499999999999993</v>
      </c>
      <c r="U7" s="10" t="str">
        <f>IF(OR(IFERROR(INDEX(S1_26_JUIL!$P$3:$P$113,MATCH($A7,S1_26_JUIL!$A$3:$A$113,0)),"")="STC",IFERROR(INDEX('S2_27_JUIL-02_AOUT'!$V$3:$V$113,MATCH($A7,'S2_27_JUIL-02_AOUT'!$A$3:$A$113,0)),"")="STC",IFERROR(INDEX('S3_03-09_AOUT'!$V$3:$V$113,MATCH($A7,'S3_03-09_AOUT'!$A$3:$A$113,0)),"")="STC",IFERROR(INDEX('S4_10-16_AOUT'!$V$3:$V$113,MATCH($A7,'S4_10-16_AOUT'!$A$3:$A$113,0)),"")="STC",IFERROR(INDEX('S5_17-23_AOUT'!$V$3:$V$113,MATCH($A7,'S5_17-23_AOUT'!$A$3:$A$113,0)),"")="STC",IFERROR(INDEX('S6_24-25_AOUT'!$Q$3:$Q$113,MATCH($A7,'S6_24-25_AOUT'!$A$3:$A$113,0)),"")="STC"),"STC",IF(OR(IFERROR(INDEX(S1_26_JUIL!$P$3:$P$113,MATCH($A7,S1_26_JUIL!$A$3:$A$113,0)),"")="À vérifier",IFERROR(INDEX('S2_27_JUIL-02_AOUT'!$V$3:$V$113,MATCH($A7,'S2_27_JUIL-02_AOUT'!$A$3:$A$113,0)),"")="À vérifier",IFERROR(INDEX('S3_03-09_AOUT'!$V$3:$V$113,MATCH($A7,'S3_03-09_AOUT'!$A$3:$A$113,0)),"")="À vérifier",IFERROR(INDEX('S4_10-16_AOUT'!$V$3:$V$113,MATCH($A7,'S4_10-16_AOUT'!$A$3:$A$113,0)),"")="À vérifier",IFERROR(INDEX('S5_17-23_AOUT'!$V$3:$V$113,MATCH($A7,'S5_17-23_AOUT'!$A$3:$A$113,0)),"")="À vérifier",IFERROR(INDEX('S6_24-25_AOUT'!$Q$3:$Q$113,MATCH($A7,'S6_24-25_AOUT'!$A$3:$A$113,0)),"")="À vérifier",ABS(L7-T7)&gt;=0.01),"À vérifier","OK"))</f>
        <v>OK</v>
      </c>
    </row>
    <row r="8" spans="1:21">
      <c r="A8" s="12" t="s">
        <v>35</v>
      </c>
      <c r="B8" s="12" t="s">
        <v>36</v>
      </c>
      <c r="C8" s="13" t="s">
        <v>37</v>
      </c>
      <c r="D8" s="12" t="s">
        <v>31</v>
      </c>
      <c r="E8" s="10" t="s">
        <v>21</v>
      </c>
      <c r="F8" s="8">
        <f>IFERROR(SUMIF(S1_26_JUIL!$A$3:$A$113,$A8,S1_26_JUIL!$O$3:$O$113),0)</f>
        <v>0</v>
      </c>
      <c r="G8" s="8">
        <f>IFERROR(SUMIF('S2_27_JUIL-02_AOUT'!$A$3:$A$113,$A8,'S2_27_JUIL-02_AOUT'!$U$3:$U$113),0)</f>
        <v>47</v>
      </c>
      <c r="H8" s="8">
        <f>IFERROR(SUMIF('S3_03-09_AOUT'!$A$3:$A$113,$A8,'S3_03-09_AOUT'!$U$3:$U$113),0)</f>
        <v>0</v>
      </c>
      <c r="I8" s="8">
        <f>IFERROR(SUMIF('S4_10-16_AOUT'!$A$3:$A$113,$A8,'S4_10-16_AOUT'!$U$3:$U$113),0)</f>
        <v>0</v>
      </c>
      <c r="J8" s="8">
        <f>IFERROR(SUMIF('S5_17-23_AOUT'!$A$3:$A$113,$A8,'S5_17-23_AOUT'!$U$3:$U$113),0)</f>
        <v>0</v>
      </c>
      <c r="K8" s="8">
        <f>IFERROR(SUMIF('S6_24-25_AOUT'!$A$3:$A$113,$A8,'S6_24-25_AOUT'!$P$3:$P$113),0)</f>
        <v>0</v>
      </c>
      <c r="L8" s="8">
        <f t="shared" si="0"/>
        <v>47</v>
      </c>
      <c r="M8" s="8">
        <f>IFERROR(SUMIF(S1_26_JUIL!$A$3:$A$113,$A8,S1_26_JUIL!$I$3:$I$113),0)+IFERROR(SUMIF('S2_27_JUIL-02_AOUT'!$A$3:$A$113,$A8,'S2_27_JUIL-02_AOUT'!$O$3:$O$113),0)+IFERROR(SUMIF('S3_03-09_AOUT'!$A$3:$A$113,$A8,'S3_03-09_AOUT'!$O$3:$O$113),0)+IFERROR(SUMIF('S4_10-16_AOUT'!$A$3:$A$113,$A8,'S4_10-16_AOUT'!$O$3:$O$113),0)+IFERROR(SUMIF('S5_17-23_AOUT'!$A$3:$A$113,$A8,'S5_17-23_AOUT'!$O$3:$O$113),0)+IFERROR(SUMIF('S6_24-25_AOUT'!$A$3:$A$113,$A8,'S6_24-25_AOUT'!$J$3:$J$113),0)</f>
        <v>47</v>
      </c>
      <c r="N8" s="9">
        <f>IFERROR(SUMIF(S1_26_JUIL!$A$3:$A$113,$A8,S1_26_JUIL!$J$3:$J$113),0)+IFERROR(SUMIF('S2_27_JUIL-02_AOUT'!$A$3:$A$113,$A8,'S2_27_JUIL-02_AOUT'!$P$3:$P$113),0)+IFERROR(SUMIF('S3_03-09_AOUT'!$A$3:$A$113,$A8,'S3_03-09_AOUT'!$P$3:$P$113),0)+IFERROR(SUMIF('S4_10-16_AOUT'!$A$3:$A$113,$A8,'S4_10-16_AOUT'!$P$3:$P$113),0)+IFERROR(SUMIF('S5_17-23_AOUT'!$A$3:$A$113,$A8,'S5_17-23_AOUT'!$P$3:$P$113),0)+IFERROR(SUMIF('S6_24-25_AOUT'!$A$3:$A$113,$A8,'S6_24-25_AOUT'!$K$3:$K$113),0)</f>
        <v>0</v>
      </c>
      <c r="O8" s="9">
        <f>IFERROR(SUMIF(S1_26_JUIL!$A$3:$A$113,$A8,S1_26_JUIL!$K$3:$K$113),0)+IFERROR(SUMIF('S2_27_JUIL-02_AOUT'!$A$3:$A$113,$A8,'S2_27_JUIL-02_AOUT'!$Q$3:$Q$113),0)+IFERROR(SUMIF('S3_03-09_AOUT'!$A$3:$A$113,$A8,'S3_03-09_AOUT'!$Q$3:$Q$113),0)+IFERROR(SUMIF('S4_10-16_AOUT'!$A$3:$A$113,$A8,'S4_10-16_AOUT'!$Q$3:$Q$113),0)+IFERROR(SUMIF('S5_17-23_AOUT'!$A$3:$A$113,$A8,'S5_17-23_AOUT'!$Q$3:$Q$113),0)+IFERROR(SUMIF('S6_24-25_AOUT'!$A$3:$A$113,$A8,'S6_24-25_AOUT'!$L$3:$L$113),0)</f>
        <v>0</v>
      </c>
      <c r="P8" s="8">
        <f>IFERROR(SUMIF(S1_26_JUIL!$A$3:$A$113,$A8,S1_26_JUIL!$L$3:$L$113),0)+IFERROR(SUMIF('S2_27_JUIL-02_AOUT'!$A$3:$A$113,$A8,'S2_27_JUIL-02_AOUT'!$R$3:$R$113),0)+IFERROR(SUMIF('S3_03-09_AOUT'!$A$3:$A$113,$A8,'S3_03-09_AOUT'!$R$3:$R$113),0)+IFERROR(SUMIF('S4_10-16_AOUT'!$A$3:$A$113,$A8,'S4_10-16_AOUT'!$R$3:$R$113),0)+IFERROR(SUMIF('S5_17-23_AOUT'!$A$3:$A$113,$A8,'S5_17-23_AOUT'!$R$3:$R$113),0)+IFERROR(SUMIF('S6_24-25_AOUT'!$A$3:$A$113,$A8,'S6_24-25_AOUT'!$M$3:$M$113),0)</f>
        <v>0</v>
      </c>
      <c r="Q8" s="8">
        <f>IFERROR(SUMIF(S1_26_JUIL!$A$3:$A$113,$A8,S1_26_JUIL!$M$3:$M$113),0)+IFERROR(SUMIF('S2_27_JUIL-02_AOUT'!$A$3:$A$113,$A8,'S2_27_JUIL-02_AOUT'!$S$3:$S$113),0)+IFERROR(SUMIF('S3_03-09_AOUT'!$A$3:$A$113,$A8,'S3_03-09_AOUT'!$S$3:$S$113),0)+IFERROR(SUMIF('S4_10-16_AOUT'!$A$3:$A$113,$A8,'S4_10-16_AOUT'!$S$3:$S$113),0)+IFERROR(SUMIF('S5_17-23_AOUT'!$A$3:$A$113,$A8,'S5_17-23_AOUT'!$S$3:$S$113),0)+IFERROR(SUMIF('S6_24-25_AOUT'!$A$3:$A$113,$A8,'S6_24-25_AOUT'!$N$3:$N$113),0)</f>
        <v>0</v>
      </c>
      <c r="R8" s="11">
        <f>IFERROR(SUMIF(S1_26_JUIL!$A$3:$A$113,$A8,S1_26_JUIL!$N$3:$N$113),0)+IFERROR(SUMIF('S2_27_JUIL-02_AOUT'!$A$3:$A$113,$A8,'S2_27_JUIL-02_AOUT'!$T$3:$T$113),0)+IFERROR(SUMIF('S3_03-09_AOUT'!$A$3:$A$113,$A8,'S3_03-09_AOUT'!$T$3:$T$113),0)+IFERROR(SUMIF('S4_10-16_AOUT'!$A$3:$A$113,$A8,'S4_10-16_AOUT'!$T$3:$T$113),0)+IFERROR(SUMIF('S5_17-23_AOUT'!$A$3:$A$113,$A8,'S5_17-23_AOUT'!$T$3:$T$113),0)+IFERROR(SUMIF('S6_24-25_AOUT'!$A$3:$A$113,$A8,'S6_24-25_AOUT'!$O$3:$O$113),0)</f>
        <v>0</v>
      </c>
      <c r="S8" s="8">
        <f>208</f>
        <v>208</v>
      </c>
      <c r="T8" s="8">
        <f t="shared" si="1"/>
        <v>47</v>
      </c>
      <c r="U8" s="10" t="str">
        <f>IF(OR(IFERROR(INDEX(S1_26_JUIL!$P$3:$P$113,MATCH($A8,S1_26_JUIL!$A$3:$A$113,0)),"")="STC",IFERROR(INDEX('S2_27_JUIL-02_AOUT'!$V$3:$V$113,MATCH($A8,'S2_27_JUIL-02_AOUT'!$A$3:$A$113,0)),"")="STC",IFERROR(INDEX('S3_03-09_AOUT'!$V$3:$V$113,MATCH($A8,'S3_03-09_AOUT'!$A$3:$A$113,0)),"")="STC",IFERROR(INDEX('S4_10-16_AOUT'!$V$3:$V$113,MATCH($A8,'S4_10-16_AOUT'!$A$3:$A$113,0)),"")="STC",IFERROR(INDEX('S5_17-23_AOUT'!$V$3:$V$113,MATCH($A8,'S5_17-23_AOUT'!$A$3:$A$113,0)),"")="STC",IFERROR(INDEX('S6_24-25_AOUT'!$Q$3:$Q$113,MATCH($A8,'S6_24-25_AOUT'!$A$3:$A$113,0)),"")="STC"),"STC",IF(OR(IFERROR(INDEX(S1_26_JUIL!$P$3:$P$113,MATCH($A8,S1_26_JUIL!$A$3:$A$113,0)),"")="À vérifier",IFERROR(INDEX('S2_27_JUIL-02_AOUT'!$V$3:$V$113,MATCH($A8,'S2_27_JUIL-02_AOUT'!$A$3:$A$113,0)),"")="À vérifier",IFERROR(INDEX('S3_03-09_AOUT'!$V$3:$V$113,MATCH($A8,'S3_03-09_AOUT'!$A$3:$A$113,0)),"")="À vérifier",IFERROR(INDEX('S4_10-16_AOUT'!$V$3:$V$113,MATCH($A8,'S4_10-16_AOUT'!$A$3:$A$113,0)),"")="À vérifier",IFERROR(INDEX('S5_17-23_AOUT'!$V$3:$V$113,MATCH($A8,'S5_17-23_AOUT'!$A$3:$A$113,0)),"")="À vérifier",IFERROR(INDEX('S6_24-25_AOUT'!$Q$3:$Q$113,MATCH($A8,'S6_24-25_AOUT'!$A$3:$A$113,0)),"")="À vérifier",ABS(L8-T8)&gt;=0.01),"À vérifier","OK"))</f>
        <v>OK</v>
      </c>
    </row>
    <row r="9" spans="1:21">
      <c r="A9" s="12" t="s">
        <v>38</v>
      </c>
      <c r="B9" s="12" t="s">
        <v>39</v>
      </c>
      <c r="C9" s="13" t="s">
        <v>40</v>
      </c>
      <c r="D9" s="12" t="s">
        <v>31</v>
      </c>
      <c r="E9" s="10" t="s">
        <v>21</v>
      </c>
      <c r="F9" s="8">
        <f>IFERROR(SUMIF(S1_26_JUIL!$A$3:$A$113,$A9,S1_26_JUIL!$O$3:$O$113),0)</f>
        <v>0</v>
      </c>
      <c r="G9" s="8">
        <f>IFERROR(SUMIF('S2_27_JUIL-02_AOUT'!$A$3:$A$113,$A9,'S2_27_JUIL-02_AOUT'!$U$3:$U$113),0)</f>
        <v>44</v>
      </c>
      <c r="H9" s="8">
        <f>IFERROR(SUMIF('S3_03-09_AOUT'!$A$3:$A$113,$A9,'S3_03-09_AOUT'!$U$3:$U$113),0)</f>
        <v>0</v>
      </c>
      <c r="I9" s="8">
        <f>IFERROR(SUMIF('S4_10-16_AOUT'!$A$3:$A$113,$A9,'S4_10-16_AOUT'!$U$3:$U$113),0)</f>
        <v>0</v>
      </c>
      <c r="J9" s="8">
        <f>IFERROR(SUMIF('S5_17-23_AOUT'!$A$3:$A$113,$A9,'S5_17-23_AOUT'!$U$3:$U$113),0)</f>
        <v>0</v>
      </c>
      <c r="K9" s="8">
        <f>IFERROR(SUMIF('S6_24-25_AOUT'!$A$3:$A$113,$A9,'S6_24-25_AOUT'!$P$3:$P$113),0)</f>
        <v>0</v>
      </c>
      <c r="L9" s="8">
        <f t="shared" si="0"/>
        <v>44</v>
      </c>
      <c r="M9" s="8">
        <f>IFERROR(SUMIF(S1_26_JUIL!$A$3:$A$113,$A9,S1_26_JUIL!$I$3:$I$113),0)+IFERROR(SUMIF('S2_27_JUIL-02_AOUT'!$A$3:$A$113,$A9,'S2_27_JUIL-02_AOUT'!$O$3:$O$113),0)+IFERROR(SUMIF('S3_03-09_AOUT'!$A$3:$A$113,$A9,'S3_03-09_AOUT'!$O$3:$O$113),0)+IFERROR(SUMIF('S4_10-16_AOUT'!$A$3:$A$113,$A9,'S4_10-16_AOUT'!$O$3:$O$113),0)+IFERROR(SUMIF('S5_17-23_AOUT'!$A$3:$A$113,$A9,'S5_17-23_AOUT'!$O$3:$O$113),0)+IFERROR(SUMIF('S6_24-25_AOUT'!$A$3:$A$113,$A9,'S6_24-25_AOUT'!$J$3:$J$113),0)</f>
        <v>44</v>
      </c>
      <c r="N9" s="9">
        <f>IFERROR(SUMIF(S1_26_JUIL!$A$3:$A$113,$A9,S1_26_JUIL!$J$3:$J$113),0)+IFERROR(SUMIF('S2_27_JUIL-02_AOUT'!$A$3:$A$113,$A9,'S2_27_JUIL-02_AOUT'!$P$3:$P$113),0)+IFERROR(SUMIF('S3_03-09_AOUT'!$A$3:$A$113,$A9,'S3_03-09_AOUT'!$P$3:$P$113),0)+IFERROR(SUMIF('S4_10-16_AOUT'!$A$3:$A$113,$A9,'S4_10-16_AOUT'!$P$3:$P$113),0)+IFERROR(SUMIF('S5_17-23_AOUT'!$A$3:$A$113,$A9,'S5_17-23_AOUT'!$P$3:$P$113),0)+IFERROR(SUMIF('S6_24-25_AOUT'!$A$3:$A$113,$A9,'S6_24-25_AOUT'!$K$3:$K$113),0)</f>
        <v>0</v>
      </c>
      <c r="O9" s="9">
        <f>IFERROR(SUMIF(S1_26_JUIL!$A$3:$A$113,$A9,S1_26_JUIL!$K$3:$K$113),0)+IFERROR(SUMIF('S2_27_JUIL-02_AOUT'!$A$3:$A$113,$A9,'S2_27_JUIL-02_AOUT'!$Q$3:$Q$113),0)+IFERROR(SUMIF('S3_03-09_AOUT'!$A$3:$A$113,$A9,'S3_03-09_AOUT'!$Q$3:$Q$113),0)+IFERROR(SUMIF('S4_10-16_AOUT'!$A$3:$A$113,$A9,'S4_10-16_AOUT'!$Q$3:$Q$113),0)+IFERROR(SUMIF('S5_17-23_AOUT'!$A$3:$A$113,$A9,'S5_17-23_AOUT'!$Q$3:$Q$113),0)+IFERROR(SUMIF('S6_24-25_AOUT'!$A$3:$A$113,$A9,'S6_24-25_AOUT'!$L$3:$L$113),0)</f>
        <v>0</v>
      </c>
      <c r="P9" s="8">
        <f>IFERROR(SUMIF(S1_26_JUIL!$A$3:$A$113,$A9,S1_26_JUIL!$L$3:$L$113),0)+IFERROR(SUMIF('S2_27_JUIL-02_AOUT'!$A$3:$A$113,$A9,'S2_27_JUIL-02_AOUT'!$R$3:$R$113),0)+IFERROR(SUMIF('S3_03-09_AOUT'!$A$3:$A$113,$A9,'S3_03-09_AOUT'!$R$3:$R$113),0)+IFERROR(SUMIF('S4_10-16_AOUT'!$A$3:$A$113,$A9,'S4_10-16_AOUT'!$R$3:$R$113),0)+IFERROR(SUMIF('S5_17-23_AOUT'!$A$3:$A$113,$A9,'S5_17-23_AOUT'!$R$3:$R$113),0)+IFERROR(SUMIF('S6_24-25_AOUT'!$A$3:$A$113,$A9,'S6_24-25_AOUT'!$M$3:$M$113),0)</f>
        <v>0</v>
      </c>
      <c r="Q9" s="8">
        <f>IFERROR(SUMIF(S1_26_JUIL!$A$3:$A$113,$A9,S1_26_JUIL!$M$3:$M$113),0)+IFERROR(SUMIF('S2_27_JUIL-02_AOUT'!$A$3:$A$113,$A9,'S2_27_JUIL-02_AOUT'!$S$3:$S$113),0)+IFERROR(SUMIF('S3_03-09_AOUT'!$A$3:$A$113,$A9,'S3_03-09_AOUT'!$S$3:$S$113),0)+IFERROR(SUMIF('S4_10-16_AOUT'!$A$3:$A$113,$A9,'S4_10-16_AOUT'!$S$3:$S$113),0)+IFERROR(SUMIF('S5_17-23_AOUT'!$A$3:$A$113,$A9,'S5_17-23_AOUT'!$S$3:$S$113),0)+IFERROR(SUMIF('S6_24-25_AOUT'!$A$3:$A$113,$A9,'S6_24-25_AOUT'!$N$3:$N$113),0)</f>
        <v>0</v>
      </c>
      <c r="R9" s="11">
        <f>IFERROR(SUMIF(S1_26_JUIL!$A$3:$A$113,$A9,S1_26_JUIL!$N$3:$N$113),0)+IFERROR(SUMIF('S2_27_JUIL-02_AOUT'!$A$3:$A$113,$A9,'S2_27_JUIL-02_AOUT'!$T$3:$T$113),0)+IFERROR(SUMIF('S3_03-09_AOUT'!$A$3:$A$113,$A9,'S3_03-09_AOUT'!$T$3:$T$113),0)+IFERROR(SUMIF('S4_10-16_AOUT'!$A$3:$A$113,$A9,'S4_10-16_AOUT'!$T$3:$T$113),0)+IFERROR(SUMIF('S5_17-23_AOUT'!$A$3:$A$113,$A9,'S5_17-23_AOUT'!$T$3:$T$113),0)+IFERROR(SUMIF('S6_24-25_AOUT'!$A$3:$A$113,$A9,'S6_24-25_AOUT'!$O$3:$O$113),0)</f>
        <v>0</v>
      </c>
      <c r="S9" s="8">
        <f>208</f>
        <v>208</v>
      </c>
      <c r="T9" s="8">
        <f t="shared" si="1"/>
        <v>44</v>
      </c>
      <c r="U9" s="10" t="str">
        <f>IF(OR(IFERROR(INDEX(S1_26_JUIL!$P$3:$P$113,MATCH($A9,S1_26_JUIL!$A$3:$A$113,0)),"")="STC",IFERROR(INDEX('S2_27_JUIL-02_AOUT'!$V$3:$V$113,MATCH($A9,'S2_27_JUIL-02_AOUT'!$A$3:$A$113,0)),"")="STC",IFERROR(INDEX('S3_03-09_AOUT'!$V$3:$V$113,MATCH($A9,'S3_03-09_AOUT'!$A$3:$A$113,0)),"")="STC",IFERROR(INDEX('S4_10-16_AOUT'!$V$3:$V$113,MATCH($A9,'S4_10-16_AOUT'!$A$3:$A$113,0)),"")="STC",IFERROR(INDEX('S5_17-23_AOUT'!$V$3:$V$113,MATCH($A9,'S5_17-23_AOUT'!$A$3:$A$113,0)),"")="STC",IFERROR(INDEX('S6_24-25_AOUT'!$Q$3:$Q$113,MATCH($A9,'S6_24-25_AOUT'!$A$3:$A$113,0)),"")="STC"),"STC",IF(OR(IFERROR(INDEX(S1_26_JUIL!$P$3:$P$113,MATCH($A9,S1_26_JUIL!$A$3:$A$113,0)),"")="À vérifier",IFERROR(INDEX('S2_27_JUIL-02_AOUT'!$V$3:$V$113,MATCH($A9,'S2_27_JUIL-02_AOUT'!$A$3:$A$113,0)),"")="À vérifier",IFERROR(INDEX('S3_03-09_AOUT'!$V$3:$V$113,MATCH($A9,'S3_03-09_AOUT'!$A$3:$A$113,0)),"")="À vérifier",IFERROR(INDEX('S4_10-16_AOUT'!$V$3:$V$113,MATCH($A9,'S4_10-16_AOUT'!$A$3:$A$113,0)),"")="À vérifier",IFERROR(INDEX('S5_17-23_AOUT'!$V$3:$V$113,MATCH($A9,'S5_17-23_AOUT'!$A$3:$A$113,0)),"")="À vérifier",IFERROR(INDEX('S6_24-25_AOUT'!$Q$3:$Q$113,MATCH($A9,'S6_24-25_AOUT'!$A$3:$A$113,0)),"")="À vérifier",ABS(L9-T9)&gt;=0.01),"À vérifier","OK"))</f>
        <v>OK</v>
      </c>
    </row>
    <row r="10" spans="1:21">
      <c r="A10" s="12" t="s">
        <v>41</v>
      </c>
      <c r="B10" s="12" t="s">
        <v>42</v>
      </c>
      <c r="C10" s="13" t="s">
        <v>43</v>
      </c>
      <c r="D10" s="12" t="s">
        <v>31</v>
      </c>
      <c r="E10" s="10" t="s">
        <v>21</v>
      </c>
      <c r="F10" s="8">
        <f>IFERROR(SUMIF(S1_26_JUIL!$A$3:$A$113,$A10,S1_26_JUIL!$O$3:$O$113),0)</f>
        <v>0</v>
      </c>
      <c r="G10" s="8">
        <f>IFERROR(SUMIF('S2_27_JUIL-02_AOUT'!$A$3:$A$113,$A10,'S2_27_JUIL-02_AOUT'!$U$3:$U$113),0)</f>
        <v>41.5</v>
      </c>
      <c r="H10" s="8">
        <f>IFERROR(SUMIF('S3_03-09_AOUT'!$A$3:$A$113,$A10,'S3_03-09_AOUT'!$U$3:$U$113),0)</f>
        <v>0</v>
      </c>
      <c r="I10" s="8">
        <f>IFERROR(SUMIF('S4_10-16_AOUT'!$A$3:$A$113,$A10,'S4_10-16_AOUT'!$U$3:$U$113),0)</f>
        <v>0</v>
      </c>
      <c r="J10" s="8">
        <f>IFERROR(SUMIF('S5_17-23_AOUT'!$A$3:$A$113,$A10,'S5_17-23_AOUT'!$U$3:$U$113),0)</f>
        <v>0</v>
      </c>
      <c r="K10" s="8">
        <f>IFERROR(SUMIF('S6_24-25_AOUT'!$A$3:$A$113,$A10,'S6_24-25_AOUT'!$P$3:$P$113),0)</f>
        <v>0</v>
      </c>
      <c r="L10" s="8">
        <f t="shared" si="0"/>
        <v>41.5</v>
      </c>
      <c r="M10" s="8">
        <f>IFERROR(SUMIF(S1_26_JUIL!$A$3:$A$113,$A10,S1_26_JUIL!$I$3:$I$113),0)+IFERROR(SUMIF('S2_27_JUIL-02_AOUT'!$A$3:$A$113,$A10,'S2_27_JUIL-02_AOUT'!$O$3:$O$113),0)+IFERROR(SUMIF('S3_03-09_AOUT'!$A$3:$A$113,$A10,'S3_03-09_AOUT'!$O$3:$O$113),0)+IFERROR(SUMIF('S4_10-16_AOUT'!$A$3:$A$113,$A10,'S4_10-16_AOUT'!$O$3:$O$113),0)+IFERROR(SUMIF('S5_17-23_AOUT'!$A$3:$A$113,$A10,'S5_17-23_AOUT'!$O$3:$O$113),0)+IFERROR(SUMIF('S6_24-25_AOUT'!$A$3:$A$113,$A10,'S6_24-25_AOUT'!$J$3:$J$113),0)</f>
        <v>41.5</v>
      </c>
      <c r="N10" s="9">
        <f>IFERROR(SUMIF(S1_26_JUIL!$A$3:$A$113,$A10,S1_26_JUIL!$J$3:$J$113),0)+IFERROR(SUMIF('S2_27_JUIL-02_AOUT'!$A$3:$A$113,$A10,'S2_27_JUIL-02_AOUT'!$P$3:$P$113),0)+IFERROR(SUMIF('S3_03-09_AOUT'!$A$3:$A$113,$A10,'S3_03-09_AOUT'!$P$3:$P$113),0)+IFERROR(SUMIF('S4_10-16_AOUT'!$A$3:$A$113,$A10,'S4_10-16_AOUT'!$P$3:$P$113),0)+IFERROR(SUMIF('S5_17-23_AOUT'!$A$3:$A$113,$A10,'S5_17-23_AOUT'!$P$3:$P$113),0)+IFERROR(SUMIF('S6_24-25_AOUT'!$A$3:$A$113,$A10,'S6_24-25_AOUT'!$K$3:$K$113),0)</f>
        <v>0</v>
      </c>
      <c r="O10" s="9">
        <f>IFERROR(SUMIF(S1_26_JUIL!$A$3:$A$113,$A10,S1_26_JUIL!$K$3:$K$113),0)+IFERROR(SUMIF('S2_27_JUIL-02_AOUT'!$A$3:$A$113,$A10,'S2_27_JUIL-02_AOUT'!$Q$3:$Q$113),0)+IFERROR(SUMIF('S3_03-09_AOUT'!$A$3:$A$113,$A10,'S3_03-09_AOUT'!$Q$3:$Q$113),0)+IFERROR(SUMIF('S4_10-16_AOUT'!$A$3:$A$113,$A10,'S4_10-16_AOUT'!$Q$3:$Q$113),0)+IFERROR(SUMIF('S5_17-23_AOUT'!$A$3:$A$113,$A10,'S5_17-23_AOUT'!$Q$3:$Q$113),0)+IFERROR(SUMIF('S6_24-25_AOUT'!$A$3:$A$113,$A10,'S6_24-25_AOUT'!$L$3:$L$113),0)</f>
        <v>0</v>
      </c>
      <c r="P10" s="8">
        <f>IFERROR(SUMIF(S1_26_JUIL!$A$3:$A$113,$A10,S1_26_JUIL!$L$3:$L$113),0)+IFERROR(SUMIF('S2_27_JUIL-02_AOUT'!$A$3:$A$113,$A10,'S2_27_JUIL-02_AOUT'!$R$3:$R$113),0)+IFERROR(SUMIF('S3_03-09_AOUT'!$A$3:$A$113,$A10,'S3_03-09_AOUT'!$R$3:$R$113),0)+IFERROR(SUMIF('S4_10-16_AOUT'!$A$3:$A$113,$A10,'S4_10-16_AOUT'!$R$3:$R$113),0)+IFERROR(SUMIF('S5_17-23_AOUT'!$A$3:$A$113,$A10,'S5_17-23_AOUT'!$R$3:$R$113),0)+IFERROR(SUMIF('S6_24-25_AOUT'!$A$3:$A$113,$A10,'S6_24-25_AOUT'!$M$3:$M$113),0)</f>
        <v>0</v>
      </c>
      <c r="Q10" s="8">
        <f>IFERROR(SUMIF(S1_26_JUIL!$A$3:$A$113,$A10,S1_26_JUIL!$M$3:$M$113),0)+IFERROR(SUMIF('S2_27_JUIL-02_AOUT'!$A$3:$A$113,$A10,'S2_27_JUIL-02_AOUT'!$S$3:$S$113),0)+IFERROR(SUMIF('S3_03-09_AOUT'!$A$3:$A$113,$A10,'S3_03-09_AOUT'!$S$3:$S$113),0)+IFERROR(SUMIF('S4_10-16_AOUT'!$A$3:$A$113,$A10,'S4_10-16_AOUT'!$S$3:$S$113),0)+IFERROR(SUMIF('S5_17-23_AOUT'!$A$3:$A$113,$A10,'S5_17-23_AOUT'!$S$3:$S$113),0)+IFERROR(SUMIF('S6_24-25_AOUT'!$A$3:$A$113,$A10,'S6_24-25_AOUT'!$N$3:$N$113),0)</f>
        <v>0</v>
      </c>
      <c r="R10" s="11">
        <f>IFERROR(SUMIF(S1_26_JUIL!$A$3:$A$113,$A10,S1_26_JUIL!$N$3:$N$113),0)+IFERROR(SUMIF('S2_27_JUIL-02_AOUT'!$A$3:$A$113,$A10,'S2_27_JUIL-02_AOUT'!$T$3:$T$113),0)+IFERROR(SUMIF('S3_03-09_AOUT'!$A$3:$A$113,$A10,'S3_03-09_AOUT'!$T$3:$T$113),0)+IFERROR(SUMIF('S4_10-16_AOUT'!$A$3:$A$113,$A10,'S4_10-16_AOUT'!$T$3:$T$113),0)+IFERROR(SUMIF('S5_17-23_AOUT'!$A$3:$A$113,$A10,'S5_17-23_AOUT'!$T$3:$T$113),0)+IFERROR(SUMIF('S6_24-25_AOUT'!$A$3:$A$113,$A10,'S6_24-25_AOUT'!$O$3:$O$113),0)</f>
        <v>0</v>
      </c>
      <c r="S10" s="8">
        <f>208</f>
        <v>208</v>
      </c>
      <c r="T10" s="8">
        <f t="shared" si="1"/>
        <v>41.5</v>
      </c>
      <c r="U10" s="10" t="str">
        <f>IF(OR(IFERROR(INDEX(S1_26_JUIL!$P$3:$P$113,MATCH($A10,S1_26_JUIL!$A$3:$A$113,0)),"")="STC",IFERROR(INDEX('S2_27_JUIL-02_AOUT'!$V$3:$V$113,MATCH($A10,'S2_27_JUIL-02_AOUT'!$A$3:$A$113,0)),"")="STC",IFERROR(INDEX('S3_03-09_AOUT'!$V$3:$V$113,MATCH($A10,'S3_03-09_AOUT'!$A$3:$A$113,0)),"")="STC",IFERROR(INDEX('S4_10-16_AOUT'!$V$3:$V$113,MATCH($A10,'S4_10-16_AOUT'!$A$3:$A$113,0)),"")="STC",IFERROR(INDEX('S5_17-23_AOUT'!$V$3:$V$113,MATCH($A10,'S5_17-23_AOUT'!$A$3:$A$113,0)),"")="STC",IFERROR(INDEX('S6_24-25_AOUT'!$Q$3:$Q$113,MATCH($A10,'S6_24-25_AOUT'!$A$3:$A$113,0)),"")="STC"),"STC",IF(OR(IFERROR(INDEX(S1_26_JUIL!$P$3:$P$113,MATCH($A10,S1_26_JUIL!$A$3:$A$113,0)),"")="À vérifier",IFERROR(INDEX('S2_27_JUIL-02_AOUT'!$V$3:$V$113,MATCH($A10,'S2_27_JUIL-02_AOUT'!$A$3:$A$113,0)),"")="À vérifier",IFERROR(INDEX('S3_03-09_AOUT'!$V$3:$V$113,MATCH($A10,'S3_03-09_AOUT'!$A$3:$A$113,0)),"")="À vérifier",IFERROR(INDEX('S4_10-16_AOUT'!$V$3:$V$113,MATCH($A10,'S4_10-16_AOUT'!$A$3:$A$113,0)),"")="À vérifier",IFERROR(INDEX('S5_17-23_AOUT'!$V$3:$V$113,MATCH($A10,'S5_17-23_AOUT'!$A$3:$A$113,0)),"")="À vérifier",IFERROR(INDEX('S6_24-25_AOUT'!$Q$3:$Q$113,MATCH($A10,'S6_24-25_AOUT'!$A$3:$A$113,0)),"")="À vérifier",ABS(L10-T10)&gt;=0.01),"À vérifier","OK"))</f>
        <v>OK</v>
      </c>
    </row>
    <row r="11" spans="1:21">
      <c r="A11" s="12" t="s">
        <v>44</v>
      </c>
      <c r="B11" s="12" t="s">
        <v>45</v>
      </c>
      <c r="C11" s="13" t="s">
        <v>46</v>
      </c>
      <c r="D11" s="12" t="s">
        <v>31</v>
      </c>
      <c r="E11" s="10" t="s">
        <v>21</v>
      </c>
      <c r="F11" s="8">
        <f>IFERROR(SUMIF(S1_26_JUIL!$A$3:$A$113,$A11,S1_26_JUIL!$O$3:$O$113),0)</f>
        <v>0</v>
      </c>
      <c r="G11" s="8">
        <f>IFERROR(SUMIF('S2_27_JUIL-02_AOUT'!$A$3:$A$113,$A11,'S2_27_JUIL-02_AOUT'!$U$3:$U$113),0)</f>
        <v>44.5</v>
      </c>
      <c r="H11" s="8">
        <f>IFERROR(SUMIF('S3_03-09_AOUT'!$A$3:$A$113,$A11,'S3_03-09_AOUT'!$U$3:$U$113),0)</f>
        <v>0</v>
      </c>
      <c r="I11" s="8">
        <f>IFERROR(SUMIF('S4_10-16_AOUT'!$A$3:$A$113,$A11,'S4_10-16_AOUT'!$U$3:$U$113),0)</f>
        <v>0</v>
      </c>
      <c r="J11" s="8">
        <f>IFERROR(SUMIF('S5_17-23_AOUT'!$A$3:$A$113,$A11,'S5_17-23_AOUT'!$U$3:$U$113),0)</f>
        <v>0</v>
      </c>
      <c r="K11" s="8">
        <f>IFERROR(SUMIF('S6_24-25_AOUT'!$A$3:$A$113,$A11,'S6_24-25_AOUT'!$P$3:$P$113),0)</f>
        <v>0</v>
      </c>
      <c r="L11" s="8">
        <f t="shared" si="0"/>
        <v>44.5</v>
      </c>
      <c r="M11" s="8">
        <f>IFERROR(SUMIF(S1_26_JUIL!$A$3:$A$113,$A11,S1_26_JUIL!$I$3:$I$113),0)+IFERROR(SUMIF('S2_27_JUIL-02_AOUT'!$A$3:$A$113,$A11,'S2_27_JUIL-02_AOUT'!$O$3:$O$113),0)+IFERROR(SUMIF('S3_03-09_AOUT'!$A$3:$A$113,$A11,'S3_03-09_AOUT'!$O$3:$O$113),0)+IFERROR(SUMIF('S4_10-16_AOUT'!$A$3:$A$113,$A11,'S4_10-16_AOUT'!$O$3:$O$113),0)+IFERROR(SUMIF('S5_17-23_AOUT'!$A$3:$A$113,$A11,'S5_17-23_AOUT'!$O$3:$O$113),0)+IFERROR(SUMIF('S6_24-25_AOUT'!$A$3:$A$113,$A11,'S6_24-25_AOUT'!$J$3:$J$113),0)</f>
        <v>44.5</v>
      </c>
      <c r="N11" s="9">
        <f>IFERROR(SUMIF(S1_26_JUIL!$A$3:$A$113,$A11,S1_26_JUIL!$J$3:$J$113),0)+IFERROR(SUMIF('S2_27_JUIL-02_AOUT'!$A$3:$A$113,$A11,'S2_27_JUIL-02_AOUT'!$P$3:$P$113),0)+IFERROR(SUMIF('S3_03-09_AOUT'!$A$3:$A$113,$A11,'S3_03-09_AOUT'!$P$3:$P$113),0)+IFERROR(SUMIF('S4_10-16_AOUT'!$A$3:$A$113,$A11,'S4_10-16_AOUT'!$P$3:$P$113),0)+IFERROR(SUMIF('S5_17-23_AOUT'!$A$3:$A$113,$A11,'S5_17-23_AOUT'!$P$3:$P$113),0)+IFERROR(SUMIF('S6_24-25_AOUT'!$A$3:$A$113,$A11,'S6_24-25_AOUT'!$K$3:$K$113),0)</f>
        <v>0</v>
      </c>
      <c r="O11" s="9">
        <f>IFERROR(SUMIF(S1_26_JUIL!$A$3:$A$113,$A11,S1_26_JUIL!$K$3:$K$113),0)+IFERROR(SUMIF('S2_27_JUIL-02_AOUT'!$A$3:$A$113,$A11,'S2_27_JUIL-02_AOUT'!$Q$3:$Q$113),0)+IFERROR(SUMIF('S3_03-09_AOUT'!$A$3:$A$113,$A11,'S3_03-09_AOUT'!$Q$3:$Q$113),0)+IFERROR(SUMIF('S4_10-16_AOUT'!$A$3:$A$113,$A11,'S4_10-16_AOUT'!$Q$3:$Q$113),0)+IFERROR(SUMIF('S5_17-23_AOUT'!$A$3:$A$113,$A11,'S5_17-23_AOUT'!$Q$3:$Q$113),0)+IFERROR(SUMIF('S6_24-25_AOUT'!$A$3:$A$113,$A11,'S6_24-25_AOUT'!$L$3:$L$113),0)</f>
        <v>0</v>
      </c>
      <c r="P11" s="8">
        <f>IFERROR(SUMIF(S1_26_JUIL!$A$3:$A$113,$A11,S1_26_JUIL!$L$3:$L$113),0)+IFERROR(SUMIF('S2_27_JUIL-02_AOUT'!$A$3:$A$113,$A11,'S2_27_JUIL-02_AOUT'!$R$3:$R$113),0)+IFERROR(SUMIF('S3_03-09_AOUT'!$A$3:$A$113,$A11,'S3_03-09_AOUT'!$R$3:$R$113),0)+IFERROR(SUMIF('S4_10-16_AOUT'!$A$3:$A$113,$A11,'S4_10-16_AOUT'!$R$3:$R$113),0)+IFERROR(SUMIF('S5_17-23_AOUT'!$A$3:$A$113,$A11,'S5_17-23_AOUT'!$R$3:$R$113),0)+IFERROR(SUMIF('S6_24-25_AOUT'!$A$3:$A$113,$A11,'S6_24-25_AOUT'!$M$3:$M$113),0)</f>
        <v>0</v>
      </c>
      <c r="Q11" s="8">
        <f>IFERROR(SUMIF(S1_26_JUIL!$A$3:$A$113,$A11,S1_26_JUIL!$M$3:$M$113),0)+IFERROR(SUMIF('S2_27_JUIL-02_AOUT'!$A$3:$A$113,$A11,'S2_27_JUIL-02_AOUT'!$S$3:$S$113),0)+IFERROR(SUMIF('S3_03-09_AOUT'!$A$3:$A$113,$A11,'S3_03-09_AOUT'!$S$3:$S$113),0)+IFERROR(SUMIF('S4_10-16_AOUT'!$A$3:$A$113,$A11,'S4_10-16_AOUT'!$S$3:$S$113),0)+IFERROR(SUMIF('S5_17-23_AOUT'!$A$3:$A$113,$A11,'S5_17-23_AOUT'!$S$3:$S$113),0)+IFERROR(SUMIF('S6_24-25_AOUT'!$A$3:$A$113,$A11,'S6_24-25_AOUT'!$N$3:$N$113),0)</f>
        <v>0</v>
      </c>
      <c r="R11" s="11">
        <f>IFERROR(SUMIF(S1_26_JUIL!$A$3:$A$113,$A11,S1_26_JUIL!$N$3:$N$113),0)+IFERROR(SUMIF('S2_27_JUIL-02_AOUT'!$A$3:$A$113,$A11,'S2_27_JUIL-02_AOUT'!$T$3:$T$113),0)+IFERROR(SUMIF('S3_03-09_AOUT'!$A$3:$A$113,$A11,'S3_03-09_AOUT'!$T$3:$T$113),0)+IFERROR(SUMIF('S4_10-16_AOUT'!$A$3:$A$113,$A11,'S4_10-16_AOUT'!$T$3:$T$113),0)+IFERROR(SUMIF('S5_17-23_AOUT'!$A$3:$A$113,$A11,'S5_17-23_AOUT'!$T$3:$T$113),0)+IFERROR(SUMIF('S6_24-25_AOUT'!$A$3:$A$113,$A11,'S6_24-25_AOUT'!$O$3:$O$113),0)</f>
        <v>0</v>
      </c>
      <c r="S11" s="8">
        <f>208</f>
        <v>208</v>
      </c>
      <c r="T11" s="8">
        <f t="shared" si="1"/>
        <v>44.5</v>
      </c>
      <c r="U11" s="10" t="str">
        <f>IF(OR(IFERROR(INDEX(S1_26_JUIL!$P$3:$P$113,MATCH($A11,S1_26_JUIL!$A$3:$A$113,0)),"")="STC",IFERROR(INDEX('S2_27_JUIL-02_AOUT'!$V$3:$V$113,MATCH($A11,'S2_27_JUIL-02_AOUT'!$A$3:$A$113,0)),"")="STC",IFERROR(INDEX('S3_03-09_AOUT'!$V$3:$V$113,MATCH($A11,'S3_03-09_AOUT'!$A$3:$A$113,0)),"")="STC",IFERROR(INDEX('S4_10-16_AOUT'!$V$3:$V$113,MATCH($A11,'S4_10-16_AOUT'!$A$3:$A$113,0)),"")="STC",IFERROR(INDEX('S5_17-23_AOUT'!$V$3:$V$113,MATCH($A11,'S5_17-23_AOUT'!$A$3:$A$113,0)),"")="STC",IFERROR(INDEX('S6_24-25_AOUT'!$Q$3:$Q$113,MATCH($A11,'S6_24-25_AOUT'!$A$3:$A$113,0)),"")="STC"),"STC",IF(OR(IFERROR(INDEX(S1_26_JUIL!$P$3:$P$113,MATCH($A11,S1_26_JUIL!$A$3:$A$113,0)),"")="À vérifier",IFERROR(INDEX('S2_27_JUIL-02_AOUT'!$V$3:$V$113,MATCH($A11,'S2_27_JUIL-02_AOUT'!$A$3:$A$113,0)),"")="À vérifier",IFERROR(INDEX('S3_03-09_AOUT'!$V$3:$V$113,MATCH($A11,'S3_03-09_AOUT'!$A$3:$A$113,0)),"")="À vérifier",IFERROR(INDEX('S4_10-16_AOUT'!$V$3:$V$113,MATCH($A11,'S4_10-16_AOUT'!$A$3:$A$113,0)),"")="À vérifier",IFERROR(INDEX('S5_17-23_AOUT'!$V$3:$V$113,MATCH($A11,'S5_17-23_AOUT'!$A$3:$A$113,0)),"")="À vérifier",IFERROR(INDEX('S6_24-25_AOUT'!$Q$3:$Q$113,MATCH($A11,'S6_24-25_AOUT'!$A$3:$A$113,0)),"")="À vérifier",ABS(L11-T11)&gt;=0.01),"À vérifier","OK"))</f>
        <v>OK</v>
      </c>
    </row>
    <row r="12" spans="1:21">
      <c r="A12" s="12" t="s">
        <v>47</v>
      </c>
      <c r="B12" s="12" t="s">
        <v>28</v>
      </c>
      <c r="C12" s="13" t="s">
        <v>48</v>
      </c>
      <c r="D12" s="12" t="s">
        <v>49</v>
      </c>
      <c r="E12" s="10" t="s">
        <v>21</v>
      </c>
      <c r="F12" s="8">
        <f>IFERROR(SUMIF(S1_26_JUIL!$A$3:$A$113,$A12,S1_26_JUIL!$O$3:$O$113),0)</f>
        <v>0</v>
      </c>
      <c r="G12" s="8">
        <f>IFERROR(SUMIF('S2_27_JUIL-02_AOUT'!$A$3:$A$113,$A12,'S2_27_JUIL-02_AOUT'!$U$3:$U$113),0)</f>
        <v>47.5</v>
      </c>
      <c r="H12" s="8">
        <f>IFERROR(SUMIF('S3_03-09_AOUT'!$A$3:$A$113,$A12,'S3_03-09_AOUT'!$U$3:$U$113),0)</f>
        <v>0</v>
      </c>
      <c r="I12" s="8">
        <f>IFERROR(SUMIF('S4_10-16_AOUT'!$A$3:$A$113,$A12,'S4_10-16_AOUT'!$U$3:$U$113),0)</f>
        <v>0</v>
      </c>
      <c r="J12" s="8">
        <f>IFERROR(SUMIF('S5_17-23_AOUT'!$A$3:$A$113,$A12,'S5_17-23_AOUT'!$U$3:$U$113),0)</f>
        <v>0</v>
      </c>
      <c r="K12" s="8">
        <f>IFERROR(SUMIF('S6_24-25_AOUT'!$A$3:$A$113,$A12,'S6_24-25_AOUT'!$P$3:$P$113),0)</f>
        <v>0</v>
      </c>
      <c r="L12" s="8">
        <f t="shared" si="0"/>
        <v>47.5</v>
      </c>
      <c r="M12" s="8">
        <f>IFERROR(SUMIF(S1_26_JUIL!$A$3:$A$113,$A12,S1_26_JUIL!$I$3:$I$113),0)+IFERROR(SUMIF('S2_27_JUIL-02_AOUT'!$A$3:$A$113,$A12,'S2_27_JUIL-02_AOUT'!$O$3:$O$113),0)+IFERROR(SUMIF('S3_03-09_AOUT'!$A$3:$A$113,$A12,'S3_03-09_AOUT'!$O$3:$O$113),0)+IFERROR(SUMIF('S4_10-16_AOUT'!$A$3:$A$113,$A12,'S4_10-16_AOUT'!$O$3:$O$113),0)+IFERROR(SUMIF('S5_17-23_AOUT'!$A$3:$A$113,$A12,'S5_17-23_AOUT'!$O$3:$O$113),0)+IFERROR(SUMIF('S6_24-25_AOUT'!$A$3:$A$113,$A12,'S6_24-25_AOUT'!$J$3:$J$113),0)</f>
        <v>47.5</v>
      </c>
      <c r="N12" s="9">
        <f>IFERROR(SUMIF(S1_26_JUIL!$A$3:$A$113,$A12,S1_26_JUIL!$J$3:$J$113),0)+IFERROR(SUMIF('S2_27_JUIL-02_AOUT'!$A$3:$A$113,$A12,'S2_27_JUIL-02_AOUT'!$P$3:$P$113),0)+IFERROR(SUMIF('S3_03-09_AOUT'!$A$3:$A$113,$A12,'S3_03-09_AOUT'!$P$3:$P$113),0)+IFERROR(SUMIF('S4_10-16_AOUT'!$A$3:$A$113,$A12,'S4_10-16_AOUT'!$P$3:$P$113),0)+IFERROR(SUMIF('S5_17-23_AOUT'!$A$3:$A$113,$A12,'S5_17-23_AOUT'!$P$3:$P$113),0)+IFERROR(SUMIF('S6_24-25_AOUT'!$A$3:$A$113,$A12,'S6_24-25_AOUT'!$K$3:$K$113),0)</f>
        <v>0</v>
      </c>
      <c r="O12" s="9">
        <f>IFERROR(SUMIF(S1_26_JUIL!$A$3:$A$113,$A12,S1_26_JUIL!$K$3:$K$113),0)+IFERROR(SUMIF('S2_27_JUIL-02_AOUT'!$A$3:$A$113,$A12,'S2_27_JUIL-02_AOUT'!$Q$3:$Q$113),0)+IFERROR(SUMIF('S3_03-09_AOUT'!$A$3:$A$113,$A12,'S3_03-09_AOUT'!$Q$3:$Q$113),0)+IFERROR(SUMIF('S4_10-16_AOUT'!$A$3:$A$113,$A12,'S4_10-16_AOUT'!$Q$3:$Q$113),0)+IFERROR(SUMIF('S5_17-23_AOUT'!$A$3:$A$113,$A12,'S5_17-23_AOUT'!$Q$3:$Q$113),0)+IFERROR(SUMIF('S6_24-25_AOUT'!$A$3:$A$113,$A12,'S6_24-25_AOUT'!$L$3:$L$113),0)</f>
        <v>0</v>
      </c>
      <c r="P12" s="8">
        <f>IFERROR(SUMIF(S1_26_JUIL!$A$3:$A$113,$A12,S1_26_JUIL!$L$3:$L$113),0)+IFERROR(SUMIF('S2_27_JUIL-02_AOUT'!$A$3:$A$113,$A12,'S2_27_JUIL-02_AOUT'!$R$3:$R$113),0)+IFERROR(SUMIF('S3_03-09_AOUT'!$A$3:$A$113,$A12,'S3_03-09_AOUT'!$R$3:$R$113),0)+IFERROR(SUMIF('S4_10-16_AOUT'!$A$3:$A$113,$A12,'S4_10-16_AOUT'!$R$3:$R$113),0)+IFERROR(SUMIF('S5_17-23_AOUT'!$A$3:$A$113,$A12,'S5_17-23_AOUT'!$R$3:$R$113),0)+IFERROR(SUMIF('S6_24-25_AOUT'!$A$3:$A$113,$A12,'S6_24-25_AOUT'!$M$3:$M$113),0)</f>
        <v>0</v>
      </c>
      <c r="Q12" s="8">
        <f>IFERROR(SUMIF(S1_26_JUIL!$A$3:$A$113,$A12,S1_26_JUIL!$M$3:$M$113),0)+IFERROR(SUMIF('S2_27_JUIL-02_AOUT'!$A$3:$A$113,$A12,'S2_27_JUIL-02_AOUT'!$S$3:$S$113),0)+IFERROR(SUMIF('S3_03-09_AOUT'!$A$3:$A$113,$A12,'S3_03-09_AOUT'!$S$3:$S$113),0)+IFERROR(SUMIF('S4_10-16_AOUT'!$A$3:$A$113,$A12,'S4_10-16_AOUT'!$S$3:$S$113),0)+IFERROR(SUMIF('S5_17-23_AOUT'!$A$3:$A$113,$A12,'S5_17-23_AOUT'!$S$3:$S$113),0)+IFERROR(SUMIF('S6_24-25_AOUT'!$A$3:$A$113,$A12,'S6_24-25_AOUT'!$N$3:$N$113),0)</f>
        <v>0</v>
      </c>
      <c r="R12" s="11">
        <f>IFERROR(SUMIF(S1_26_JUIL!$A$3:$A$113,$A12,S1_26_JUIL!$N$3:$N$113),0)+IFERROR(SUMIF('S2_27_JUIL-02_AOUT'!$A$3:$A$113,$A12,'S2_27_JUIL-02_AOUT'!$T$3:$T$113),0)+IFERROR(SUMIF('S3_03-09_AOUT'!$A$3:$A$113,$A12,'S3_03-09_AOUT'!$T$3:$T$113),0)+IFERROR(SUMIF('S4_10-16_AOUT'!$A$3:$A$113,$A12,'S4_10-16_AOUT'!$T$3:$T$113),0)+IFERROR(SUMIF('S5_17-23_AOUT'!$A$3:$A$113,$A12,'S5_17-23_AOUT'!$T$3:$T$113),0)+IFERROR(SUMIF('S6_24-25_AOUT'!$A$3:$A$113,$A12,'S6_24-25_AOUT'!$O$3:$O$113),0)</f>
        <v>0</v>
      </c>
      <c r="S12" s="8">
        <f>208</f>
        <v>208</v>
      </c>
      <c r="T12" s="8">
        <f t="shared" si="1"/>
        <v>47.5</v>
      </c>
      <c r="U12" s="10" t="str">
        <f>IF(OR(IFERROR(INDEX(S1_26_JUIL!$P$3:$P$113,MATCH($A12,S1_26_JUIL!$A$3:$A$113,0)),"")="STC",IFERROR(INDEX('S2_27_JUIL-02_AOUT'!$V$3:$V$113,MATCH($A12,'S2_27_JUIL-02_AOUT'!$A$3:$A$113,0)),"")="STC",IFERROR(INDEX('S3_03-09_AOUT'!$V$3:$V$113,MATCH($A12,'S3_03-09_AOUT'!$A$3:$A$113,0)),"")="STC",IFERROR(INDEX('S4_10-16_AOUT'!$V$3:$V$113,MATCH($A12,'S4_10-16_AOUT'!$A$3:$A$113,0)),"")="STC",IFERROR(INDEX('S5_17-23_AOUT'!$V$3:$V$113,MATCH($A12,'S5_17-23_AOUT'!$A$3:$A$113,0)),"")="STC",IFERROR(INDEX('S6_24-25_AOUT'!$Q$3:$Q$113,MATCH($A12,'S6_24-25_AOUT'!$A$3:$A$113,0)),"")="STC"),"STC",IF(OR(IFERROR(INDEX(S1_26_JUIL!$P$3:$P$113,MATCH($A12,S1_26_JUIL!$A$3:$A$113,0)),"")="À vérifier",IFERROR(INDEX('S2_27_JUIL-02_AOUT'!$V$3:$V$113,MATCH($A12,'S2_27_JUIL-02_AOUT'!$A$3:$A$113,0)),"")="À vérifier",IFERROR(INDEX('S3_03-09_AOUT'!$V$3:$V$113,MATCH($A12,'S3_03-09_AOUT'!$A$3:$A$113,0)),"")="À vérifier",IFERROR(INDEX('S4_10-16_AOUT'!$V$3:$V$113,MATCH($A12,'S4_10-16_AOUT'!$A$3:$A$113,0)),"")="À vérifier",IFERROR(INDEX('S5_17-23_AOUT'!$V$3:$V$113,MATCH($A12,'S5_17-23_AOUT'!$A$3:$A$113,0)),"")="À vérifier",IFERROR(INDEX('S6_24-25_AOUT'!$Q$3:$Q$113,MATCH($A12,'S6_24-25_AOUT'!$A$3:$A$113,0)),"")="À vérifier",ABS(L12-T12)&gt;=0.01),"À vérifier","OK"))</f>
        <v>OK</v>
      </c>
    </row>
    <row r="13" spans="1:21">
      <c r="A13" s="12">
        <v>132</v>
      </c>
      <c r="B13" s="12" t="s">
        <v>50</v>
      </c>
      <c r="C13" s="13" t="s">
        <v>51</v>
      </c>
      <c r="D13" s="12" t="s">
        <v>49</v>
      </c>
      <c r="E13" s="10" t="s">
        <v>21</v>
      </c>
      <c r="F13" s="8">
        <f>IFERROR(SUMIF(S1_26_JUIL!$A$3:$A$113,$A13,S1_26_JUIL!$O$3:$O$113),0)</f>
        <v>0</v>
      </c>
      <c r="G13" s="8">
        <f>IFERROR(SUMIF('S2_27_JUIL-02_AOUT'!$A$3:$A$113,$A13,'S2_27_JUIL-02_AOUT'!$U$3:$U$113),0)</f>
        <v>28.5</v>
      </c>
      <c r="H13" s="8">
        <f>IFERROR(SUMIF('S3_03-09_AOUT'!$A$3:$A$113,$A13,'S3_03-09_AOUT'!$U$3:$U$113),0)</f>
        <v>0</v>
      </c>
      <c r="I13" s="8">
        <f>IFERROR(SUMIF('S4_10-16_AOUT'!$A$3:$A$113,$A13,'S4_10-16_AOUT'!$U$3:$U$113),0)</f>
        <v>0</v>
      </c>
      <c r="J13" s="8">
        <f>IFERROR(SUMIF('S5_17-23_AOUT'!$A$3:$A$113,$A13,'S5_17-23_AOUT'!$U$3:$U$113),0)</f>
        <v>0</v>
      </c>
      <c r="K13" s="8">
        <f>IFERROR(SUMIF('S6_24-25_AOUT'!$A$3:$A$113,$A13,'S6_24-25_AOUT'!$P$3:$P$113),0)</f>
        <v>0</v>
      </c>
      <c r="L13" s="8">
        <f t="shared" si="0"/>
        <v>28.5</v>
      </c>
      <c r="M13" s="8">
        <f>IFERROR(SUMIF(S1_26_JUIL!$A$3:$A$113,$A13,S1_26_JUIL!$I$3:$I$113),0)+IFERROR(SUMIF('S2_27_JUIL-02_AOUT'!$A$3:$A$113,$A13,'S2_27_JUIL-02_AOUT'!$O$3:$O$113),0)+IFERROR(SUMIF('S3_03-09_AOUT'!$A$3:$A$113,$A13,'S3_03-09_AOUT'!$O$3:$O$113),0)+IFERROR(SUMIF('S4_10-16_AOUT'!$A$3:$A$113,$A13,'S4_10-16_AOUT'!$O$3:$O$113),0)+IFERROR(SUMIF('S5_17-23_AOUT'!$A$3:$A$113,$A13,'S5_17-23_AOUT'!$O$3:$O$113),0)+IFERROR(SUMIF('S6_24-25_AOUT'!$A$3:$A$113,$A13,'S6_24-25_AOUT'!$J$3:$J$113),0)</f>
        <v>28.5</v>
      </c>
      <c r="N13" s="9">
        <f>IFERROR(SUMIF(S1_26_JUIL!$A$3:$A$113,$A13,S1_26_JUIL!$J$3:$J$113),0)+IFERROR(SUMIF('S2_27_JUIL-02_AOUT'!$A$3:$A$113,$A13,'S2_27_JUIL-02_AOUT'!$P$3:$P$113),0)+IFERROR(SUMIF('S3_03-09_AOUT'!$A$3:$A$113,$A13,'S3_03-09_AOUT'!$P$3:$P$113),0)+IFERROR(SUMIF('S4_10-16_AOUT'!$A$3:$A$113,$A13,'S4_10-16_AOUT'!$P$3:$P$113),0)+IFERROR(SUMIF('S5_17-23_AOUT'!$A$3:$A$113,$A13,'S5_17-23_AOUT'!$P$3:$P$113),0)+IFERROR(SUMIF('S6_24-25_AOUT'!$A$3:$A$113,$A13,'S6_24-25_AOUT'!$K$3:$K$113),0)</f>
        <v>0</v>
      </c>
      <c r="O13" s="9">
        <f>IFERROR(SUMIF(S1_26_JUIL!$A$3:$A$113,$A13,S1_26_JUIL!$K$3:$K$113),0)+IFERROR(SUMIF('S2_27_JUIL-02_AOUT'!$A$3:$A$113,$A13,'S2_27_JUIL-02_AOUT'!$Q$3:$Q$113),0)+IFERROR(SUMIF('S3_03-09_AOUT'!$A$3:$A$113,$A13,'S3_03-09_AOUT'!$Q$3:$Q$113),0)+IFERROR(SUMIF('S4_10-16_AOUT'!$A$3:$A$113,$A13,'S4_10-16_AOUT'!$Q$3:$Q$113),0)+IFERROR(SUMIF('S5_17-23_AOUT'!$A$3:$A$113,$A13,'S5_17-23_AOUT'!$Q$3:$Q$113),0)+IFERROR(SUMIF('S6_24-25_AOUT'!$A$3:$A$113,$A13,'S6_24-25_AOUT'!$L$3:$L$113),0)</f>
        <v>0</v>
      </c>
      <c r="P13" s="8">
        <f>IFERROR(SUMIF(S1_26_JUIL!$A$3:$A$113,$A13,S1_26_JUIL!$L$3:$L$113),0)+IFERROR(SUMIF('S2_27_JUIL-02_AOUT'!$A$3:$A$113,$A13,'S2_27_JUIL-02_AOUT'!$R$3:$R$113),0)+IFERROR(SUMIF('S3_03-09_AOUT'!$A$3:$A$113,$A13,'S3_03-09_AOUT'!$R$3:$R$113),0)+IFERROR(SUMIF('S4_10-16_AOUT'!$A$3:$A$113,$A13,'S4_10-16_AOUT'!$R$3:$R$113),0)+IFERROR(SUMIF('S5_17-23_AOUT'!$A$3:$A$113,$A13,'S5_17-23_AOUT'!$R$3:$R$113),0)+IFERROR(SUMIF('S6_24-25_AOUT'!$A$3:$A$113,$A13,'S6_24-25_AOUT'!$M$3:$M$113),0)</f>
        <v>2</v>
      </c>
      <c r="Q13" s="8">
        <f>IFERROR(SUMIF(S1_26_JUIL!$A$3:$A$113,$A13,S1_26_JUIL!$M$3:$M$113),0)+IFERROR(SUMIF('S2_27_JUIL-02_AOUT'!$A$3:$A$113,$A13,'S2_27_JUIL-02_AOUT'!$S$3:$S$113),0)+IFERROR(SUMIF('S3_03-09_AOUT'!$A$3:$A$113,$A13,'S3_03-09_AOUT'!$S$3:$S$113),0)+IFERROR(SUMIF('S4_10-16_AOUT'!$A$3:$A$113,$A13,'S4_10-16_AOUT'!$S$3:$S$113),0)+IFERROR(SUMIF('S5_17-23_AOUT'!$A$3:$A$113,$A13,'S5_17-23_AOUT'!$S$3:$S$113),0)+IFERROR(SUMIF('S6_24-25_AOUT'!$A$3:$A$113,$A13,'S6_24-25_AOUT'!$N$3:$N$113),0)</f>
        <v>0</v>
      </c>
      <c r="R13" s="11">
        <f>IFERROR(SUMIF(S1_26_JUIL!$A$3:$A$113,$A13,S1_26_JUIL!$N$3:$N$113),0)+IFERROR(SUMIF('S2_27_JUIL-02_AOUT'!$A$3:$A$113,$A13,'S2_27_JUIL-02_AOUT'!$T$3:$T$113),0)+IFERROR(SUMIF('S3_03-09_AOUT'!$A$3:$A$113,$A13,'S3_03-09_AOUT'!$T$3:$T$113),0)+IFERROR(SUMIF('S4_10-16_AOUT'!$A$3:$A$113,$A13,'S4_10-16_AOUT'!$T$3:$T$113),0)+IFERROR(SUMIF('S5_17-23_AOUT'!$A$3:$A$113,$A13,'S5_17-23_AOUT'!$T$3:$T$113),0)+IFERROR(SUMIF('S6_24-25_AOUT'!$A$3:$A$113,$A13,'S6_24-25_AOUT'!$O$3:$O$113),0)</f>
        <v>0</v>
      </c>
      <c r="S13" s="8">
        <f>208</f>
        <v>208</v>
      </c>
      <c r="T13" s="8">
        <f t="shared" si="1"/>
        <v>28.5</v>
      </c>
      <c r="U13" s="10" t="str">
        <f>IF(OR(IFERROR(INDEX(S1_26_JUIL!$P$3:$P$113,MATCH($A13,S1_26_JUIL!$A$3:$A$113,0)),"")="STC",IFERROR(INDEX('S2_27_JUIL-02_AOUT'!$V$3:$V$113,MATCH($A13,'S2_27_JUIL-02_AOUT'!$A$3:$A$113,0)),"")="STC",IFERROR(INDEX('S3_03-09_AOUT'!$V$3:$V$113,MATCH($A13,'S3_03-09_AOUT'!$A$3:$A$113,0)),"")="STC",IFERROR(INDEX('S4_10-16_AOUT'!$V$3:$V$113,MATCH($A13,'S4_10-16_AOUT'!$A$3:$A$113,0)),"")="STC",IFERROR(INDEX('S5_17-23_AOUT'!$V$3:$V$113,MATCH($A13,'S5_17-23_AOUT'!$A$3:$A$113,0)),"")="STC",IFERROR(INDEX('S6_24-25_AOUT'!$Q$3:$Q$113,MATCH($A13,'S6_24-25_AOUT'!$A$3:$A$113,0)),"")="STC"),"STC",IF(OR(IFERROR(INDEX(S1_26_JUIL!$P$3:$P$113,MATCH($A13,S1_26_JUIL!$A$3:$A$113,0)),"")="À vérifier",IFERROR(INDEX('S2_27_JUIL-02_AOUT'!$V$3:$V$113,MATCH($A13,'S2_27_JUIL-02_AOUT'!$A$3:$A$113,0)),"")="À vérifier",IFERROR(INDEX('S3_03-09_AOUT'!$V$3:$V$113,MATCH($A13,'S3_03-09_AOUT'!$A$3:$A$113,0)),"")="À vérifier",IFERROR(INDEX('S4_10-16_AOUT'!$V$3:$V$113,MATCH($A13,'S4_10-16_AOUT'!$A$3:$A$113,0)),"")="À vérifier",IFERROR(INDEX('S5_17-23_AOUT'!$V$3:$V$113,MATCH($A13,'S5_17-23_AOUT'!$A$3:$A$113,0)),"")="À vérifier",IFERROR(INDEX('S6_24-25_AOUT'!$Q$3:$Q$113,MATCH($A13,'S6_24-25_AOUT'!$A$3:$A$113,0)),"")="À vérifier",ABS(L13-T13)&gt;=0.01),"À vérifier","OK"))</f>
        <v>OK</v>
      </c>
    </row>
    <row r="14" spans="1:21">
      <c r="A14" s="12">
        <v>174</v>
      </c>
      <c r="B14" s="12" t="s">
        <v>52</v>
      </c>
      <c r="C14" s="13" t="s">
        <v>53</v>
      </c>
      <c r="D14" s="12" t="s">
        <v>49</v>
      </c>
      <c r="E14" s="10" t="s">
        <v>21</v>
      </c>
      <c r="F14" s="8">
        <f>IFERROR(SUMIF(S1_26_JUIL!$A$3:$A$113,$A14,S1_26_JUIL!$O$3:$O$113),0)</f>
        <v>0</v>
      </c>
      <c r="G14" s="8">
        <f>IFERROR(SUMIF('S2_27_JUIL-02_AOUT'!$A$3:$A$113,$A14,'S2_27_JUIL-02_AOUT'!$U$3:$U$113),0)</f>
        <v>47.5</v>
      </c>
      <c r="H14" s="8">
        <f>IFERROR(SUMIF('S3_03-09_AOUT'!$A$3:$A$113,$A14,'S3_03-09_AOUT'!$U$3:$U$113),0)</f>
        <v>0</v>
      </c>
      <c r="I14" s="8">
        <f>IFERROR(SUMIF('S4_10-16_AOUT'!$A$3:$A$113,$A14,'S4_10-16_AOUT'!$U$3:$U$113),0)</f>
        <v>0</v>
      </c>
      <c r="J14" s="8">
        <f>IFERROR(SUMIF('S5_17-23_AOUT'!$A$3:$A$113,$A14,'S5_17-23_AOUT'!$U$3:$U$113),0)</f>
        <v>0</v>
      </c>
      <c r="K14" s="8">
        <f>IFERROR(SUMIF('S6_24-25_AOUT'!$A$3:$A$113,$A14,'S6_24-25_AOUT'!$P$3:$P$113),0)</f>
        <v>0</v>
      </c>
      <c r="L14" s="8">
        <f t="shared" si="0"/>
        <v>47.5</v>
      </c>
      <c r="M14" s="8">
        <f>IFERROR(SUMIF(S1_26_JUIL!$A$3:$A$113,$A14,S1_26_JUIL!$I$3:$I$113),0)+IFERROR(SUMIF('S2_27_JUIL-02_AOUT'!$A$3:$A$113,$A14,'S2_27_JUIL-02_AOUT'!$O$3:$O$113),0)+IFERROR(SUMIF('S3_03-09_AOUT'!$A$3:$A$113,$A14,'S3_03-09_AOUT'!$O$3:$O$113),0)+IFERROR(SUMIF('S4_10-16_AOUT'!$A$3:$A$113,$A14,'S4_10-16_AOUT'!$O$3:$O$113),0)+IFERROR(SUMIF('S5_17-23_AOUT'!$A$3:$A$113,$A14,'S5_17-23_AOUT'!$O$3:$O$113),0)+IFERROR(SUMIF('S6_24-25_AOUT'!$A$3:$A$113,$A14,'S6_24-25_AOUT'!$J$3:$J$113),0)</f>
        <v>47.5</v>
      </c>
      <c r="N14" s="9">
        <f>IFERROR(SUMIF(S1_26_JUIL!$A$3:$A$113,$A14,S1_26_JUIL!$J$3:$J$113),0)+IFERROR(SUMIF('S2_27_JUIL-02_AOUT'!$A$3:$A$113,$A14,'S2_27_JUIL-02_AOUT'!$P$3:$P$113),0)+IFERROR(SUMIF('S3_03-09_AOUT'!$A$3:$A$113,$A14,'S3_03-09_AOUT'!$P$3:$P$113),0)+IFERROR(SUMIF('S4_10-16_AOUT'!$A$3:$A$113,$A14,'S4_10-16_AOUT'!$P$3:$P$113),0)+IFERROR(SUMIF('S5_17-23_AOUT'!$A$3:$A$113,$A14,'S5_17-23_AOUT'!$P$3:$P$113),0)+IFERROR(SUMIF('S6_24-25_AOUT'!$A$3:$A$113,$A14,'S6_24-25_AOUT'!$K$3:$K$113),0)</f>
        <v>0</v>
      </c>
      <c r="O14" s="9">
        <f>IFERROR(SUMIF(S1_26_JUIL!$A$3:$A$113,$A14,S1_26_JUIL!$K$3:$K$113),0)+IFERROR(SUMIF('S2_27_JUIL-02_AOUT'!$A$3:$A$113,$A14,'S2_27_JUIL-02_AOUT'!$Q$3:$Q$113),0)+IFERROR(SUMIF('S3_03-09_AOUT'!$A$3:$A$113,$A14,'S3_03-09_AOUT'!$Q$3:$Q$113),0)+IFERROR(SUMIF('S4_10-16_AOUT'!$A$3:$A$113,$A14,'S4_10-16_AOUT'!$Q$3:$Q$113),0)+IFERROR(SUMIF('S5_17-23_AOUT'!$A$3:$A$113,$A14,'S5_17-23_AOUT'!$Q$3:$Q$113),0)+IFERROR(SUMIF('S6_24-25_AOUT'!$A$3:$A$113,$A14,'S6_24-25_AOUT'!$L$3:$L$113),0)</f>
        <v>0</v>
      </c>
      <c r="P14" s="8">
        <f>IFERROR(SUMIF(S1_26_JUIL!$A$3:$A$113,$A14,S1_26_JUIL!$L$3:$L$113),0)+IFERROR(SUMIF('S2_27_JUIL-02_AOUT'!$A$3:$A$113,$A14,'S2_27_JUIL-02_AOUT'!$R$3:$R$113),0)+IFERROR(SUMIF('S3_03-09_AOUT'!$A$3:$A$113,$A14,'S3_03-09_AOUT'!$R$3:$R$113),0)+IFERROR(SUMIF('S4_10-16_AOUT'!$A$3:$A$113,$A14,'S4_10-16_AOUT'!$R$3:$R$113),0)+IFERROR(SUMIF('S5_17-23_AOUT'!$A$3:$A$113,$A14,'S5_17-23_AOUT'!$R$3:$R$113),0)+IFERROR(SUMIF('S6_24-25_AOUT'!$A$3:$A$113,$A14,'S6_24-25_AOUT'!$M$3:$M$113),0)</f>
        <v>0</v>
      </c>
      <c r="Q14" s="8">
        <f>IFERROR(SUMIF(S1_26_JUIL!$A$3:$A$113,$A14,S1_26_JUIL!$M$3:$M$113),0)+IFERROR(SUMIF('S2_27_JUIL-02_AOUT'!$A$3:$A$113,$A14,'S2_27_JUIL-02_AOUT'!$S$3:$S$113),0)+IFERROR(SUMIF('S3_03-09_AOUT'!$A$3:$A$113,$A14,'S3_03-09_AOUT'!$S$3:$S$113),0)+IFERROR(SUMIF('S4_10-16_AOUT'!$A$3:$A$113,$A14,'S4_10-16_AOUT'!$S$3:$S$113),0)+IFERROR(SUMIF('S5_17-23_AOUT'!$A$3:$A$113,$A14,'S5_17-23_AOUT'!$S$3:$S$113),0)+IFERROR(SUMIF('S6_24-25_AOUT'!$A$3:$A$113,$A14,'S6_24-25_AOUT'!$N$3:$N$113),0)</f>
        <v>0</v>
      </c>
      <c r="R14" s="11">
        <f>IFERROR(SUMIF(S1_26_JUIL!$A$3:$A$113,$A14,S1_26_JUIL!$N$3:$N$113),0)+IFERROR(SUMIF('S2_27_JUIL-02_AOUT'!$A$3:$A$113,$A14,'S2_27_JUIL-02_AOUT'!$T$3:$T$113),0)+IFERROR(SUMIF('S3_03-09_AOUT'!$A$3:$A$113,$A14,'S3_03-09_AOUT'!$T$3:$T$113),0)+IFERROR(SUMIF('S4_10-16_AOUT'!$A$3:$A$113,$A14,'S4_10-16_AOUT'!$T$3:$T$113),0)+IFERROR(SUMIF('S5_17-23_AOUT'!$A$3:$A$113,$A14,'S5_17-23_AOUT'!$T$3:$T$113),0)+IFERROR(SUMIF('S6_24-25_AOUT'!$A$3:$A$113,$A14,'S6_24-25_AOUT'!$O$3:$O$113),0)</f>
        <v>0</v>
      </c>
      <c r="S14" s="8">
        <f>208</f>
        <v>208</v>
      </c>
      <c r="T14" s="8">
        <f t="shared" si="1"/>
        <v>47.5</v>
      </c>
      <c r="U14" s="10" t="str">
        <f>IF(OR(IFERROR(INDEX(S1_26_JUIL!$P$3:$P$113,MATCH($A14,S1_26_JUIL!$A$3:$A$113,0)),"")="STC",IFERROR(INDEX('S2_27_JUIL-02_AOUT'!$V$3:$V$113,MATCH($A14,'S2_27_JUIL-02_AOUT'!$A$3:$A$113,0)),"")="STC",IFERROR(INDEX('S3_03-09_AOUT'!$V$3:$V$113,MATCH($A14,'S3_03-09_AOUT'!$A$3:$A$113,0)),"")="STC",IFERROR(INDEX('S4_10-16_AOUT'!$V$3:$V$113,MATCH($A14,'S4_10-16_AOUT'!$A$3:$A$113,0)),"")="STC",IFERROR(INDEX('S5_17-23_AOUT'!$V$3:$V$113,MATCH($A14,'S5_17-23_AOUT'!$A$3:$A$113,0)),"")="STC",IFERROR(INDEX('S6_24-25_AOUT'!$Q$3:$Q$113,MATCH($A14,'S6_24-25_AOUT'!$A$3:$A$113,0)),"")="STC"),"STC",IF(OR(IFERROR(INDEX(S1_26_JUIL!$P$3:$P$113,MATCH($A14,S1_26_JUIL!$A$3:$A$113,0)),"")="À vérifier",IFERROR(INDEX('S2_27_JUIL-02_AOUT'!$V$3:$V$113,MATCH($A14,'S2_27_JUIL-02_AOUT'!$A$3:$A$113,0)),"")="À vérifier",IFERROR(INDEX('S3_03-09_AOUT'!$V$3:$V$113,MATCH($A14,'S3_03-09_AOUT'!$A$3:$A$113,0)),"")="À vérifier",IFERROR(INDEX('S4_10-16_AOUT'!$V$3:$V$113,MATCH($A14,'S4_10-16_AOUT'!$A$3:$A$113,0)),"")="À vérifier",IFERROR(INDEX('S5_17-23_AOUT'!$V$3:$V$113,MATCH($A14,'S5_17-23_AOUT'!$A$3:$A$113,0)),"")="À vérifier",IFERROR(INDEX('S6_24-25_AOUT'!$Q$3:$Q$113,MATCH($A14,'S6_24-25_AOUT'!$A$3:$A$113,0)),"")="À vérifier",ABS(L14-T14)&gt;=0.01),"À vérifier","OK"))</f>
        <v>OK</v>
      </c>
    </row>
    <row r="15" spans="1:21">
      <c r="A15" s="12" t="s">
        <v>54</v>
      </c>
      <c r="B15" s="12" t="s">
        <v>55</v>
      </c>
      <c r="C15" s="13" t="s">
        <v>56</v>
      </c>
      <c r="D15" s="12" t="s">
        <v>49</v>
      </c>
      <c r="E15" s="10" t="s">
        <v>21</v>
      </c>
      <c r="F15" s="8">
        <f>IFERROR(SUMIF(S1_26_JUIL!$A$3:$A$113,$A15,S1_26_JUIL!$O$3:$O$113),0)</f>
        <v>0</v>
      </c>
      <c r="G15" s="8">
        <f>IFERROR(SUMIF('S2_27_JUIL-02_AOUT'!$A$3:$A$113,$A15,'S2_27_JUIL-02_AOUT'!$U$3:$U$113),0)</f>
        <v>10</v>
      </c>
      <c r="H15" s="8">
        <f>IFERROR(SUMIF('S3_03-09_AOUT'!$A$3:$A$113,$A15,'S3_03-09_AOUT'!$U$3:$U$113),0)</f>
        <v>0</v>
      </c>
      <c r="I15" s="8">
        <f>IFERROR(SUMIF('S4_10-16_AOUT'!$A$3:$A$113,$A15,'S4_10-16_AOUT'!$U$3:$U$113),0)</f>
        <v>0</v>
      </c>
      <c r="J15" s="8">
        <f>IFERROR(SUMIF('S5_17-23_AOUT'!$A$3:$A$113,$A15,'S5_17-23_AOUT'!$U$3:$U$113),0)</f>
        <v>0</v>
      </c>
      <c r="K15" s="8">
        <f>IFERROR(SUMIF('S6_24-25_AOUT'!$A$3:$A$113,$A15,'S6_24-25_AOUT'!$P$3:$P$113),0)</f>
        <v>0</v>
      </c>
      <c r="L15" s="8">
        <f t="shared" si="0"/>
        <v>10</v>
      </c>
      <c r="M15" s="8">
        <f>IFERROR(SUMIF(S1_26_JUIL!$A$3:$A$113,$A15,S1_26_JUIL!$I$3:$I$113),0)+IFERROR(SUMIF('S2_27_JUIL-02_AOUT'!$A$3:$A$113,$A15,'S2_27_JUIL-02_AOUT'!$O$3:$O$113),0)+IFERROR(SUMIF('S3_03-09_AOUT'!$A$3:$A$113,$A15,'S3_03-09_AOUT'!$O$3:$O$113),0)+IFERROR(SUMIF('S4_10-16_AOUT'!$A$3:$A$113,$A15,'S4_10-16_AOUT'!$O$3:$O$113),0)+IFERROR(SUMIF('S5_17-23_AOUT'!$A$3:$A$113,$A15,'S5_17-23_AOUT'!$O$3:$O$113),0)+IFERROR(SUMIF('S6_24-25_AOUT'!$A$3:$A$113,$A15,'S6_24-25_AOUT'!$J$3:$J$113),0)</f>
        <v>10</v>
      </c>
      <c r="N15" s="9">
        <f>IFERROR(SUMIF(S1_26_JUIL!$A$3:$A$113,$A15,S1_26_JUIL!$J$3:$J$113),0)+IFERROR(SUMIF('S2_27_JUIL-02_AOUT'!$A$3:$A$113,$A15,'S2_27_JUIL-02_AOUT'!$P$3:$P$113),0)+IFERROR(SUMIF('S3_03-09_AOUT'!$A$3:$A$113,$A15,'S3_03-09_AOUT'!$P$3:$P$113),0)+IFERROR(SUMIF('S4_10-16_AOUT'!$A$3:$A$113,$A15,'S4_10-16_AOUT'!$P$3:$P$113),0)+IFERROR(SUMIF('S5_17-23_AOUT'!$A$3:$A$113,$A15,'S5_17-23_AOUT'!$P$3:$P$113),0)+IFERROR(SUMIF('S6_24-25_AOUT'!$A$3:$A$113,$A15,'S6_24-25_AOUT'!$K$3:$K$113),0)</f>
        <v>0</v>
      </c>
      <c r="O15" s="9">
        <f>IFERROR(SUMIF(S1_26_JUIL!$A$3:$A$113,$A15,S1_26_JUIL!$K$3:$K$113),0)+IFERROR(SUMIF('S2_27_JUIL-02_AOUT'!$A$3:$A$113,$A15,'S2_27_JUIL-02_AOUT'!$Q$3:$Q$113),0)+IFERROR(SUMIF('S3_03-09_AOUT'!$A$3:$A$113,$A15,'S3_03-09_AOUT'!$Q$3:$Q$113),0)+IFERROR(SUMIF('S4_10-16_AOUT'!$A$3:$A$113,$A15,'S4_10-16_AOUT'!$Q$3:$Q$113),0)+IFERROR(SUMIF('S5_17-23_AOUT'!$A$3:$A$113,$A15,'S5_17-23_AOUT'!$Q$3:$Q$113),0)+IFERROR(SUMIF('S6_24-25_AOUT'!$A$3:$A$113,$A15,'S6_24-25_AOUT'!$L$3:$L$113),0)</f>
        <v>0</v>
      </c>
      <c r="P15" s="8">
        <f>IFERROR(SUMIF(S1_26_JUIL!$A$3:$A$113,$A15,S1_26_JUIL!$L$3:$L$113),0)+IFERROR(SUMIF('S2_27_JUIL-02_AOUT'!$A$3:$A$113,$A15,'S2_27_JUIL-02_AOUT'!$R$3:$R$113),0)+IFERROR(SUMIF('S3_03-09_AOUT'!$A$3:$A$113,$A15,'S3_03-09_AOUT'!$R$3:$R$113),0)+IFERROR(SUMIF('S4_10-16_AOUT'!$A$3:$A$113,$A15,'S4_10-16_AOUT'!$R$3:$R$113),0)+IFERROR(SUMIF('S5_17-23_AOUT'!$A$3:$A$113,$A15,'S5_17-23_AOUT'!$R$3:$R$113),0)+IFERROR(SUMIF('S6_24-25_AOUT'!$A$3:$A$113,$A15,'S6_24-25_AOUT'!$M$3:$M$113),0)</f>
        <v>0</v>
      </c>
      <c r="Q15" s="8">
        <f>IFERROR(SUMIF(S1_26_JUIL!$A$3:$A$113,$A15,S1_26_JUIL!$M$3:$M$113),0)+IFERROR(SUMIF('S2_27_JUIL-02_AOUT'!$A$3:$A$113,$A15,'S2_27_JUIL-02_AOUT'!$S$3:$S$113),0)+IFERROR(SUMIF('S3_03-09_AOUT'!$A$3:$A$113,$A15,'S3_03-09_AOUT'!$S$3:$S$113),0)+IFERROR(SUMIF('S4_10-16_AOUT'!$A$3:$A$113,$A15,'S4_10-16_AOUT'!$S$3:$S$113),0)+IFERROR(SUMIF('S5_17-23_AOUT'!$A$3:$A$113,$A15,'S5_17-23_AOUT'!$S$3:$S$113),0)+IFERROR(SUMIF('S6_24-25_AOUT'!$A$3:$A$113,$A15,'S6_24-25_AOUT'!$N$3:$N$113),0)</f>
        <v>0</v>
      </c>
      <c r="R15" s="11">
        <f>IFERROR(SUMIF(S1_26_JUIL!$A$3:$A$113,$A15,S1_26_JUIL!$N$3:$N$113),0)+IFERROR(SUMIF('S2_27_JUIL-02_AOUT'!$A$3:$A$113,$A15,'S2_27_JUIL-02_AOUT'!$T$3:$T$113),0)+IFERROR(SUMIF('S3_03-09_AOUT'!$A$3:$A$113,$A15,'S3_03-09_AOUT'!$T$3:$T$113),0)+IFERROR(SUMIF('S4_10-16_AOUT'!$A$3:$A$113,$A15,'S4_10-16_AOUT'!$T$3:$T$113),0)+IFERROR(SUMIF('S5_17-23_AOUT'!$A$3:$A$113,$A15,'S5_17-23_AOUT'!$T$3:$T$113),0)+IFERROR(SUMIF('S6_24-25_AOUT'!$A$3:$A$113,$A15,'S6_24-25_AOUT'!$O$3:$O$113),0)</f>
        <v>0</v>
      </c>
      <c r="S15" s="8">
        <f>208</f>
        <v>208</v>
      </c>
      <c r="T15" s="8">
        <f t="shared" si="1"/>
        <v>10</v>
      </c>
      <c r="U15" s="10" t="str">
        <f>IF(OR(IFERROR(INDEX(S1_26_JUIL!$P$3:$P$113,MATCH($A15,S1_26_JUIL!$A$3:$A$113,0)),"")="STC",IFERROR(INDEX('S2_27_JUIL-02_AOUT'!$V$3:$V$113,MATCH($A15,'S2_27_JUIL-02_AOUT'!$A$3:$A$113,0)),"")="STC",IFERROR(INDEX('S3_03-09_AOUT'!$V$3:$V$113,MATCH($A15,'S3_03-09_AOUT'!$A$3:$A$113,0)),"")="STC",IFERROR(INDEX('S4_10-16_AOUT'!$V$3:$V$113,MATCH($A15,'S4_10-16_AOUT'!$A$3:$A$113,0)),"")="STC",IFERROR(INDEX('S5_17-23_AOUT'!$V$3:$V$113,MATCH($A15,'S5_17-23_AOUT'!$A$3:$A$113,0)),"")="STC",IFERROR(INDEX('S6_24-25_AOUT'!$Q$3:$Q$113,MATCH($A15,'S6_24-25_AOUT'!$A$3:$A$113,0)),"")="STC"),"STC",IF(OR(IFERROR(INDEX(S1_26_JUIL!$P$3:$P$113,MATCH($A15,S1_26_JUIL!$A$3:$A$113,0)),"")="À vérifier",IFERROR(INDEX('S2_27_JUIL-02_AOUT'!$V$3:$V$113,MATCH($A15,'S2_27_JUIL-02_AOUT'!$A$3:$A$113,0)),"")="À vérifier",IFERROR(INDEX('S3_03-09_AOUT'!$V$3:$V$113,MATCH($A15,'S3_03-09_AOUT'!$A$3:$A$113,0)),"")="À vérifier",IFERROR(INDEX('S4_10-16_AOUT'!$V$3:$V$113,MATCH($A15,'S4_10-16_AOUT'!$A$3:$A$113,0)),"")="À vérifier",IFERROR(INDEX('S5_17-23_AOUT'!$V$3:$V$113,MATCH($A15,'S5_17-23_AOUT'!$A$3:$A$113,0)),"")="À vérifier",IFERROR(INDEX('S6_24-25_AOUT'!$Q$3:$Q$113,MATCH($A15,'S6_24-25_AOUT'!$A$3:$A$113,0)),"")="À vérifier",ABS(L15-T15)&gt;=0.01),"À vérifier","OK"))</f>
        <v>OK</v>
      </c>
    </row>
    <row r="16" spans="1:21">
      <c r="A16" s="12" t="s">
        <v>57</v>
      </c>
      <c r="B16" s="12" t="s">
        <v>58</v>
      </c>
      <c r="C16" s="13" t="s">
        <v>59</v>
      </c>
      <c r="D16" s="12" t="s">
        <v>49</v>
      </c>
      <c r="E16" s="10" t="s">
        <v>21</v>
      </c>
      <c r="F16" s="8">
        <f>IFERROR(SUMIF(S1_26_JUIL!$A$3:$A$113,$A16,S1_26_JUIL!$O$3:$O$113),0)</f>
        <v>0</v>
      </c>
      <c r="G16" s="8">
        <f>IFERROR(SUMIF('S2_27_JUIL-02_AOUT'!$A$3:$A$113,$A16,'S2_27_JUIL-02_AOUT'!$U$3:$U$113),0)</f>
        <v>38</v>
      </c>
      <c r="H16" s="8">
        <f>IFERROR(SUMIF('S3_03-09_AOUT'!$A$3:$A$113,$A16,'S3_03-09_AOUT'!$U$3:$U$113),0)</f>
        <v>0</v>
      </c>
      <c r="I16" s="8">
        <f>IFERROR(SUMIF('S4_10-16_AOUT'!$A$3:$A$113,$A16,'S4_10-16_AOUT'!$U$3:$U$113),0)</f>
        <v>0</v>
      </c>
      <c r="J16" s="8">
        <f>IFERROR(SUMIF('S5_17-23_AOUT'!$A$3:$A$113,$A16,'S5_17-23_AOUT'!$U$3:$U$113),0)</f>
        <v>0</v>
      </c>
      <c r="K16" s="8">
        <f>IFERROR(SUMIF('S6_24-25_AOUT'!$A$3:$A$113,$A16,'S6_24-25_AOUT'!$P$3:$P$113),0)</f>
        <v>0</v>
      </c>
      <c r="L16" s="8">
        <f t="shared" si="0"/>
        <v>38</v>
      </c>
      <c r="M16" s="8">
        <f>IFERROR(SUMIF(S1_26_JUIL!$A$3:$A$113,$A16,S1_26_JUIL!$I$3:$I$113),0)+IFERROR(SUMIF('S2_27_JUIL-02_AOUT'!$A$3:$A$113,$A16,'S2_27_JUIL-02_AOUT'!$O$3:$O$113),0)+IFERROR(SUMIF('S3_03-09_AOUT'!$A$3:$A$113,$A16,'S3_03-09_AOUT'!$O$3:$O$113),0)+IFERROR(SUMIF('S4_10-16_AOUT'!$A$3:$A$113,$A16,'S4_10-16_AOUT'!$O$3:$O$113),0)+IFERROR(SUMIF('S5_17-23_AOUT'!$A$3:$A$113,$A16,'S5_17-23_AOUT'!$O$3:$O$113),0)+IFERROR(SUMIF('S6_24-25_AOUT'!$A$3:$A$113,$A16,'S6_24-25_AOUT'!$J$3:$J$113),0)</f>
        <v>38</v>
      </c>
      <c r="N16" s="9">
        <f>IFERROR(SUMIF(S1_26_JUIL!$A$3:$A$113,$A16,S1_26_JUIL!$J$3:$J$113),0)+IFERROR(SUMIF('S2_27_JUIL-02_AOUT'!$A$3:$A$113,$A16,'S2_27_JUIL-02_AOUT'!$P$3:$P$113),0)+IFERROR(SUMIF('S3_03-09_AOUT'!$A$3:$A$113,$A16,'S3_03-09_AOUT'!$P$3:$P$113),0)+IFERROR(SUMIF('S4_10-16_AOUT'!$A$3:$A$113,$A16,'S4_10-16_AOUT'!$P$3:$P$113),0)+IFERROR(SUMIF('S5_17-23_AOUT'!$A$3:$A$113,$A16,'S5_17-23_AOUT'!$P$3:$P$113),0)+IFERROR(SUMIF('S6_24-25_AOUT'!$A$3:$A$113,$A16,'S6_24-25_AOUT'!$K$3:$K$113),0)</f>
        <v>0</v>
      </c>
      <c r="O16" s="9">
        <f>IFERROR(SUMIF(S1_26_JUIL!$A$3:$A$113,$A16,S1_26_JUIL!$K$3:$K$113),0)+IFERROR(SUMIF('S2_27_JUIL-02_AOUT'!$A$3:$A$113,$A16,'S2_27_JUIL-02_AOUT'!$Q$3:$Q$113),0)+IFERROR(SUMIF('S3_03-09_AOUT'!$A$3:$A$113,$A16,'S3_03-09_AOUT'!$Q$3:$Q$113),0)+IFERROR(SUMIF('S4_10-16_AOUT'!$A$3:$A$113,$A16,'S4_10-16_AOUT'!$Q$3:$Q$113),0)+IFERROR(SUMIF('S5_17-23_AOUT'!$A$3:$A$113,$A16,'S5_17-23_AOUT'!$Q$3:$Q$113),0)+IFERROR(SUMIF('S6_24-25_AOUT'!$A$3:$A$113,$A16,'S6_24-25_AOUT'!$L$3:$L$113),0)</f>
        <v>0</v>
      </c>
      <c r="P16" s="8">
        <f>IFERROR(SUMIF(S1_26_JUIL!$A$3:$A$113,$A16,S1_26_JUIL!$L$3:$L$113),0)+IFERROR(SUMIF('S2_27_JUIL-02_AOUT'!$A$3:$A$113,$A16,'S2_27_JUIL-02_AOUT'!$R$3:$R$113),0)+IFERROR(SUMIF('S3_03-09_AOUT'!$A$3:$A$113,$A16,'S3_03-09_AOUT'!$R$3:$R$113),0)+IFERROR(SUMIF('S4_10-16_AOUT'!$A$3:$A$113,$A16,'S4_10-16_AOUT'!$R$3:$R$113),0)+IFERROR(SUMIF('S5_17-23_AOUT'!$A$3:$A$113,$A16,'S5_17-23_AOUT'!$R$3:$R$113),0)+IFERROR(SUMIF('S6_24-25_AOUT'!$A$3:$A$113,$A16,'S6_24-25_AOUT'!$M$3:$M$113),0)</f>
        <v>0</v>
      </c>
      <c r="Q16" s="8">
        <f>IFERROR(SUMIF(S1_26_JUIL!$A$3:$A$113,$A16,S1_26_JUIL!$M$3:$M$113),0)+IFERROR(SUMIF('S2_27_JUIL-02_AOUT'!$A$3:$A$113,$A16,'S2_27_JUIL-02_AOUT'!$S$3:$S$113),0)+IFERROR(SUMIF('S3_03-09_AOUT'!$A$3:$A$113,$A16,'S3_03-09_AOUT'!$S$3:$S$113),0)+IFERROR(SUMIF('S4_10-16_AOUT'!$A$3:$A$113,$A16,'S4_10-16_AOUT'!$S$3:$S$113),0)+IFERROR(SUMIF('S5_17-23_AOUT'!$A$3:$A$113,$A16,'S5_17-23_AOUT'!$S$3:$S$113),0)+IFERROR(SUMIF('S6_24-25_AOUT'!$A$3:$A$113,$A16,'S6_24-25_AOUT'!$N$3:$N$113),0)</f>
        <v>0</v>
      </c>
      <c r="R16" s="11">
        <f>IFERROR(SUMIF(S1_26_JUIL!$A$3:$A$113,$A16,S1_26_JUIL!$N$3:$N$113),0)+IFERROR(SUMIF('S2_27_JUIL-02_AOUT'!$A$3:$A$113,$A16,'S2_27_JUIL-02_AOUT'!$T$3:$T$113),0)+IFERROR(SUMIF('S3_03-09_AOUT'!$A$3:$A$113,$A16,'S3_03-09_AOUT'!$T$3:$T$113),0)+IFERROR(SUMIF('S4_10-16_AOUT'!$A$3:$A$113,$A16,'S4_10-16_AOUT'!$T$3:$T$113),0)+IFERROR(SUMIF('S5_17-23_AOUT'!$A$3:$A$113,$A16,'S5_17-23_AOUT'!$T$3:$T$113),0)+IFERROR(SUMIF('S6_24-25_AOUT'!$A$3:$A$113,$A16,'S6_24-25_AOUT'!$O$3:$O$113),0)</f>
        <v>0</v>
      </c>
      <c r="S16" s="8">
        <f>208</f>
        <v>208</v>
      </c>
      <c r="T16" s="8">
        <f t="shared" si="1"/>
        <v>38</v>
      </c>
      <c r="U16" s="10" t="str">
        <f>IF(OR(IFERROR(INDEX(S1_26_JUIL!$P$3:$P$113,MATCH($A16,S1_26_JUIL!$A$3:$A$113,0)),"")="STC",IFERROR(INDEX('S2_27_JUIL-02_AOUT'!$V$3:$V$113,MATCH($A16,'S2_27_JUIL-02_AOUT'!$A$3:$A$113,0)),"")="STC",IFERROR(INDEX('S3_03-09_AOUT'!$V$3:$V$113,MATCH($A16,'S3_03-09_AOUT'!$A$3:$A$113,0)),"")="STC",IFERROR(INDEX('S4_10-16_AOUT'!$V$3:$V$113,MATCH($A16,'S4_10-16_AOUT'!$A$3:$A$113,0)),"")="STC",IFERROR(INDEX('S5_17-23_AOUT'!$V$3:$V$113,MATCH($A16,'S5_17-23_AOUT'!$A$3:$A$113,0)),"")="STC",IFERROR(INDEX('S6_24-25_AOUT'!$Q$3:$Q$113,MATCH($A16,'S6_24-25_AOUT'!$A$3:$A$113,0)),"")="STC"),"STC",IF(OR(IFERROR(INDEX(S1_26_JUIL!$P$3:$P$113,MATCH($A16,S1_26_JUIL!$A$3:$A$113,0)),"")="À vérifier",IFERROR(INDEX('S2_27_JUIL-02_AOUT'!$V$3:$V$113,MATCH($A16,'S2_27_JUIL-02_AOUT'!$A$3:$A$113,0)),"")="À vérifier",IFERROR(INDEX('S3_03-09_AOUT'!$V$3:$V$113,MATCH($A16,'S3_03-09_AOUT'!$A$3:$A$113,0)),"")="À vérifier",IFERROR(INDEX('S4_10-16_AOUT'!$V$3:$V$113,MATCH($A16,'S4_10-16_AOUT'!$A$3:$A$113,0)),"")="À vérifier",IFERROR(INDEX('S5_17-23_AOUT'!$V$3:$V$113,MATCH($A16,'S5_17-23_AOUT'!$A$3:$A$113,0)),"")="À vérifier",IFERROR(INDEX('S6_24-25_AOUT'!$Q$3:$Q$113,MATCH($A16,'S6_24-25_AOUT'!$A$3:$A$113,0)),"")="À vérifier",ABS(L16-T16)&gt;=0.01),"À vérifier","OK"))</f>
        <v>OK</v>
      </c>
    </row>
    <row r="17" spans="1:21">
      <c r="A17" s="12" t="s">
        <v>60</v>
      </c>
      <c r="B17" s="12" t="s">
        <v>58</v>
      </c>
      <c r="C17" s="13" t="s">
        <v>61</v>
      </c>
      <c r="D17" s="12" t="s">
        <v>49</v>
      </c>
      <c r="E17" s="10" t="s">
        <v>21</v>
      </c>
      <c r="F17" s="8">
        <f>IFERROR(SUMIF(S1_26_JUIL!$A$3:$A$113,$A17,S1_26_JUIL!$O$3:$O$113),0)</f>
        <v>0</v>
      </c>
      <c r="G17" s="8">
        <f>IFERROR(SUMIF('S2_27_JUIL-02_AOUT'!$A$3:$A$113,$A17,'S2_27_JUIL-02_AOUT'!$U$3:$U$113),0)</f>
        <v>38</v>
      </c>
      <c r="H17" s="8">
        <f>IFERROR(SUMIF('S3_03-09_AOUT'!$A$3:$A$113,$A17,'S3_03-09_AOUT'!$U$3:$U$113),0)</f>
        <v>0</v>
      </c>
      <c r="I17" s="8">
        <f>IFERROR(SUMIF('S4_10-16_AOUT'!$A$3:$A$113,$A17,'S4_10-16_AOUT'!$U$3:$U$113),0)</f>
        <v>0</v>
      </c>
      <c r="J17" s="8">
        <f>IFERROR(SUMIF('S5_17-23_AOUT'!$A$3:$A$113,$A17,'S5_17-23_AOUT'!$U$3:$U$113),0)</f>
        <v>0</v>
      </c>
      <c r="K17" s="8">
        <f>IFERROR(SUMIF('S6_24-25_AOUT'!$A$3:$A$113,$A17,'S6_24-25_AOUT'!$P$3:$P$113),0)</f>
        <v>0</v>
      </c>
      <c r="L17" s="8">
        <f t="shared" si="0"/>
        <v>38</v>
      </c>
      <c r="M17" s="8">
        <f>IFERROR(SUMIF(S1_26_JUIL!$A$3:$A$113,$A17,S1_26_JUIL!$I$3:$I$113),0)+IFERROR(SUMIF('S2_27_JUIL-02_AOUT'!$A$3:$A$113,$A17,'S2_27_JUIL-02_AOUT'!$O$3:$O$113),0)+IFERROR(SUMIF('S3_03-09_AOUT'!$A$3:$A$113,$A17,'S3_03-09_AOUT'!$O$3:$O$113),0)+IFERROR(SUMIF('S4_10-16_AOUT'!$A$3:$A$113,$A17,'S4_10-16_AOUT'!$O$3:$O$113),0)+IFERROR(SUMIF('S5_17-23_AOUT'!$A$3:$A$113,$A17,'S5_17-23_AOUT'!$O$3:$O$113),0)+IFERROR(SUMIF('S6_24-25_AOUT'!$A$3:$A$113,$A17,'S6_24-25_AOUT'!$J$3:$J$113),0)</f>
        <v>38</v>
      </c>
      <c r="N17" s="9">
        <f>IFERROR(SUMIF(S1_26_JUIL!$A$3:$A$113,$A17,S1_26_JUIL!$J$3:$J$113),0)+IFERROR(SUMIF('S2_27_JUIL-02_AOUT'!$A$3:$A$113,$A17,'S2_27_JUIL-02_AOUT'!$P$3:$P$113),0)+IFERROR(SUMIF('S3_03-09_AOUT'!$A$3:$A$113,$A17,'S3_03-09_AOUT'!$P$3:$P$113),0)+IFERROR(SUMIF('S4_10-16_AOUT'!$A$3:$A$113,$A17,'S4_10-16_AOUT'!$P$3:$P$113),0)+IFERROR(SUMIF('S5_17-23_AOUT'!$A$3:$A$113,$A17,'S5_17-23_AOUT'!$P$3:$P$113),0)+IFERROR(SUMIF('S6_24-25_AOUT'!$A$3:$A$113,$A17,'S6_24-25_AOUT'!$K$3:$K$113),0)</f>
        <v>0</v>
      </c>
      <c r="O17" s="9">
        <f>IFERROR(SUMIF(S1_26_JUIL!$A$3:$A$113,$A17,S1_26_JUIL!$K$3:$K$113),0)+IFERROR(SUMIF('S2_27_JUIL-02_AOUT'!$A$3:$A$113,$A17,'S2_27_JUIL-02_AOUT'!$Q$3:$Q$113),0)+IFERROR(SUMIF('S3_03-09_AOUT'!$A$3:$A$113,$A17,'S3_03-09_AOUT'!$Q$3:$Q$113),0)+IFERROR(SUMIF('S4_10-16_AOUT'!$A$3:$A$113,$A17,'S4_10-16_AOUT'!$Q$3:$Q$113),0)+IFERROR(SUMIF('S5_17-23_AOUT'!$A$3:$A$113,$A17,'S5_17-23_AOUT'!$Q$3:$Q$113),0)+IFERROR(SUMIF('S6_24-25_AOUT'!$A$3:$A$113,$A17,'S6_24-25_AOUT'!$L$3:$L$113),0)</f>
        <v>0</v>
      </c>
      <c r="P17" s="8">
        <f>IFERROR(SUMIF(S1_26_JUIL!$A$3:$A$113,$A17,S1_26_JUIL!$L$3:$L$113),0)+IFERROR(SUMIF('S2_27_JUIL-02_AOUT'!$A$3:$A$113,$A17,'S2_27_JUIL-02_AOUT'!$R$3:$R$113),0)+IFERROR(SUMIF('S3_03-09_AOUT'!$A$3:$A$113,$A17,'S3_03-09_AOUT'!$R$3:$R$113),0)+IFERROR(SUMIF('S4_10-16_AOUT'!$A$3:$A$113,$A17,'S4_10-16_AOUT'!$R$3:$R$113),0)+IFERROR(SUMIF('S5_17-23_AOUT'!$A$3:$A$113,$A17,'S5_17-23_AOUT'!$R$3:$R$113),0)+IFERROR(SUMIF('S6_24-25_AOUT'!$A$3:$A$113,$A17,'S6_24-25_AOUT'!$M$3:$M$113),0)</f>
        <v>0</v>
      </c>
      <c r="Q17" s="8">
        <f>IFERROR(SUMIF(S1_26_JUIL!$A$3:$A$113,$A17,S1_26_JUIL!$M$3:$M$113),0)+IFERROR(SUMIF('S2_27_JUIL-02_AOUT'!$A$3:$A$113,$A17,'S2_27_JUIL-02_AOUT'!$S$3:$S$113),0)+IFERROR(SUMIF('S3_03-09_AOUT'!$A$3:$A$113,$A17,'S3_03-09_AOUT'!$S$3:$S$113),0)+IFERROR(SUMIF('S4_10-16_AOUT'!$A$3:$A$113,$A17,'S4_10-16_AOUT'!$S$3:$S$113),0)+IFERROR(SUMIF('S5_17-23_AOUT'!$A$3:$A$113,$A17,'S5_17-23_AOUT'!$S$3:$S$113),0)+IFERROR(SUMIF('S6_24-25_AOUT'!$A$3:$A$113,$A17,'S6_24-25_AOUT'!$N$3:$N$113),0)</f>
        <v>0</v>
      </c>
      <c r="R17" s="11">
        <f>IFERROR(SUMIF(S1_26_JUIL!$A$3:$A$113,$A17,S1_26_JUIL!$N$3:$N$113),0)+IFERROR(SUMIF('S2_27_JUIL-02_AOUT'!$A$3:$A$113,$A17,'S2_27_JUIL-02_AOUT'!$T$3:$T$113),0)+IFERROR(SUMIF('S3_03-09_AOUT'!$A$3:$A$113,$A17,'S3_03-09_AOUT'!$T$3:$T$113),0)+IFERROR(SUMIF('S4_10-16_AOUT'!$A$3:$A$113,$A17,'S4_10-16_AOUT'!$T$3:$T$113),0)+IFERROR(SUMIF('S5_17-23_AOUT'!$A$3:$A$113,$A17,'S5_17-23_AOUT'!$T$3:$T$113),0)+IFERROR(SUMIF('S6_24-25_AOUT'!$A$3:$A$113,$A17,'S6_24-25_AOUT'!$O$3:$O$113),0)</f>
        <v>0</v>
      </c>
      <c r="S17" s="8">
        <f>208</f>
        <v>208</v>
      </c>
      <c r="T17" s="8">
        <f t="shared" si="1"/>
        <v>38</v>
      </c>
      <c r="U17" s="10" t="str">
        <f>IF(OR(IFERROR(INDEX(S1_26_JUIL!$P$3:$P$113,MATCH($A17,S1_26_JUIL!$A$3:$A$113,0)),"")="STC",IFERROR(INDEX('S2_27_JUIL-02_AOUT'!$V$3:$V$113,MATCH($A17,'S2_27_JUIL-02_AOUT'!$A$3:$A$113,0)),"")="STC",IFERROR(INDEX('S3_03-09_AOUT'!$V$3:$V$113,MATCH($A17,'S3_03-09_AOUT'!$A$3:$A$113,0)),"")="STC",IFERROR(INDEX('S4_10-16_AOUT'!$V$3:$V$113,MATCH($A17,'S4_10-16_AOUT'!$A$3:$A$113,0)),"")="STC",IFERROR(INDEX('S5_17-23_AOUT'!$V$3:$V$113,MATCH($A17,'S5_17-23_AOUT'!$A$3:$A$113,0)),"")="STC",IFERROR(INDEX('S6_24-25_AOUT'!$Q$3:$Q$113,MATCH($A17,'S6_24-25_AOUT'!$A$3:$A$113,0)),"")="STC"),"STC",IF(OR(IFERROR(INDEX(S1_26_JUIL!$P$3:$P$113,MATCH($A17,S1_26_JUIL!$A$3:$A$113,0)),"")="À vérifier",IFERROR(INDEX('S2_27_JUIL-02_AOUT'!$V$3:$V$113,MATCH($A17,'S2_27_JUIL-02_AOUT'!$A$3:$A$113,0)),"")="À vérifier",IFERROR(INDEX('S3_03-09_AOUT'!$V$3:$V$113,MATCH($A17,'S3_03-09_AOUT'!$A$3:$A$113,0)),"")="À vérifier",IFERROR(INDEX('S4_10-16_AOUT'!$V$3:$V$113,MATCH($A17,'S4_10-16_AOUT'!$A$3:$A$113,0)),"")="À vérifier",IFERROR(INDEX('S5_17-23_AOUT'!$V$3:$V$113,MATCH($A17,'S5_17-23_AOUT'!$A$3:$A$113,0)),"")="À vérifier",IFERROR(INDEX('S6_24-25_AOUT'!$Q$3:$Q$113,MATCH($A17,'S6_24-25_AOUT'!$A$3:$A$113,0)),"")="À vérifier",ABS(L17-T17)&gt;=0.01),"À vérifier","OK"))</f>
        <v>OK</v>
      </c>
    </row>
    <row r="18" spans="1:21">
      <c r="A18" s="12">
        <v>158</v>
      </c>
      <c r="B18" s="12" t="s">
        <v>62</v>
      </c>
      <c r="C18" s="13" t="s">
        <v>63</v>
      </c>
      <c r="D18" s="12" t="s">
        <v>49</v>
      </c>
      <c r="E18" s="10" t="s">
        <v>21</v>
      </c>
      <c r="F18" s="8">
        <f>IFERROR(SUMIF(S1_26_JUIL!$A$3:$A$113,$A18,S1_26_JUIL!$O$3:$O$113),0)</f>
        <v>0</v>
      </c>
      <c r="G18" s="8">
        <f>IFERROR(SUMIF('S2_27_JUIL-02_AOUT'!$A$3:$A$113,$A18,'S2_27_JUIL-02_AOUT'!$U$3:$U$113),0)</f>
        <v>43.499999999999993</v>
      </c>
      <c r="H18" s="8">
        <f>IFERROR(SUMIF('S3_03-09_AOUT'!$A$3:$A$113,$A18,'S3_03-09_AOUT'!$U$3:$U$113),0)</f>
        <v>0</v>
      </c>
      <c r="I18" s="8">
        <f>IFERROR(SUMIF('S4_10-16_AOUT'!$A$3:$A$113,$A18,'S4_10-16_AOUT'!$U$3:$U$113),0)</f>
        <v>0</v>
      </c>
      <c r="J18" s="8">
        <f>IFERROR(SUMIF('S5_17-23_AOUT'!$A$3:$A$113,$A18,'S5_17-23_AOUT'!$U$3:$U$113),0)</f>
        <v>0</v>
      </c>
      <c r="K18" s="8">
        <f>IFERROR(SUMIF('S6_24-25_AOUT'!$A$3:$A$113,$A18,'S6_24-25_AOUT'!$P$3:$P$113),0)</f>
        <v>0</v>
      </c>
      <c r="L18" s="8">
        <f t="shared" si="0"/>
        <v>43.499999999999993</v>
      </c>
      <c r="M18" s="8">
        <f>IFERROR(SUMIF(S1_26_JUIL!$A$3:$A$113,$A18,S1_26_JUIL!$I$3:$I$113),0)+IFERROR(SUMIF('S2_27_JUIL-02_AOUT'!$A$3:$A$113,$A18,'S2_27_JUIL-02_AOUT'!$O$3:$O$113),0)+IFERROR(SUMIF('S3_03-09_AOUT'!$A$3:$A$113,$A18,'S3_03-09_AOUT'!$O$3:$O$113),0)+IFERROR(SUMIF('S4_10-16_AOUT'!$A$3:$A$113,$A18,'S4_10-16_AOUT'!$O$3:$O$113),0)+IFERROR(SUMIF('S5_17-23_AOUT'!$A$3:$A$113,$A18,'S5_17-23_AOUT'!$O$3:$O$113),0)+IFERROR(SUMIF('S6_24-25_AOUT'!$A$3:$A$113,$A18,'S6_24-25_AOUT'!$J$3:$J$113),0)</f>
        <v>43.499999999999993</v>
      </c>
      <c r="N18" s="9">
        <f>IFERROR(SUMIF(S1_26_JUIL!$A$3:$A$113,$A18,S1_26_JUIL!$J$3:$J$113),0)+IFERROR(SUMIF('S2_27_JUIL-02_AOUT'!$A$3:$A$113,$A18,'S2_27_JUIL-02_AOUT'!$P$3:$P$113),0)+IFERROR(SUMIF('S3_03-09_AOUT'!$A$3:$A$113,$A18,'S3_03-09_AOUT'!$P$3:$P$113),0)+IFERROR(SUMIF('S4_10-16_AOUT'!$A$3:$A$113,$A18,'S4_10-16_AOUT'!$P$3:$P$113),0)+IFERROR(SUMIF('S5_17-23_AOUT'!$A$3:$A$113,$A18,'S5_17-23_AOUT'!$P$3:$P$113),0)+IFERROR(SUMIF('S6_24-25_AOUT'!$A$3:$A$113,$A18,'S6_24-25_AOUT'!$K$3:$K$113),0)</f>
        <v>0</v>
      </c>
      <c r="O18" s="9">
        <f>IFERROR(SUMIF(S1_26_JUIL!$A$3:$A$113,$A18,S1_26_JUIL!$K$3:$K$113),0)+IFERROR(SUMIF('S2_27_JUIL-02_AOUT'!$A$3:$A$113,$A18,'S2_27_JUIL-02_AOUT'!$Q$3:$Q$113),0)+IFERROR(SUMIF('S3_03-09_AOUT'!$A$3:$A$113,$A18,'S3_03-09_AOUT'!$Q$3:$Q$113),0)+IFERROR(SUMIF('S4_10-16_AOUT'!$A$3:$A$113,$A18,'S4_10-16_AOUT'!$Q$3:$Q$113),0)+IFERROR(SUMIF('S5_17-23_AOUT'!$A$3:$A$113,$A18,'S5_17-23_AOUT'!$Q$3:$Q$113),0)+IFERROR(SUMIF('S6_24-25_AOUT'!$A$3:$A$113,$A18,'S6_24-25_AOUT'!$L$3:$L$113),0)</f>
        <v>0</v>
      </c>
      <c r="P18" s="8">
        <f>IFERROR(SUMIF(S1_26_JUIL!$A$3:$A$113,$A18,S1_26_JUIL!$L$3:$L$113),0)+IFERROR(SUMIF('S2_27_JUIL-02_AOUT'!$A$3:$A$113,$A18,'S2_27_JUIL-02_AOUT'!$R$3:$R$113),0)+IFERROR(SUMIF('S3_03-09_AOUT'!$A$3:$A$113,$A18,'S3_03-09_AOUT'!$R$3:$R$113),0)+IFERROR(SUMIF('S4_10-16_AOUT'!$A$3:$A$113,$A18,'S4_10-16_AOUT'!$R$3:$R$113),0)+IFERROR(SUMIF('S5_17-23_AOUT'!$A$3:$A$113,$A18,'S5_17-23_AOUT'!$R$3:$R$113),0)+IFERROR(SUMIF('S6_24-25_AOUT'!$A$3:$A$113,$A18,'S6_24-25_AOUT'!$M$3:$M$113),0)</f>
        <v>0</v>
      </c>
      <c r="Q18" s="8">
        <f>IFERROR(SUMIF(S1_26_JUIL!$A$3:$A$113,$A18,S1_26_JUIL!$M$3:$M$113),0)+IFERROR(SUMIF('S2_27_JUIL-02_AOUT'!$A$3:$A$113,$A18,'S2_27_JUIL-02_AOUT'!$S$3:$S$113),0)+IFERROR(SUMIF('S3_03-09_AOUT'!$A$3:$A$113,$A18,'S3_03-09_AOUT'!$S$3:$S$113),0)+IFERROR(SUMIF('S4_10-16_AOUT'!$A$3:$A$113,$A18,'S4_10-16_AOUT'!$S$3:$S$113),0)+IFERROR(SUMIF('S5_17-23_AOUT'!$A$3:$A$113,$A18,'S5_17-23_AOUT'!$S$3:$S$113),0)+IFERROR(SUMIF('S6_24-25_AOUT'!$A$3:$A$113,$A18,'S6_24-25_AOUT'!$N$3:$N$113),0)</f>
        <v>0</v>
      </c>
      <c r="R18" s="11">
        <f>IFERROR(SUMIF(S1_26_JUIL!$A$3:$A$113,$A18,S1_26_JUIL!$N$3:$N$113),0)+IFERROR(SUMIF('S2_27_JUIL-02_AOUT'!$A$3:$A$113,$A18,'S2_27_JUIL-02_AOUT'!$T$3:$T$113),0)+IFERROR(SUMIF('S3_03-09_AOUT'!$A$3:$A$113,$A18,'S3_03-09_AOUT'!$T$3:$T$113),0)+IFERROR(SUMIF('S4_10-16_AOUT'!$A$3:$A$113,$A18,'S4_10-16_AOUT'!$T$3:$T$113),0)+IFERROR(SUMIF('S5_17-23_AOUT'!$A$3:$A$113,$A18,'S5_17-23_AOUT'!$T$3:$T$113),0)+IFERROR(SUMIF('S6_24-25_AOUT'!$A$3:$A$113,$A18,'S6_24-25_AOUT'!$O$3:$O$113),0)</f>
        <v>0</v>
      </c>
      <c r="S18" s="8">
        <f>208</f>
        <v>208</v>
      </c>
      <c r="T18" s="8">
        <f t="shared" si="1"/>
        <v>43.499999999999993</v>
      </c>
      <c r="U18" s="10" t="str">
        <f>IF(OR(IFERROR(INDEX(S1_26_JUIL!$P$3:$P$113,MATCH($A18,S1_26_JUIL!$A$3:$A$113,0)),"")="STC",IFERROR(INDEX('S2_27_JUIL-02_AOUT'!$V$3:$V$113,MATCH($A18,'S2_27_JUIL-02_AOUT'!$A$3:$A$113,0)),"")="STC",IFERROR(INDEX('S3_03-09_AOUT'!$V$3:$V$113,MATCH($A18,'S3_03-09_AOUT'!$A$3:$A$113,0)),"")="STC",IFERROR(INDEX('S4_10-16_AOUT'!$V$3:$V$113,MATCH($A18,'S4_10-16_AOUT'!$A$3:$A$113,0)),"")="STC",IFERROR(INDEX('S5_17-23_AOUT'!$V$3:$V$113,MATCH($A18,'S5_17-23_AOUT'!$A$3:$A$113,0)),"")="STC",IFERROR(INDEX('S6_24-25_AOUT'!$Q$3:$Q$113,MATCH($A18,'S6_24-25_AOUT'!$A$3:$A$113,0)),"")="STC"),"STC",IF(OR(IFERROR(INDEX(S1_26_JUIL!$P$3:$P$113,MATCH($A18,S1_26_JUIL!$A$3:$A$113,0)),"")="À vérifier",IFERROR(INDEX('S2_27_JUIL-02_AOUT'!$V$3:$V$113,MATCH($A18,'S2_27_JUIL-02_AOUT'!$A$3:$A$113,0)),"")="À vérifier",IFERROR(INDEX('S3_03-09_AOUT'!$V$3:$V$113,MATCH($A18,'S3_03-09_AOUT'!$A$3:$A$113,0)),"")="À vérifier",IFERROR(INDEX('S4_10-16_AOUT'!$V$3:$V$113,MATCH($A18,'S4_10-16_AOUT'!$A$3:$A$113,0)),"")="À vérifier",IFERROR(INDEX('S5_17-23_AOUT'!$V$3:$V$113,MATCH($A18,'S5_17-23_AOUT'!$A$3:$A$113,0)),"")="À vérifier",IFERROR(INDEX('S6_24-25_AOUT'!$Q$3:$Q$113,MATCH($A18,'S6_24-25_AOUT'!$A$3:$A$113,0)),"")="À vérifier",ABS(L18-T18)&gt;=0.01),"À vérifier","OK"))</f>
        <v>OK</v>
      </c>
    </row>
    <row r="19" spans="1:21">
      <c r="A19" s="12" t="s">
        <v>64</v>
      </c>
      <c r="B19" s="12" t="s">
        <v>65</v>
      </c>
      <c r="C19" s="13" t="s">
        <v>66</v>
      </c>
      <c r="D19" s="12" t="s">
        <v>49</v>
      </c>
      <c r="E19" s="10" t="s">
        <v>21</v>
      </c>
      <c r="F19" s="8">
        <f>IFERROR(SUMIF(S1_26_JUIL!$A$3:$A$113,$A19,S1_26_JUIL!$O$3:$O$113),0)</f>
        <v>0</v>
      </c>
      <c r="G19" s="8">
        <f>IFERROR(SUMIF('S2_27_JUIL-02_AOUT'!$A$3:$A$113,$A19,'S2_27_JUIL-02_AOUT'!$U$3:$U$113),0)</f>
        <v>48.5</v>
      </c>
      <c r="H19" s="8">
        <f>IFERROR(SUMIF('S3_03-09_AOUT'!$A$3:$A$113,$A19,'S3_03-09_AOUT'!$U$3:$U$113),0)</f>
        <v>0</v>
      </c>
      <c r="I19" s="8">
        <f>IFERROR(SUMIF('S4_10-16_AOUT'!$A$3:$A$113,$A19,'S4_10-16_AOUT'!$U$3:$U$113),0)</f>
        <v>0</v>
      </c>
      <c r="J19" s="8">
        <f>IFERROR(SUMIF('S5_17-23_AOUT'!$A$3:$A$113,$A19,'S5_17-23_AOUT'!$U$3:$U$113),0)</f>
        <v>0</v>
      </c>
      <c r="K19" s="8">
        <f>IFERROR(SUMIF('S6_24-25_AOUT'!$A$3:$A$113,$A19,'S6_24-25_AOUT'!$P$3:$P$113),0)</f>
        <v>0</v>
      </c>
      <c r="L19" s="8">
        <f t="shared" si="0"/>
        <v>48.5</v>
      </c>
      <c r="M19" s="8">
        <f>IFERROR(SUMIF(S1_26_JUIL!$A$3:$A$113,$A19,S1_26_JUIL!$I$3:$I$113),0)+IFERROR(SUMIF('S2_27_JUIL-02_AOUT'!$A$3:$A$113,$A19,'S2_27_JUIL-02_AOUT'!$O$3:$O$113),0)+IFERROR(SUMIF('S3_03-09_AOUT'!$A$3:$A$113,$A19,'S3_03-09_AOUT'!$O$3:$O$113),0)+IFERROR(SUMIF('S4_10-16_AOUT'!$A$3:$A$113,$A19,'S4_10-16_AOUT'!$O$3:$O$113),0)+IFERROR(SUMIF('S5_17-23_AOUT'!$A$3:$A$113,$A19,'S5_17-23_AOUT'!$O$3:$O$113),0)+IFERROR(SUMIF('S6_24-25_AOUT'!$A$3:$A$113,$A19,'S6_24-25_AOUT'!$J$3:$J$113),0)</f>
        <v>48</v>
      </c>
      <c r="N19" s="9">
        <f>IFERROR(SUMIF(S1_26_JUIL!$A$3:$A$113,$A19,S1_26_JUIL!$J$3:$J$113),0)+IFERROR(SUMIF('S2_27_JUIL-02_AOUT'!$A$3:$A$113,$A19,'S2_27_JUIL-02_AOUT'!$P$3:$P$113),0)+IFERROR(SUMIF('S3_03-09_AOUT'!$A$3:$A$113,$A19,'S3_03-09_AOUT'!$P$3:$P$113),0)+IFERROR(SUMIF('S4_10-16_AOUT'!$A$3:$A$113,$A19,'S4_10-16_AOUT'!$P$3:$P$113),0)+IFERROR(SUMIF('S5_17-23_AOUT'!$A$3:$A$113,$A19,'S5_17-23_AOUT'!$P$3:$P$113),0)+IFERROR(SUMIF('S6_24-25_AOUT'!$A$3:$A$113,$A19,'S6_24-25_AOUT'!$K$3:$K$113),0)</f>
        <v>0.5</v>
      </c>
      <c r="O19" s="9">
        <f>IFERROR(SUMIF(S1_26_JUIL!$A$3:$A$113,$A19,S1_26_JUIL!$K$3:$K$113),0)+IFERROR(SUMIF('S2_27_JUIL-02_AOUT'!$A$3:$A$113,$A19,'S2_27_JUIL-02_AOUT'!$Q$3:$Q$113),0)+IFERROR(SUMIF('S3_03-09_AOUT'!$A$3:$A$113,$A19,'S3_03-09_AOUT'!$Q$3:$Q$113),0)+IFERROR(SUMIF('S4_10-16_AOUT'!$A$3:$A$113,$A19,'S4_10-16_AOUT'!$Q$3:$Q$113),0)+IFERROR(SUMIF('S5_17-23_AOUT'!$A$3:$A$113,$A19,'S5_17-23_AOUT'!$Q$3:$Q$113),0)+IFERROR(SUMIF('S6_24-25_AOUT'!$A$3:$A$113,$A19,'S6_24-25_AOUT'!$L$3:$L$113),0)</f>
        <v>0</v>
      </c>
      <c r="P19" s="8">
        <f>IFERROR(SUMIF(S1_26_JUIL!$A$3:$A$113,$A19,S1_26_JUIL!$L$3:$L$113),0)+IFERROR(SUMIF('S2_27_JUIL-02_AOUT'!$A$3:$A$113,$A19,'S2_27_JUIL-02_AOUT'!$R$3:$R$113),0)+IFERROR(SUMIF('S3_03-09_AOUT'!$A$3:$A$113,$A19,'S3_03-09_AOUT'!$R$3:$R$113),0)+IFERROR(SUMIF('S4_10-16_AOUT'!$A$3:$A$113,$A19,'S4_10-16_AOUT'!$R$3:$R$113),0)+IFERROR(SUMIF('S5_17-23_AOUT'!$A$3:$A$113,$A19,'S5_17-23_AOUT'!$R$3:$R$113),0)+IFERROR(SUMIF('S6_24-25_AOUT'!$A$3:$A$113,$A19,'S6_24-25_AOUT'!$M$3:$M$113),0)</f>
        <v>0</v>
      </c>
      <c r="Q19" s="8">
        <f>IFERROR(SUMIF(S1_26_JUIL!$A$3:$A$113,$A19,S1_26_JUIL!$M$3:$M$113),0)+IFERROR(SUMIF('S2_27_JUIL-02_AOUT'!$A$3:$A$113,$A19,'S2_27_JUIL-02_AOUT'!$S$3:$S$113),0)+IFERROR(SUMIF('S3_03-09_AOUT'!$A$3:$A$113,$A19,'S3_03-09_AOUT'!$S$3:$S$113),0)+IFERROR(SUMIF('S4_10-16_AOUT'!$A$3:$A$113,$A19,'S4_10-16_AOUT'!$S$3:$S$113),0)+IFERROR(SUMIF('S5_17-23_AOUT'!$A$3:$A$113,$A19,'S5_17-23_AOUT'!$S$3:$S$113),0)+IFERROR(SUMIF('S6_24-25_AOUT'!$A$3:$A$113,$A19,'S6_24-25_AOUT'!$N$3:$N$113),0)</f>
        <v>0</v>
      </c>
      <c r="R19" s="11">
        <f>IFERROR(SUMIF(S1_26_JUIL!$A$3:$A$113,$A19,S1_26_JUIL!$N$3:$N$113),0)+IFERROR(SUMIF('S2_27_JUIL-02_AOUT'!$A$3:$A$113,$A19,'S2_27_JUIL-02_AOUT'!$T$3:$T$113),0)+IFERROR(SUMIF('S3_03-09_AOUT'!$A$3:$A$113,$A19,'S3_03-09_AOUT'!$T$3:$T$113),0)+IFERROR(SUMIF('S4_10-16_AOUT'!$A$3:$A$113,$A19,'S4_10-16_AOUT'!$T$3:$T$113),0)+IFERROR(SUMIF('S5_17-23_AOUT'!$A$3:$A$113,$A19,'S5_17-23_AOUT'!$T$3:$T$113),0)+IFERROR(SUMIF('S6_24-25_AOUT'!$A$3:$A$113,$A19,'S6_24-25_AOUT'!$O$3:$O$113),0)</f>
        <v>0</v>
      </c>
      <c r="S19" s="8">
        <f>208</f>
        <v>208</v>
      </c>
      <c r="T19" s="8">
        <f t="shared" si="1"/>
        <v>48.5</v>
      </c>
      <c r="U19" s="10" t="str">
        <f>IF(OR(IFERROR(INDEX(S1_26_JUIL!$P$3:$P$113,MATCH($A19,S1_26_JUIL!$A$3:$A$113,0)),"")="STC",IFERROR(INDEX('S2_27_JUIL-02_AOUT'!$V$3:$V$113,MATCH($A19,'S2_27_JUIL-02_AOUT'!$A$3:$A$113,0)),"")="STC",IFERROR(INDEX('S3_03-09_AOUT'!$V$3:$V$113,MATCH($A19,'S3_03-09_AOUT'!$A$3:$A$113,0)),"")="STC",IFERROR(INDEX('S4_10-16_AOUT'!$V$3:$V$113,MATCH($A19,'S4_10-16_AOUT'!$A$3:$A$113,0)),"")="STC",IFERROR(INDEX('S5_17-23_AOUT'!$V$3:$V$113,MATCH($A19,'S5_17-23_AOUT'!$A$3:$A$113,0)),"")="STC",IFERROR(INDEX('S6_24-25_AOUT'!$Q$3:$Q$113,MATCH($A19,'S6_24-25_AOUT'!$A$3:$A$113,0)),"")="STC"),"STC",IF(OR(IFERROR(INDEX(S1_26_JUIL!$P$3:$P$113,MATCH($A19,S1_26_JUIL!$A$3:$A$113,0)),"")="À vérifier",IFERROR(INDEX('S2_27_JUIL-02_AOUT'!$V$3:$V$113,MATCH($A19,'S2_27_JUIL-02_AOUT'!$A$3:$A$113,0)),"")="À vérifier",IFERROR(INDEX('S3_03-09_AOUT'!$V$3:$V$113,MATCH($A19,'S3_03-09_AOUT'!$A$3:$A$113,0)),"")="À vérifier",IFERROR(INDEX('S4_10-16_AOUT'!$V$3:$V$113,MATCH($A19,'S4_10-16_AOUT'!$A$3:$A$113,0)),"")="À vérifier",IFERROR(INDEX('S5_17-23_AOUT'!$V$3:$V$113,MATCH($A19,'S5_17-23_AOUT'!$A$3:$A$113,0)),"")="À vérifier",IFERROR(INDEX('S6_24-25_AOUT'!$Q$3:$Q$113,MATCH($A19,'S6_24-25_AOUT'!$A$3:$A$113,0)),"")="À vérifier",ABS(L19-T19)&gt;=0.01),"À vérifier","OK"))</f>
        <v>OK</v>
      </c>
    </row>
    <row r="20" spans="1:21">
      <c r="A20" s="12" t="s">
        <v>67</v>
      </c>
      <c r="B20" s="12" t="s">
        <v>68</v>
      </c>
      <c r="C20" s="13" t="s">
        <v>25</v>
      </c>
      <c r="D20" s="12" t="s">
        <v>69</v>
      </c>
      <c r="E20" s="10" t="s">
        <v>21</v>
      </c>
      <c r="F20" s="8">
        <f>IFERROR(SUMIF(S1_26_JUIL!$A$3:$A$113,$A20,S1_26_JUIL!$O$3:$O$113),0)</f>
        <v>0</v>
      </c>
      <c r="G20" s="8">
        <f>IFERROR(SUMIF('S2_27_JUIL-02_AOUT'!$A$3:$A$113,$A20,'S2_27_JUIL-02_AOUT'!$U$3:$U$113),0)</f>
        <v>46</v>
      </c>
      <c r="H20" s="8">
        <f>IFERROR(SUMIF('S3_03-09_AOUT'!$A$3:$A$113,$A20,'S3_03-09_AOUT'!$U$3:$U$113),0)</f>
        <v>0</v>
      </c>
      <c r="I20" s="8">
        <f>IFERROR(SUMIF('S4_10-16_AOUT'!$A$3:$A$113,$A20,'S4_10-16_AOUT'!$U$3:$U$113),0)</f>
        <v>0</v>
      </c>
      <c r="J20" s="8">
        <f>IFERROR(SUMIF('S5_17-23_AOUT'!$A$3:$A$113,$A20,'S5_17-23_AOUT'!$U$3:$U$113),0)</f>
        <v>0</v>
      </c>
      <c r="K20" s="8">
        <f>IFERROR(SUMIF('S6_24-25_AOUT'!$A$3:$A$113,$A20,'S6_24-25_AOUT'!$P$3:$P$113),0)</f>
        <v>0</v>
      </c>
      <c r="L20" s="8">
        <f t="shared" si="0"/>
        <v>46</v>
      </c>
      <c r="M20" s="8">
        <f>IFERROR(SUMIF(S1_26_JUIL!$A$3:$A$113,$A20,S1_26_JUIL!$I$3:$I$113),0)+IFERROR(SUMIF('S2_27_JUIL-02_AOUT'!$A$3:$A$113,$A20,'S2_27_JUIL-02_AOUT'!$O$3:$O$113),0)+IFERROR(SUMIF('S3_03-09_AOUT'!$A$3:$A$113,$A20,'S3_03-09_AOUT'!$O$3:$O$113),0)+IFERROR(SUMIF('S4_10-16_AOUT'!$A$3:$A$113,$A20,'S4_10-16_AOUT'!$O$3:$O$113),0)+IFERROR(SUMIF('S5_17-23_AOUT'!$A$3:$A$113,$A20,'S5_17-23_AOUT'!$O$3:$O$113),0)+IFERROR(SUMIF('S6_24-25_AOUT'!$A$3:$A$113,$A20,'S6_24-25_AOUT'!$J$3:$J$113),0)</f>
        <v>46</v>
      </c>
      <c r="N20" s="9">
        <f>IFERROR(SUMIF(S1_26_JUIL!$A$3:$A$113,$A20,S1_26_JUIL!$J$3:$J$113),0)+IFERROR(SUMIF('S2_27_JUIL-02_AOUT'!$A$3:$A$113,$A20,'S2_27_JUIL-02_AOUT'!$P$3:$P$113),0)+IFERROR(SUMIF('S3_03-09_AOUT'!$A$3:$A$113,$A20,'S3_03-09_AOUT'!$P$3:$P$113),0)+IFERROR(SUMIF('S4_10-16_AOUT'!$A$3:$A$113,$A20,'S4_10-16_AOUT'!$P$3:$P$113),0)+IFERROR(SUMIF('S5_17-23_AOUT'!$A$3:$A$113,$A20,'S5_17-23_AOUT'!$P$3:$P$113),0)+IFERROR(SUMIF('S6_24-25_AOUT'!$A$3:$A$113,$A20,'S6_24-25_AOUT'!$K$3:$K$113),0)</f>
        <v>0</v>
      </c>
      <c r="O20" s="9">
        <f>IFERROR(SUMIF(S1_26_JUIL!$A$3:$A$113,$A20,S1_26_JUIL!$K$3:$K$113),0)+IFERROR(SUMIF('S2_27_JUIL-02_AOUT'!$A$3:$A$113,$A20,'S2_27_JUIL-02_AOUT'!$Q$3:$Q$113),0)+IFERROR(SUMIF('S3_03-09_AOUT'!$A$3:$A$113,$A20,'S3_03-09_AOUT'!$Q$3:$Q$113),0)+IFERROR(SUMIF('S4_10-16_AOUT'!$A$3:$A$113,$A20,'S4_10-16_AOUT'!$Q$3:$Q$113),0)+IFERROR(SUMIF('S5_17-23_AOUT'!$A$3:$A$113,$A20,'S5_17-23_AOUT'!$Q$3:$Q$113),0)+IFERROR(SUMIF('S6_24-25_AOUT'!$A$3:$A$113,$A20,'S6_24-25_AOUT'!$L$3:$L$113),0)</f>
        <v>0</v>
      </c>
      <c r="P20" s="8">
        <f>IFERROR(SUMIF(S1_26_JUIL!$A$3:$A$113,$A20,S1_26_JUIL!$L$3:$L$113),0)+IFERROR(SUMIF('S2_27_JUIL-02_AOUT'!$A$3:$A$113,$A20,'S2_27_JUIL-02_AOUT'!$R$3:$R$113),0)+IFERROR(SUMIF('S3_03-09_AOUT'!$A$3:$A$113,$A20,'S3_03-09_AOUT'!$R$3:$R$113),0)+IFERROR(SUMIF('S4_10-16_AOUT'!$A$3:$A$113,$A20,'S4_10-16_AOUT'!$R$3:$R$113),0)+IFERROR(SUMIF('S5_17-23_AOUT'!$A$3:$A$113,$A20,'S5_17-23_AOUT'!$R$3:$R$113),0)+IFERROR(SUMIF('S6_24-25_AOUT'!$A$3:$A$113,$A20,'S6_24-25_AOUT'!$M$3:$M$113),0)</f>
        <v>0</v>
      </c>
      <c r="Q20" s="8">
        <f>IFERROR(SUMIF(S1_26_JUIL!$A$3:$A$113,$A20,S1_26_JUIL!$M$3:$M$113),0)+IFERROR(SUMIF('S2_27_JUIL-02_AOUT'!$A$3:$A$113,$A20,'S2_27_JUIL-02_AOUT'!$S$3:$S$113),0)+IFERROR(SUMIF('S3_03-09_AOUT'!$A$3:$A$113,$A20,'S3_03-09_AOUT'!$S$3:$S$113),0)+IFERROR(SUMIF('S4_10-16_AOUT'!$A$3:$A$113,$A20,'S4_10-16_AOUT'!$S$3:$S$113),0)+IFERROR(SUMIF('S5_17-23_AOUT'!$A$3:$A$113,$A20,'S5_17-23_AOUT'!$S$3:$S$113),0)+IFERROR(SUMIF('S6_24-25_AOUT'!$A$3:$A$113,$A20,'S6_24-25_AOUT'!$N$3:$N$113),0)</f>
        <v>0</v>
      </c>
      <c r="R20" s="11">
        <f>IFERROR(SUMIF(S1_26_JUIL!$A$3:$A$113,$A20,S1_26_JUIL!$N$3:$N$113),0)+IFERROR(SUMIF('S2_27_JUIL-02_AOUT'!$A$3:$A$113,$A20,'S2_27_JUIL-02_AOUT'!$T$3:$T$113),0)+IFERROR(SUMIF('S3_03-09_AOUT'!$A$3:$A$113,$A20,'S3_03-09_AOUT'!$T$3:$T$113),0)+IFERROR(SUMIF('S4_10-16_AOUT'!$A$3:$A$113,$A20,'S4_10-16_AOUT'!$T$3:$T$113),0)+IFERROR(SUMIF('S5_17-23_AOUT'!$A$3:$A$113,$A20,'S5_17-23_AOUT'!$T$3:$T$113),0)+IFERROR(SUMIF('S6_24-25_AOUT'!$A$3:$A$113,$A20,'S6_24-25_AOUT'!$O$3:$O$113),0)</f>
        <v>0</v>
      </c>
      <c r="S20" s="8">
        <f>208</f>
        <v>208</v>
      </c>
      <c r="T20" s="8">
        <f t="shared" si="1"/>
        <v>46</v>
      </c>
      <c r="U20" s="10" t="str">
        <f>IF(OR(IFERROR(INDEX(S1_26_JUIL!$P$3:$P$113,MATCH($A20,S1_26_JUIL!$A$3:$A$113,0)),"")="STC",IFERROR(INDEX('S2_27_JUIL-02_AOUT'!$V$3:$V$113,MATCH($A20,'S2_27_JUIL-02_AOUT'!$A$3:$A$113,0)),"")="STC",IFERROR(INDEX('S3_03-09_AOUT'!$V$3:$V$113,MATCH($A20,'S3_03-09_AOUT'!$A$3:$A$113,0)),"")="STC",IFERROR(INDEX('S4_10-16_AOUT'!$V$3:$V$113,MATCH($A20,'S4_10-16_AOUT'!$A$3:$A$113,0)),"")="STC",IFERROR(INDEX('S5_17-23_AOUT'!$V$3:$V$113,MATCH($A20,'S5_17-23_AOUT'!$A$3:$A$113,0)),"")="STC",IFERROR(INDEX('S6_24-25_AOUT'!$Q$3:$Q$113,MATCH($A20,'S6_24-25_AOUT'!$A$3:$A$113,0)),"")="STC"),"STC",IF(OR(IFERROR(INDEX(S1_26_JUIL!$P$3:$P$113,MATCH($A20,S1_26_JUIL!$A$3:$A$113,0)),"")="À vérifier",IFERROR(INDEX('S2_27_JUIL-02_AOUT'!$V$3:$V$113,MATCH($A20,'S2_27_JUIL-02_AOUT'!$A$3:$A$113,0)),"")="À vérifier",IFERROR(INDEX('S3_03-09_AOUT'!$V$3:$V$113,MATCH($A20,'S3_03-09_AOUT'!$A$3:$A$113,0)),"")="À vérifier",IFERROR(INDEX('S4_10-16_AOUT'!$V$3:$V$113,MATCH($A20,'S4_10-16_AOUT'!$A$3:$A$113,0)),"")="À vérifier",IFERROR(INDEX('S5_17-23_AOUT'!$V$3:$V$113,MATCH($A20,'S5_17-23_AOUT'!$A$3:$A$113,0)),"")="À vérifier",IFERROR(INDEX('S6_24-25_AOUT'!$Q$3:$Q$113,MATCH($A20,'S6_24-25_AOUT'!$A$3:$A$113,0)),"")="À vérifier",ABS(L20-T20)&gt;=0.01),"À vérifier","OK"))</f>
        <v>OK</v>
      </c>
    </row>
    <row r="21" spans="1:21">
      <c r="A21" s="12" t="s">
        <v>70</v>
      </c>
      <c r="B21" s="12" t="s">
        <v>71</v>
      </c>
      <c r="C21" s="13" t="s">
        <v>72</v>
      </c>
      <c r="D21" s="12" t="s">
        <v>69</v>
      </c>
      <c r="E21" s="10" t="s">
        <v>21</v>
      </c>
      <c r="F21" s="8">
        <f>IFERROR(SUMIF(S1_26_JUIL!$A$3:$A$113,$A21,S1_26_JUIL!$O$3:$O$113),0)</f>
        <v>0</v>
      </c>
      <c r="G21" s="8">
        <f>IFERROR(SUMIF('S2_27_JUIL-02_AOUT'!$A$3:$A$113,$A21,'S2_27_JUIL-02_AOUT'!$U$3:$U$113),0)</f>
        <v>46</v>
      </c>
      <c r="H21" s="8">
        <f>IFERROR(SUMIF('S3_03-09_AOUT'!$A$3:$A$113,$A21,'S3_03-09_AOUT'!$U$3:$U$113),0)</f>
        <v>0</v>
      </c>
      <c r="I21" s="8">
        <f>IFERROR(SUMIF('S4_10-16_AOUT'!$A$3:$A$113,$A21,'S4_10-16_AOUT'!$U$3:$U$113),0)</f>
        <v>0</v>
      </c>
      <c r="J21" s="8">
        <f>IFERROR(SUMIF('S5_17-23_AOUT'!$A$3:$A$113,$A21,'S5_17-23_AOUT'!$U$3:$U$113),0)</f>
        <v>0</v>
      </c>
      <c r="K21" s="8">
        <f>IFERROR(SUMIF('S6_24-25_AOUT'!$A$3:$A$113,$A21,'S6_24-25_AOUT'!$P$3:$P$113),0)</f>
        <v>0</v>
      </c>
      <c r="L21" s="8">
        <f t="shared" si="0"/>
        <v>46</v>
      </c>
      <c r="M21" s="8">
        <f>IFERROR(SUMIF(S1_26_JUIL!$A$3:$A$113,$A21,S1_26_JUIL!$I$3:$I$113),0)+IFERROR(SUMIF('S2_27_JUIL-02_AOUT'!$A$3:$A$113,$A21,'S2_27_JUIL-02_AOUT'!$O$3:$O$113),0)+IFERROR(SUMIF('S3_03-09_AOUT'!$A$3:$A$113,$A21,'S3_03-09_AOUT'!$O$3:$O$113),0)+IFERROR(SUMIF('S4_10-16_AOUT'!$A$3:$A$113,$A21,'S4_10-16_AOUT'!$O$3:$O$113),0)+IFERROR(SUMIF('S5_17-23_AOUT'!$A$3:$A$113,$A21,'S5_17-23_AOUT'!$O$3:$O$113),0)+IFERROR(SUMIF('S6_24-25_AOUT'!$A$3:$A$113,$A21,'S6_24-25_AOUT'!$J$3:$J$113),0)</f>
        <v>46</v>
      </c>
      <c r="N21" s="9">
        <f>IFERROR(SUMIF(S1_26_JUIL!$A$3:$A$113,$A21,S1_26_JUIL!$J$3:$J$113),0)+IFERROR(SUMIF('S2_27_JUIL-02_AOUT'!$A$3:$A$113,$A21,'S2_27_JUIL-02_AOUT'!$P$3:$P$113),0)+IFERROR(SUMIF('S3_03-09_AOUT'!$A$3:$A$113,$A21,'S3_03-09_AOUT'!$P$3:$P$113),0)+IFERROR(SUMIF('S4_10-16_AOUT'!$A$3:$A$113,$A21,'S4_10-16_AOUT'!$P$3:$P$113),0)+IFERROR(SUMIF('S5_17-23_AOUT'!$A$3:$A$113,$A21,'S5_17-23_AOUT'!$P$3:$P$113),0)+IFERROR(SUMIF('S6_24-25_AOUT'!$A$3:$A$113,$A21,'S6_24-25_AOUT'!$K$3:$K$113),0)</f>
        <v>0</v>
      </c>
      <c r="O21" s="9">
        <f>IFERROR(SUMIF(S1_26_JUIL!$A$3:$A$113,$A21,S1_26_JUIL!$K$3:$K$113),0)+IFERROR(SUMIF('S2_27_JUIL-02_AOUT'!$A$3:$A$113,$A21,'S2_27_JUIL-02_AOUT'!$Q$3:$Q$113),0)+IFERROR(SUMIF('S3_03-09_AOUT'!$A$3:$A$113,$A21,'S3_03-09_AOUT'!$Q$3:$Q$113),0)+IFERROR(SUMIF('S4_10-16_AOUT'!$A$3:$A$113,$A21,'S4_10-16_AOUT'!$Q$3:$Q$113),0)+IFERROR(SUMIF('S5_17-23_AOUT'!$A$3:$A$113,$A21,'S5_17-23_AOUT'!$Q$3:$Q$113),0)+IFERROR(SUMIF('S6_24-25_AOUT'!$A$3:$A$113,$A21,'S6_24-25_AOUT'!$L$3:$L$113),0)</f>
        <v>0</v>
      </c>
      <c r="P21" s="8">
        <f>IFERROR(SUMIF(S1_26_JUIL!$A$3:$A$113,$A21,S1_26_JUIL!$L$3:$L$113),0)+IFERROR(SUMIF('S2_27_JUIL-02_AOUT'!$A$3:$A$113,$A21,'S2_27_JUIL-02_AOUT'!$R$3:$R$113),0)+IFERROR(SUMIF('S3_03-09_AOUT'!$A$3:$A$113,$A21,'S3_03-09_AOUT'!$R$3:$R$113),0)+IFERROR(SUMIF('S4_10-16_AOUT'!$A$3:$A$113,$A21,'S4_10-16_AOUT'!$R$3:$R$113),0)+IFERROR(SUMIF('S5_17-23_AOUT'!$A$3:$A$113,$A21,'S5_17-23_AOUT'!$R$3:$R$113),0)+IFERROR(SUMIF('S6_24-25_AOUT'!$A$3:$A$113,$A21,'S6_24-25_AOUT'!$M$3:$M$113),0)</f>
        <v>0</v>
      </c>
      <c r="Q21" s="8">
        <f>IFERROR(SUMIF(S1_26_JUIL!$A$3:$A$113,$A21,S1_26_JUIL!$M$3:$M$113),0)+IFERROR(SUMIF('S2_27_JUIL-02_AOUT'!$A$3:$A$113,$A21,'S2_27_JUIL-02_AOUT'!$S$3:$S$113),0)+IFERROR(SUMIF('S3_03-09_AOUT'!$A$3:$A$113,$A21,'S3_03-09_AOUT'!$S$3:$S$113),0)+IFERROR(SUMIF('S4_10-16_AOUT'!$A$3:$A$113,$A21,'S4_10-16_AOUT'!$S$3:$S$113),0)+IFERROR(SUMIF('S5_17-23_AOUT'!$A$3:$A$113,$A21,'S5_17-23_AOUT'!$S$3:$S$113),0)+IFERROR(SUMIF('S6_24-25_AOUT'!$A$3:$A$113,$A21,'S6_24-25_AOUT'!$N$3:$N$113),0)</f>
        <v>0</v>
      </c>
      <c r="R21" s="11">
        <f>IFERROR(SUMIF(S1_26_JUIL!$A$3:$A$113,$A21,S1_26_JUIL!$N$3:$N$113),0)+IFERROR(SUMIF('S2_27_JUIL-02_AOUT'!$A$3:$A$113,$A21,'S2_27_JUIL-02_AOUT'!$T$3:$T$113),0)+IFERROR(SUMIF('S3_03-09_AOUT'!$A$3:$A$113,$A21,'S3_03-09_AOUT'!$T$3:$T$113),0)+IFERROR(SUMIF('S4_10-16_AOUT'!$A$3:$A$113,$A21,'S4_10-16_AOUT'!$T$3:$T$113),0)+IFERROR(SUMIF('S5_17-23_AOUT'!$A$3:$A$113,$A21,'S5_17-23_AOUT'!$T$3:$T$113),0)+IFERROR(SUMIF('S6_24-25_AOUT'!$A$3:$A$113,$A21,'S6_24-25_AOUT'!$O$3:$O$113),0)</f>
        <v>0</v>
      </c>
      <c r="S21" s="8">
        <f>208</f>
        <v>208</v>
      </c>
      <c r="T21" s="8">
        <f t="shared" si="1"/>
        <v>46</v>
      </c>
      <c r="U21" s="10" t="str">
        <f>IF(OR(IFERROR(INDEX(S1_26_JUIL!$P$3:$P$113,MATCH($A21,S1_26_JUIL!$A$3:$A$113,0)),"")="STC",IFERROR(INDEX('S2_27_JUIL-02_AOUT'!$V$3:$V$113,MATCH($A21,'S2_27_JUIL-02_AOUT'!$A$3:$A$113,0)),"")="STC",IFERROR(INDEX('S3_03-09_AOUT'!$V$3:$V$113,MATCH($A21,'S3_03-09_AOUT'!$A$3:$A$113,0)),"")="STC",IFERROR(INDEX('S4_10-16_AOUT'!$V$3:$V$113,MATCH($A21,'S4_10-16_AOUT'!$A$3:$A$113,0)),"")="STC",IFERROR(INDEX('S5_17-23_AOUT'!$V$3:$V$113,MATCH($A21,'S5_17-23_AOUT'!$A$3:$A$113,0)),"")="STC",IFERROR(INDEX('S6_24-25_AOUT'!$Q$3:$Q$113,MATCH($A21,'S6_24-25_AOUT'!$A$3:$A$113,0)),"")="STC"),"STC",IF(OR(IFERROR(INDEX(S1_26_JUIL!$P$3:$P$113,MATCH($A21,S1_26_JUIL!$A$3:$A$113,0)),"")="À vérifier",IFERROR(INDEX('S2_27_JUIL-02_AOUT'!$V$3:$V$113,MATCH($A21,'S2_27_JUIL-02_AOUT'!$A$3:$A$113,0)),"")="À vérifier",IFERROR(INDEX('S3_03-09_AOUT'!$V$3:$V$113,MATCH($A21,'S3_03-09_AOUT'!$A$3:$A$113,0)),"")="À vérifier",IFERROR(INDEX('S4_10-16_AOUT'!$V$3:$V$113,MATCH($A21,'S4_10-16_AOUT'!$A$3:$A$113,0)),"")="À vérifier",IFERROR(INDEX('S5_17-23_AOUT'!$V$3:$V$113,MATCH($A21,'S5_17-23_AOUT'!$A$3:$A$113,0)),"")="À vérifier",IFERROR(INDEX('S6_24-25_AOUT'!$Q$3:$Q$113,MATCH($A21,'S6_24-25_AOUT'!$A$3:$A$113,0)),"")="À vérifier",ABS(L21-T21)&gt;=0.01),"À vérifier","OK"))</f>
        <v>OK</v>
      </c>
    </row>
    <row r="22" spans="1:21">
      <c r="A22" s="12" t="s">
        <v>73</v>
      </c>
      <c r="B22" s="12" t="s">
        <v>74</v>
      </c>
      <c r="C22" s="13" t="s">
        <v>75</v>
      </c>
      <c r="D22" s="12" t="s">
        <v>69</v>
      </c>
      <c r="E22" s="10" t="s">
        <v>21</v>
      </c>
      <c r="F22" s="8">
        <f>IFERROR(SUMIF(S1_26_JUIL!$A$3:$A$113,$A22,S1_26_JUIL!$O$3:$O$113),0)</f>
        <v>0</v>
      </c>
      <c r="G22" s="8">
        <f>IFERROR(SUMIF('S2_27_JUIL-02_AOUT'!$A$3:$A$113,$A22,'S2_27_JUIL-02_AOUT'!$U$3:$U$113),0)</f>
        <v>0</v>
      </c>
      <c r="H22" s="8">
        <f>IFERROR(SUMIF('S3_03-09_AOUT'!$A$3:$A$113,$A22,'S3_03-09_AOUT'!$U$3:$U$113),0)</f>
        <v>0</v>
      </c>
      <c r="I22" s="8">
        <f>IFERROR(SUMIF('S4_10-16_AOUT'!$A$3:$A$113,$A22,'S4_10-16_AOUT'!$U$3:$U$113),0)</f>
        <v>0</v>
      </c>
      <c r="J22" s="8">
        <f>IFERROR(SUMIF('S5_17-23_AOUT'!$A$3:$A$113,$A22,'S5_17-23_AOUT'!$U$3:$U$113),0)</f>
        <v>0</v>
      </c>
      <c r="K22" s="8">
        <f>IFERROR(SUMIF('S6_24-25_AOUT'!$A$3:$A$113,$A22,'S6_24-25_AOUT'!$P$3:$P$113),0)</f>
        <v>0</v>
      </c>
      <c r="L22" s="8">
        <f t="shared" si="0"/>
        <v>0</v>
      </c>
      <c r="M22" s="8">
        <f>IFERROR(SUMIF(S1_26_JUIL!$A$3:$A$113,$A22,S1_26_JUIL!$I$3:$I$113),0)+IFERROR(SUMIF('S2_27_JUIL-02_AOUT'!$A$3:$A$113,$A22,'S2_27_JUIL-02_AOUT'!$O$3:$O$113),0)+IFERROR(SUMIF('S3_03-09_AOUT'!$A$3:$A$113,$A22,'S3_03-09_AOUT'!$O$3:$O$113),0)+IFERROR(SUMIF('S4_10-16_AOUT'!$A$3:$A$113,$A22,'S4_10-16_AOUT'!$O$3:$O$113),0)+IFERROR(SUMIF('S5_17-23_AOUT'!$A$3:$A$113,$A22,'S5_17-23_AOUT'!$O$3:$O$113),0)+IFERROR(SUMIF('S6_24-25_AOUT'!$A$3:$A$113,$A22,'S6_24-25_AOUT'!$J$3:$J$113),0)</f>
        <v>0</v>
      </c>
      <c r="N22" s="9">
        <f>IFERROR(SUMIF(S1_26_JUIL!$A$3:$A$113,$A22,S1_26_JUIL!$J$3:$J$113),0)+IFERROR(SUMIF('S2_27_JUIL-02_AOUT'!$A$3:$A$113,$A22,'S2_27_JUIL-02_AOUT'!$P$3:$P$113),0)+IFERROR(SUMIF('S3_03-09_AOUT'!$A$3:$A$113,$A22,'S3_03-09_AOUT'!$P$3:$P$113),0)+IFERROR(SUMIF('S4_10-16_AOUT'!$A$3:$A$113,$A22,'S4_10-16_AOUT'!$P$3:$P$113),0)+IFERROR(SUMIF('S5_17-23_AOUT'!$A$3:$A$113,$A22,'S5_17-23_AOUT'!$P$3:$P$113),0)+IFERROR(SUMIF('S6_24-25_AOUT'!$A$3:$A$113,$A22,'S6_24-25_AOUT'!$K$3:$K$113),0)</f>
        <v>0</v>
      </c>
      <c r="O22" s="9">
        <f>IFERROR(SUMIF(S1_26_JUIL!$A$3:$A$113,$A22,S1_26_JUIL!$K$3:$K$113),0)+IFERROR(SUMIF('S2_27_JUIL-02_AOUT'!$A$3:$A$113,$A22,'S2_27_JUIL-02_AOUT'!$Q$3:$Q$113),0)+IFERROR(SUMIF('S3_03-09_AOUT'!$A$3:$A$113,$A22,'S3_03-09_AOUT'!$Q$3:$Q$113),0)+IFERROR(SUMIF('S4_10-16_AOUT'!$A$3:$A$113,$A22,'S4_10-16_AOUT'!$Q$3:$Q$113),0)+IFERROR(SUMIF('S5_17-23_AOUT'!$A$3:$A$113,$A22,'S5_17-23_AOUT'!$Q$3:$Q$113),0)+IFERROR(SUMIF('S6_24-25_AOUT'!$A$3:$A$113,$A22,'S6_24-25_AOUT'!$L$3:$L$113),0)</f>
        <v>0</v>
      </c>
      <c r="P22" s="8">
        <f>IFERROR(SUMIF(S1_26_JUIL!$A$3:$A$113,$A22,S1_26_JUIL!$L$3:$L$113),0)+IFERROR(SUMIF('S2_27_JUIL-02_AOUT'!$A$3:$A$113,$A22,'S2_27_JUIL-02_AOUT'!$R$3:$R$113),0)+IFERROR(SUMIF('S3_03-09_AOUT'!$A$3:$A$113,$A22,'S3_03-09_AOUT'!$R$3:$R$113),0)+IFERROR(SUMIF('S4_10-16_AOUT'!$A$3:$A$113,$A22,'S4_10-16_AOUT'!$R$3:$R$113),0)+IFERROR(SUMIF('S5_17-23_AOUT'!$A$3:$A$113,$A22,'S5_17-23_AOUT'!$R$3:$R$113),0)+IFERROR(SUMIF('S6_24-25_AOUT'!$A$3:$A$113,$A22,'S6_24-25_AOUT'!$M$3:$M$113),0)</f>
        <v>0</v>
      </c>
      <c r="Q22" s="8">
        <f>IFERROR(SUMIF(S1_26_JUIL!$A$3:$A$113,$A22,S1_26_JUIL!$M$3:$M$113),0)+IFERROR(SUMIF('S2_27_JUIL-02_AOUT'!$A$3:$A$113,$A22,'S2_27_JUIL-02_AOUT'!$S$3:$S$113),0)+IFERROR(SUMIF('S3_03-09_AOUT'!$A$3:$A$113,$A22,'S3_03-09_AOUT'!$S$3:$S$113),0)+IFERROR(SUMIF('S4_10-16_AOUT'!$A$3:$A$113,$A22,'S4_10-16_AOUT'!$S$3:$S$113),0)+IFERROR(SUMIF('S5_17-23_AOUT'!$A$3:$A$113,$A22,'S5_17-23_AOUT'!$S$3:$S$113),0)+IFERROR(SUMIF('S6_24-25_AOUT'!$A$3:$A$113,$A22,'S6_24-25_AOUT'!$N$3:$N$113),0)</f>
        <v>0</v>
      </c>
      <c r="R22" s="11">
        <f>IFERROR(SUMIF(S1_26_JUIL!$A$3:$A$113,$A22,S1_26_JUIL!$N$3:$N$113),0)+IFERROR(SUMIF('S2_27_JUIL-02_AOUT'!$A$3:$A$113,$A22,'S2_27_JUIL-02_AOUT'!$T$3:$T$113),0)+IFERROR(SUMIF('S3_03-09_AOUT'!$A$3:$A$113,$A22,'S3_03-09_AOUT'!$T$3:$T$113),0)+IFERROR(SUMIF('S4_10-16_AOUT'!$A$3:$A$113,$A22,'S4_10-16_AOUT'!$T$3:$T$113),0)+IFERROR(SUMIF('S5_17-23_AOUT'!$A$3:$A$113,$A22,'S5_17-23_AOUT'!$T$3:$T$113),0)+IFERROR(SUMIF('S6_24-25_AOUT'!$A$3:$A$113,$A22,'S6_24-25_AOUT'!$O$3:$O$113),0)</f>
        <v>0</v>
      </c>
      <c r="S22" s="8">
        <f>208</f>
        <v>208</v>
      </c>
      <c r="T22" s="8">
        <f t="shared" si="1"/>
        <v>0</v>
      </c>
      <c r="U22" s="10" t="str">
        <f>IF(OR(IFERROR(INDEX(S1_26_JUIL!$P$3:$P$113,MATCH($A22,S1_26_JUIL!$A$3:$A$113,0)),"")="STC",IFERROR(INDEX('S2_27_JUIL-02_AOUT'!$V$3:$V$113,MATCH($A22,'S2_27_JUIL-02_AOUT'!$A$3:$A$113,0)),"")="STC",IFERROR(INDEX('S3_03-09_AOUT'!$V$3:$V$113,MATCH($A22,'S3_03-09_AOUT'!$A$3:$A$113,0)),"")="STC",IFERROR(INDEX('S4_10-16_AOUT'!$V$3:$V$113,MATCH($A22,'S4_10-16_AOUT'!$A$3:$A$113,0)),"")="STC",IFERROR(INDEX('S5_17-23_AOUT'!$V$3:$V$113,MATCH($A22,'S5_17-23_AOUT'!$A$3:$A$113,0)),"")="STC",IFERROR(INDEX('S6_24-25_AOUT'!$Q$3:$Q$113,MATCH($A22,'S6_24-25_AOUT'!$A$3:$A$113,0)),"")="STC"),"STC",IF(OR(IFERROR(INDEX(S1_26_JUIL!$P$3:$P$113,MATCH($A22,S1_26_JUIL!$A$3:$A$113,0)),"")="À vérifier",IFERROR(INDEX('S2_27_JUIL-02_AOUT'!$V$3:$V$113,MATCH($A22,'S2_27_JUIL-02_AOUT'!$A$3:$A$113,0)),"")="À vérifier",IFERROR(INDEX('S3_03-09_AOUT'!$V$3:$V$113,MATCH($A22,'S3_03-09_AOUT'!$A$3:$A$113,0)),"")="À vérifier",IFERROR(INDEX('S4_10-16_AOUT'!$V$3:$V$113,MATCH($A22,'S4_10-16_AOUT'!$A$3:$A$113,0)),"")="À vérifier",IFERROR(INDEX('S5_17-23_AOUT'!$V$3:$V$113,MATCH($A22,'S5_17-23_AOUT'!$A$3:$A$113,0)),"")="À vérifier",IFERROR(INDEX('S6_24-25_AOUT'!$Q$3:$Q$113,MATCH($A22,'S6_24-25_AOUT'!$A$3:$A$113,0)),"")="À vérifier",ABS(L22-T22)&gt;=0.01),"À vérifier","OK"))</f>
        <v>STC</v>
      </c>
    </row>
    <row r="23" spans="1:21">
      <c r="A23" s="12">
        <v>97</v>
      </c>
      <c r="B23" s="12" t="s">
        <v>76</v>
      </c>
      <c r="C23" s="13" t="s">
        <v>77</v>
      </c>
      <c r="D23" s="12" t="s">
        <v>69</v>
      </c>
      <c r="E23" s="10" t="s">
        <v>21</v>
      </c>
      <c r="F23" s="8">
        <f>IFERROR(SUMIF(S1_26_JUIL!$A$3:$A$113,$A23,S1_26_JUIL!$O$3:$O$113),0)</f>
        <v>0</v>
      </c>
      <c r="G23" s="8">
        <f>IFERROR(SUMIF('S2_27_JUIL-02_AOUT'!$A$3:$A$113,$A23,'S2_27_JUIL-02_AOUT'!$U$3:$U$113),0)</f>
        <v>9.5</v>
      </c>
      <c r="H23" s="8">
        <f>IFERROR(SUMIF('S3_03-09_AOUT'!$A$3:$A$113,$A23,'S3_03-09_AOUT'!$U$3:$U$113),0)</f>
        <v>0</v>
      </c>
      <c r="I23" s="8">
        <f>IFERROR(SUMIF('S4_10-16_AOUT'!$A$3:$A$113,$A23,'S4_10-16_AOUT'!$U$3:$U$113),0)</f>
        <v>0</v>
      </c>
      <c r="J23" s="8">
        <f>IFERROR(SUMIF('S5_17-23_AOUT'!$A$3:$A$113,$A23,'S5_17-23_AOUT'!$U$3:$U$113),0)</f>
        <v>0</v>
      </c>
      <c r="K23" s="8">
        <f>IFERROR(SUMIF('S6_24-25_AOUT'!$A$3:$A$113,$A23,'S6_24-25_AOUT'!$P$3:$P$113),0)</f>
        <v>0</v>
      </c>
      <c r="L23" s="8">
        <f t="shared" si="0"/>
        <v>9.5</v>
      </c>
      <c r="M23" s="8">
        <f>IFERROR(SUMIF(S1_26_JUIL!$A$3:$A$113,$A23,S1_26_JUIL!$I$3:$I$113),0)+IFERROR(SUMIF('S2_27_JUIL-02_AOUT'!$A$3:$A$113,$A23,'S2_27_JUIL-02_AOUT'!$O$3:$O$113),0)+IFERROR(SUMIF('S3_03-09_AOUT'!$A$3:$A$113,$A23,'S3_03-09_AOUT'!$O$3:$O$113),0)+IFERROR(SUMIF('S4_10-16_AOUT'!$A$3:$A$113,$A23,'S4_10-16_AOUT'!$O$3:$O$113),0)+IFERROR(SUMIF('S5_17-23_AOUT'!$A$3:$A$113,$A23,'S5_17-23_AOUT'!$O$3:$O$113),0)+IFERROR(SUMIF('S6_24-25_AOUT'!$A$3:$A$113,$A23,'S6_24-25_AOUT'!$J$3:$J$113),0)</f>
        <v>9.5</v>
      </c>
      <c r="N23" s="9">
        <f>IFERROR(SUMIF(S1_26_JUIL!$A$3:$A$113,$A23,S1_26_JUIL!$J$3:$J$113),0)+IFERROR(SUMIF('S2_27_JUIL-02_AOUT'!$A$3:$A$113,$A23,'S2_27_JUIL-02_AOUT'!$P$3:$P$113),0)+IFERROR(SUMIF('S3_03-09_AOUT'!$A$3:$A$113,$A23,'S3_03-09_AOUT'!$P$3:$P$113),0)+IFERROR(SUMIF('S4_10-16_AOUT'!$A$3:$A$113,$A23,'S4_10-16_AOUT'!$P$3:$P$113),0)+IFERROR(SUMIF('S5_17-23_AOUT'!$A$3:$A$113,$A23,'S5_17-23_AOUT'!$P$3:$P$113),0)+IFERROR(SUMIF('S6_24-25_AOUT'!$A$3:$A$113,$A23,'S6_24-25_AOUT'!$K$3:$K$113),0)</f>
        <v>0</v>
      </c>
      <c r="O23" s="9">
        <f>IFERROR(SUMIF(S1_26_JUIL!$A$3:$A$113,$A23,S1_26_JUIL!$K$3:$K$113),0)+IFERROR(SUMIF('S2_27_JUIL-02_AOUT'!$A$3:$A$113,$A23,'S2_27_JUIL-02_AOUT'!$Q$3:$Q$113),0)+IFERROR(SUMIF('S3_03-09_AOUT'!$A$3:$A$113,$A23,'S3_03-09_AOUT'!$Q$3:$Q$113),0)+IFERROR(SUMIF('S4_10-16_AOUT'!$A$3:$A$113,$A23,'S4_10-16_AOUT'!$Q$3:$Q$113),0)+IFERROR(SUMIF('S5_17-23_AOUT'!$A$3:$A$113,$A23,'S5_17-23_AOUT'!$Q$3:$Q$113),0)+IFERROR(SUMIF('S6_24-25_AOUT'!$A$3:$A$113,$A23,'S6_24-25_AOUT'!$L$3:$L$113),0)</f>
        <v>0</v>
      </c>
      <c r="P23" s="8">
        <f>IFERROR(SUMIF(S1_26_JUIL!$A$3:$A$113,$A23,S1_26_JUIL!$L$3:$L$113),0)+IFERROR(SUMIF('S2_27_JUIL-02_AOUT'!$A$3:$A$113,$A23,'S2_27_JUIL-02_AOUT'!$R$3:$R$113),0)+IFERROR(SUMIF('S3_03-09_AOUT'!$A$3:$A$113,$A23,'S3_03-09_AOUT'!$R$3:$R$113),0)+IFERROR(SUMIF('S4_10-16_AOUT'!$A$3:$A$113,$A23,'S4_10-16_AOUT'!$R$3:$R$113),0)+IFERROR(SUMIF('S5_17-23_AOUT'!$A$3:$A$113,$A23,'S5_17-23_AOUT'!$R$3:$R$113),0)+IFERROR(SUMIF('S6_24-25_AOUT'!$A$3:$A$113,$A23,'S6_24-25_AOUT'!$M$3:$M$113),0)</f>
        <v>4</v>
      </c>
      <c r="Q23" s="8">
        <f>IFERROR(SUMIF(S1_26_JUIL!$A$3:$A$113,$A23,S1_26_JUIL!$M$3:$M$113),0)+IFERROR(SUMIF('S2_27_JUIL-02_AOUT'!$A$3:$A$113,$A23,'S2_27_JUIL-02_AOUT'!$S$3:$S$113),0)+IFERROR(SUMIF('S3_03-09_AOUT'!$A$3:$A$113,$A23,'S3_03-09_AOUT'!$S$3:$S$113),0)+IFERROR(SUMIF('S4_10-16_AOUT'!$A$3:$A$113,$A23,'S4_10-16_AOUT'!$S$3:$S$113),0)+IFERROR(SUMIF('S5_17-23_AOUT'!$A$3:$A$113,$A23,'S5_17-23_AOUT'!$S$3:$S$113),0)+IFERROR(SUMIF('S6_24-25_AOUT'!$A$3:$A$113,$A23,'S6_24-25_AOUT'!$N$3:$N$113),0)</f>
        <v>0</v>
      </c>
      <c r="R23" s="11">
        <f>IFERROR(SUMIF(S1_26_JUIL!$A$3:$A$113,$A23,S1_26_JUIL!$N$3:$N$113),0)+IFERROR(SUMIF('S2_27_JUIL-02_AOUT'!$A$3:$A$113,$A23,'S2_27_JUIL-02_AOUT'!$T$3:$T$113),0)+IFERROR(SUMIF('S3_03-09_AOUT'!$A$3:$A$113,$A23,'S3_03-09_AOUT'!$T$3:$T$113),0)+IFERROR(SUMIF('S4_10-16_AOUT'!$A$3:$A$113,$A23,'S4_10-16_AOUT'!$T$3:$T$113),0)+IFERROR(SUMIF('S5_17-23_AOUT'!$A$3:$A$113,$A23,'S5_17-23_AOUT'!$T$3:$T$113),0)+IFERROR(SUMIF('S6_24-25_AOUT'!$A$3:$A$113,$A23,'S6_24-25_AOUT'!$O$3:$O$113),0)</f>
        <v>0</v>
      </c>
      <c r="S23" s="8">
        <f>208</f>
        <v>208</v>
      </c>
      <c r="T23" s="8">
        <f t="shared" si="1"/>
        <v>9.5</v>
      </c>
      <c r="U23" s="10" t="str">
        <f>IF(OR(IFERROR(INDEX(S1_26_JUIL!$P$3:$P$113,MATCH($A23,S1_26_JUIL!$A$3:$A$113,0)),"")="STC",IFERROR(INDEX('S2_27_JUIL-02_AOUT'!$V$3:$V$113,MATCH($A23,'S2_27_JUIL-02_AOUT'!$A$3:$A$113,0)),"")="STC",IFERROR(INDEX('S3_03-09_AOUT'!$V$3:$V$113,MATCH($A23,'S3_03-09_AOUT'!$A$3:$A$113,0)),"")="STC",IFERROR(INDEX('S4_10-16_AOUT'!$V$3:$V$113,MATCH($A23,'S4_10-16_AOUT'!$A$3:$A$113,0)),"")="STC",IFERROR(INDEX('S5_17-23_AOUT'!$V$3:$V$113,MATCH($A23,'S5_17-23_AOUT'!$A$3:$A$113,0)),"")="STC",IFERROR(INDEX('S6_24-25_AOUT'!$Q$3:$Q$113,MATCH($A23,'S6_24-25_AOUT'!$A$3:$A$113,0)),"")="STC"),"STC",IF(OR(IFERROR(INDEX(S1_26_JUIL!$P$3:$P$113,MATCH($A23,S1_26_JUIL!$A$3:$A$113,0)),"")="À vérifier",IFERROR(INDEX('S2_27_JUIL-02_AOUT'!$V$3:$V$113,MATCH($A23,'S2_27_JUIL-02_AOUT'!$A$3:$A$113,0)),"")="À vérifier",IFERROR(INDEX('S3_03-09_AOUT'!$V$3:$V$113,MATCH($A23,'S3_03-09_AOUT'!$A$3:$A$113,0)),"")="À vérifier",IFERROR(INDEX('S4_10-16_AOUT'!$V$3:$V$113,MATCH($A23,'S4_10-16_AOUT'!$A$3:$A$113,0)),"")="À vérifier",IFERROR(INDEX('S5_17-23_AOUT'!$V$3:$V$113,MATCH($A23,'S5_17-23_AOUT'!$A$3:$A$113,0)),"")="À vérifier",IFERROR(INDEX('S6_24-25_AOUT'!$Q$3:$Q$113,MATCH($A23,'S6_24-25_AOUT'!$A$3:$A$113,0)),"")="À vérifier",ABS(L23-T23)&gt;=0.01),"À vérifier","OK"))</f>
        <v>OK</v>
      </c>
    </row>
    <row r="24" spans="1:21">
      <c r="A24" s="12" t="s">
        <v>78</v>
      </c>
      <c r="B24" s="12" t="s">
        <v>79</v>
      </c>
      <c r="C24" s="13" t="s">
        <v>80</v>
      </c>
      <c r="D24" s="12" t="s">
        <v>69</v>
      </c>
      <c r="E24" s="10" t="s">
        <v>21</v>
      </c>
      <c r="F24" s="8">
        <f>IFERROR(SUMIF(S1_26_JUIL!$A$3:$A$113,$A24,S1_26_JUIL!$O$3:$O$113),0)</f>
        <v>0</v>
      </c>
      <c r="G24" s="8">
        <f>IFERROR(SUMIF('S2_27_JUIL-02_AOUT'!$A$3:$A$113,$A24,'S2_27_JUIL-02_AOUT'!$U$3:$U$113),0)</f>
        <v>46</v>
      </c>
      <c r="H24" s="8">
        <f>IFERROR(SUMIF('S3_03-09_AOUT'!$A$3:$A$113,$A24,'S3_03-09_AOUT'!$U$3:$U$113),0)</f>
        <v>0</v>
      </c>
      <c r="I24" s="8">
        <f>IFERROR(SUMIF('S4_10-16_AOUT'!$A$3:$A$113,$A24,'S4_10-16_AOUT'!$U$3:$U$113),0)</f>
        <v>0</v>
      </c>
      <c r="J24" s="8">
        <f>IFERROR(SUMIF('S5_17-23_AOUT'!$A$3:$A$113,$A24,'S5_17-23_AOUT'!$U$3:$U$113),0)</f>
        <v>0</v>
      </c>
      <c r="K24" s="8">
        <f>IFERROR(SUMIF('S6_24-25_AOUT'!$A$3:$A$113,$A24,'S6_24-25_AOUT'!$P$3:$P$113),0)</f>
        <v>0</v>
      </c>
      <c r="L24" s="8">
        <f t="shared" si="0"/>
        <v>46</v>
      </c>
      <c r="M24" s="8">
        <f>IFERROR(SUMIF(S1_26_JUIL!$A$3:$A$113,$A24,S1_26_JUIL!$I$3:$I$113),0)+IFERROR(SUMIF('S2_27_JUIL-02_AOUT'!$A$3:$A$113,$A24,'S2_27_JUIL-02_AOUT'!$O$3:$O$113),0)+IFERROR(SUMIF('S3_03-09_AOUT'!$A$3:$A$113,$A24,'S3_03-09_AOUT'!$O$3:$O$113),0)+IFERROR(SUMIF('S4_10-16_AOUT'!$A$3:$A$113,$A24,'S4_10-16_AOUT'!$O$3:$O$113),0)+IFERROR(SUMIF('S5_17-23_AOUT'!$A$3:$A$113,$A24,'S5_17-23_AOUT'!$O$3:$O$113),0)+IFERROR(SUMIF('S6_24-25_AOUT'!$A$3:$A$113,$A24,'S6_24-25_AOUT'!$J$3:$J$113),0)</f>
        <v>46</v>
      </c>
      <c r="N24" s="9">
        <f>IFERROR(SUMIF(S1_26_JUIL!$A$3:$A$113,$A24,S1_26_JUIL!$J$3:$J$113),0)+IFERROR(SUMIF('S2_27_JUIL-02_AOUT'!$A$3:$A$113,$A24,'S2_27_JUIL-02_AOUT'!$P$3:$P$113),0)+IFERROR(SUMIF('S3_03-09_AOUT'!$A$3:$A$113,$A24,'S3_03-09_AOUT'!$P$3:$P$113),0)+IFERROR(SUMIF('S4_10-16_AOUT'!$A$3:$A$113,$A24,'S4_10-16_AOUT'!$P$3:$P$113),0)+IFERROR(SUMIF('S5_17-23_AOUT'!$A$3:$A$113,$A24,'S5_17-23_AOUT'!$P$3:$P$113),0)+IFERROR(SUMIF('S6_24-25_AOUT'!$A$3:$A$113,$A24,'S6_24-25_AOUT'!$K$3:$K$113),0)</f>
        <v>0</v>
      </c>
      <c r="O24" s="9">
        <f>IFERROR(SUMIF(S1_26_JUIL!$A$3:$A$113,$A24,S1_26_JUIL!$K$3:$K$113),0)+IFERROR(SUMIF('S2_27_JUIL-02_AOUT'!$A$3:$A$113,$A24,'S2_27_JUIL-02_AOUT'!$Q$3:$Q$113),0)+IFERROR(SUMIF('S3_03-09_AOUT'!$A$3:$A$113,$A24,'S3_03-09_AOUT'!$Q$3:$Q$113),0)+IFERROR(SUMIF('S4_10-16_AOUT'!$A$3:$A$113,$A24,'S4_10-16_AOUT'!$Q$3:$Q$113),0)+IFERROR(SUMIF('S5_17-23_AOUT'!$A$3:$A$113,$A24,'S5_17-23_AOUT'!$Q$3:$Q$113),0)+IFERROR(SUMIF('S6_24-25_AOUT'!$A$3:$A$113,$A24,'S6_24-25_AOUT'!$L$3:$L$113),0)</f>
        <v>0</v>
      </c>
      <c r="P24" s="8">
        <f>IFERROR(SUMIF(S1_26_JUIL!$A$3:$A$113,$A24,S1_26_JUIL!$L$3:$L$113),0)+IFERROR(SUMIF('S2_27_JUIL-02_AOUT'!$A$3:$A$113,$A24,'S2_27_JUIL-02_AOUT'!$R$3:$R$113),0)+IFERROR(SUMIF('S3_03-09_AOUT'!$A$3:$A$113,$A24,'S3_03-09_AOUT'!$R$3:$R$113),0)+IFERROR(SUMIF('S4_10-16_AOUT'!$A$3:$A$113,$A24,'S4_10-16_AOUT'!$R$3:$R$113),0)+IFERROR(SUMIF('S5_17-23_AOUT'!$A$3:$A$113,$A24,'S5_17-23_AOUT'!$R$3:$R$113),0)+IFERROR(SUMIF('S6_24-25_AOUT'!$A$3:$A$113,$A24,'S6_24-25_AOUT'!$M$3:$M$113),0)</f>
        <v>0</v>
      </c>
      <c r="Q24" s="8">
        <f>IFERROR(SUMIF(S1_26_JUIL!$A$3:$A$113,$A24,S1_26_JUIL!$M$3:$M$113),0)+IFERROR(SUMIF('S2_27_JUIL-02_AOUT'!$A$3:$A$113,$A24,'S2_27_JUIL-02_AOUT'!$S$3:$S$113),0)+IFERROR(SUMIF('S3_03-09_AOUT'!$A$3:$A$113,$A24,'S3_03-09_AOUT'!$S$3:$S$113),0)+IFERROR(SUMIF('S4_10-16_AOUT'!$A$3:$A$113,$A24,'S4_10-16_AOUT'!$S$3:$S$113),0)+IFERROR(SUMIF('S5_17-23_AOUT'!$A$3:$A$113,$A24,'S5_17-23_AOUT'!$S$3:$S$113),0)+IFERROR(SUMIF('S6_24-25_AOUT'!$A$3:$A$113,$A24,'S6_24-25_AOUT'!$N$3:$N$113),0)</f>
        <v>0</v>
      </c>
      <c r="R24" s="11">
        <f>IFERROR(SUMIF(S1_26_JUIL!$A$3:$A$113,$A24,S1_26_JUIL!$N$3:$N$113),0)+IFERROR(SUMIF('S2_27_JUIL-02_AOUT'!$A$3:$A$113,$A24,'S2_27_JUIL-02_AOUT'!$T$3:$T$113),0)+IFERROR(SUMIF('S3_03-09_AOUT'!$A$3:$A$113,$A24,'S3_03-09_AOUT'!$T$3:$T$113),0)+IFERROR(SUMIF('S4_10-16_AOUT'!$A$3:$A$113,$A24,'S4_10-16_AOUT'!$T$3:$T$113),0)+IFERROR(SUMIF('S5_17-23_AOUT'!$A$3:$A$113,$A24,'S5_17-23_AOUT'!$T$3:$T$113),0)+IFERROR(SUMIF('S6_24-25_AOUT'!$A$3:$A$113,$A24,'S6_24-25_AOUT'!$O$3:$O$113),0)</f>
        <v>0</v>
      </c>
      <c r="S24" s="8">
        <f>208</f>
        <v>208</v>
      </c>
      <c r="T24" s="8">
        <f t="shared" si="1"/>
        <v>46</v>
      </c>
      <c r="U24" s="10" t="str">
        <f>IF(OR(IFERROR(INDEX(S1_26_JUIL!$P$3:$P$113,MATCH($A24,S1_26_JUIL!$A$3:$A$113,0)),"")="STC",IFERROR(INDEX('S2_27_JUIL-02_AOUT'!$V$3:$V$113,MATCH($A24,'S2_27_JUIL-02_AOUT'!$A$3:$A$113,0)),"")="STC",IFERROR(INDEX('S3_03-09_AOUT'!$V$3:$V$113,MATCH($A24,'S3_03-09_AOUT'!$A$3:$A$113,0)),"")="STC",IFERROR(INDEX('S4_10-16_AOUT'!$V$3:$V$113,MATCH($A24,'S4_10-16_AOUT'!$A$3:$A$113,0)),"")="STC",IFERROR(INDEX('S5_17-23_AOUT'!$V$3:$V$113,MATCH($A24,'S5_17-23_AOUT'!$A$3:$A$113,0)),"")="STC",IFERROR(INDEX('S6_24-25_AOUT'!$Q$3:$Q$113,MATCH($A24,'S6_24-25_AOUT'!$A$3:$A$113,0)),"")="STC"),"STC",IF(OR(IFERROR(INDEX(S1_26_JUIL!$P$3:$P$113,MATCH($A24,S1_26_JUIL!$A$3:$A$113,0)),"")="À vérifier",IFERROR(INDEX('S2_27_JUIL-02_AOUT'!$V$3:$V$113,MATCH($A24,'S2_27_JUIL-02_AOUT'!$A$3:$A$113,0)),"")="À vérifier",IFERROR(INDEX('S3_03-09_AOUT'!$V$3:$V$113,MATCH($A24,'S3_03-09_AOUT'!$A$3:$A$113,0)),"")="À vérifier",IFERROR(INDEX('S4_10-16_AOUT'!$V$3:$V$113,MATCH($A24,'S4_10-16_AOUT'!$A$3:$A$113,0)),"")="À vérifier",IFERROR(INDEX('S5_17-23_AOUT'!$V$3:$V$113,MATCH($A24,'S5_17-23_AOUT'!$A$3:$A$113,0)),"")="À vérifier",IFERROR(INDEX('S6_24-25_AOUT'!$Q$3:$Q$113,MATCH($A24,'S6_24-25_AOUT'!$A$3:$A$113,0)),"")="À vérifier",ABS(L24-T24)&gt;=0.01),"À vérifier","OK"))</f>
        <v>OK</v>
      </c>
    </row>
    <row r="25" spans="1:21">
      <c r="A25" s="12" t="s">
        <v>81</v>
      </c>
      <c r="B25" s="12" t="s">
        <v>82</v>
      </c>
      <c r="C25" s="13" t="s">
        <v>83</v>
      </c>
      <c r="D25" s="12" t="s">
        <v>69</v>
      </c>
      <c r="E25" s="10" t="s">
        <v>21</v>
      </c>
      <c r="F25" s="8">
        <f>IFERROR(SUMIF(S1_26_JUIL!$A$3:$A$113,$A25,S1_26_JUIL!$O$3:$O$113),0)</f>
        <v>0</v>
      </c>
      <c r="G25" s="8">
        <f>IFERROR(SUMIF('S2_27_JUIL-02_AOUT'!$A$3:$A$113,$A25,'S2_27_JUIL-02_AOUT'!$U$3:$U$113),0)</f>
        <v>46.499999999999993</v>
      </c>
      <c r="H25" s="8">
        <f>IFERROR(SUMIF('S3_03-09_AOUT'!$A$3:$A$113,$A25,'S3_03-09_AOUT'!$U$3:$U$113),0)</f>
        <v>0</v>
      </c>
      <c r="I25" s="8">
        <f>IFERROR(SUMIF('S4_10-16_AOUT'!$A$3:$A$113,$A25,'S4_10-16_AOUT'!$U$3:$U$113),0)</f>
        <v>0</v>
      </c>
      <c r="J25" s="8">
        <f>IFERROR(SUMIF('S5_17-23_AOUT'!$A$3:$A$113,$A25,'S5_17-23_AOUT'!$U$3:$U$113),0)</f>
        <v>0</v>
      </c>
      <c r="K25" s="8">
        <f>IFERROR(SUMIF('S6_24-25_AOUT'!$A$3:$A$113,$A25,'S6_24-25_AOUT'!$P$3:$P$113),0)</f>
        <v>0</v>
      </c>
      <c r="L25" s="8">
        <f t="shared" si="0"/>
        <v>46.499999999999993</v>
      </c>
      <c r="M25" s="8">
        <f>IFERROR(SUMIF(S1_26_JUIL!$A$3:$A$113,$A25,S1_26_JUIL!$I$3:$I$113),0)+IFERROR(SUMIF('S2_27_JUIL-02_AOUT'!$A$3:$A$113,$A25,'S2_27_JUIL-02_AOUT'!$O$3:$O$113),0)+IFERROR(SUMIF('S3_03-09_AOUT'!$A$3:$A$113,$A25,'S3_03-09_AOUT'!$O$3:$O$113),0)+IFERROR(SUMIF('S4_10-16_AOUT'!$A$3:$A$113,$A25,'S4_10-16_AOUT'!$O$3:$O$113),0)+IFERROR(SUMIF('S5_17-23_AOUT'!$A$3:$A$113,$A25,'S5_17-23_AOUT'!$O$3:$O$113),0)+IFERROR(SUMIF('S6_24-25_AOUT'!$A$3:$A$113,$A25,'S6_24-25_AOUT'!$J$3:$J$113),0)</f>
        <v>46.499999999999993</v>
      </c>
      <c r="N25" s="9">
        <f>IFERROR(SUMIF(S1_26_JUIL!$A$3:$A$113,$A25,S1_26_JUIL!$J$3:$J$113),0)+IFERROR(SUMIF('S2_27_JUIL-02_AOUT'!$A$3:$A$113,$A25,'S2_27_JUIL-02_AOUT'!$P$3:$P$113),0)+IFERROR(SUMIF('S3_03-09_AOUT'!$A$3:$A$113,$A25,'S3_03-09_AOUT'!$P$3:$P$113),0)+IFERROR(SUMIF('S4_10-16_AOUT'!$A$3:$A$113,$A25,'S4_10-16_AOUT'!$P$3:$P$113),0)+IFERROR(SUMIF('S5_17-23_AOUT'!$A$3:$A$113,$A25,'S5_17-23_AOUT'!$P$3:$P$113),0)+IFERROR(SUMIF('S6_24-25_AOUT'!$A$3:$A$113,$A25,'S6_24-25_AOUT'!$K$3:$K$113),0)</f>
        <v>0</v>
      </c>
      <c r="O25" s="9">
        <f>IFERROR(SUMIF(S1_26_JUIL!$A$3:$A$113,$A25,S1_26_JUIL!$K$3:$K$113),0)+IFERROR(SUMIF('S2_27_JUIL-02_AOUT'!$A$3:$A$113,$A25,'S2_27_JUIL-02_AOUT'!$Q$3:$Q$113),0)+IFERROR(SUMIF('S3_03-09_AOUT'!$A$3:$A$113,$A25,'S3_03-09_AOUT'!$Q$3:$Q$113),0)+IFERROR(SUMIF('S4_10-16_AOUT'!$A$3:$A$113,$A25,'S4_10-16_AOUT'!$Q$3:$Q$113),0)+IFERROR(SUMIF('S5_17-23_AOUT'!$A$3:$A$113,$A25,'S5_17-23_AOUT'!$Q$3:$Q$113),0)+IFERROR(SUMIF('S6_24-25_AOUT'!$A$3:$A$113,$A25,'S6_24-25_AOUT'!$L$3:$L$113),0)</f>
        <v>0</v>
      </c>
      <c r="P25" s="8">
        <f>IFERROR(SUMIF(S1_26_JUIL!$A$3:$A$113,$A25,S1_26_JUIL!$L$3:$L$113),0)+IFERROR(SUMIF('S2_27_JUIL-02_AOUT'!$A$3:$A$113,$A25,'S2_27_JUIL-02_AOUT'!$R$3:$R$113),0)+IFERROR(SUMIF('S3_03-09_AOUT'!$A$3:$A$113,$A25,'S3_03-09_AOUT'!$R$3:$R$113),0)+IFERROR(SUMIF('S4_10-16_AOUT'!$A$3:$A$113,$A25,'S4_10-16_AOUT'!$R$3:$R$113),0)+IFERROR(SUMIF('S5_17-23_AOUT'!$A$3:$A$113,$A25,'S5_17-23_AOUT'!$R$3:$R$113),0)+IFERROR(SUMIF('S6_24-25_AOUT'!$A$3:$A$113,$A25,'S6_24-25_AOUT'!$M$3:$M$113),0)</f>
        <v>0</v>
      </c>
      <c r="Q25" s="8">
        <f>IFERROR(SUMIF(S1_26_JUIL!$A$3:$A$113,$A25,S1_26_JUIL!$M$3:$M$113),0)+IFERROR(SUMIF('S2_27_JUIL-02_AOUT'!$A$3:$A$113,$A25,'S2_27_JUIL-02_AOUT'!$S$3:$S$113),0)+IFERROR(SUMIF('S3_03-09_AOUT'!$A$3:$A$113,$A25,'S3_03-09_AOUT'!$S$3:$S$113),0)+IFERROR(SUMIF('S4_10-16_AOUT'!$A$3:$A$113,$A25,'S4_10-16_AOUT'!$S$3:$S$113),0)+IFERROR(SUMIF('S5_17-23_AOUT'!$A$3:$A$113,$A25,'S5_17-23_AOUT'!$S$3:$S$113),0)+IFERROR(SUMIF('S6_24-25_AOUT'!$A$3:$A$113,$A25,'S6_24-25_AOUT'!$N$3:$N$113),0)</f>
        <v>0</v>
      </c>
      <c r="R25" s="11">
        <f>IFERROR(SUMIF(S1_26_JUIL!$A$3:$A$113,$A25,S1_26_JUIL!$N$3:$N$113),0)+IFERROR(SUMIF('S2_27_JUIL-02_AOUT'!$A$3:$A$113,$A25,'S2_27_JUIL-02_AOUT'!$T$3:$T$113),0)+IFERROR(SUMIF('S3_03-09_AOUT'!$A$3:$A$113,$A25,'S3_03-09_AOUT'!$T$3:$T$113),0)+IFERROR(SUMIF('S4_10-16_AOUT'!$A$3:$A$113,$A25,'S4_10-16_AOUT'!$T$3:$T$113),0)+IFERROR(SUMIF('S5_17-23_AOUT'!$A$3:$A$113,$A25,'S5_17-23_AOUT'!$T$3:$T$113),0)+IFERROR(SUMIF('S6_24-25_AOUT'!$A$3:$A$113,$A25,'S6_24-25_AOUT'!$O$3:$O$113),0)</f>
        <v>0</v>
      </c>
      <c r="S25" s="8">
        <f>208</f>
        <v>208</v>
      </c>
      <c r="T25" s="8">
        <f t="shared" si="1"/>
        <v>46.499999999999993</v>
      </c>
      <c r="U25" s="10" t="str">
        <f>IF(OR(IFERROR(INDEX(S1_26_JUIL!$P$3:$P$113,MATCH($A25,S1_26_JUIL!$A$3:$A$113,0)),"")="STC",IFERROR(INDEX('S2_27_JUIL-02_AOUT'!$V$3:$V$113,MATCH($A25,'S2_27_JUIL-02_AOUT'!$A$3:$A$113,0)),"")="STC",IFERROR(INDEX('S3_03-09_AOUT'!$V$3:$V$113,MATCH($A25,'S3_03-09_AOUT'!$A$3:$A$113,0)),"")="STC",IFERROR(INDEX('S4_10-16_AOUT'!$V$3:$V$113,MATCH($A25,'S4_10-16_AOUT'!$A$3:$A$113,0)),"")="STC",IFERROR(INDEX('S5_17-23_AOUT'!$V$3:$V$113,MATCH($A25,'S5_17-23_AOUT'!$A$3:$A$113,0)),"")="STC",IFERROR(INDEX('S6_24-25_AOUT'!$Q$3:$Q$113,MATCH($A25,'S6_24-25_AOUT'!$A$3:$A$113,0)),"")="STC"),"STC",IF(OR(IFERROR(INDEX(S1_26_JUIL!$P$3:$P$113,MATCH($A25,S1_26_JUIL!$A$3:$A$113,0)),"")="À vérifier",IFERROR(INDEX('S2_27_JUIL-02_AOUT'!$V$3:$V$113,MATCH($A25,'S2_27_JUIL-02_AOUT'!$A$3:$A$113,0)),"")="À vérifier",IFERROR(INDEX('S3_03-09_AOUT'!$V$3:$V$113,MATCH($A25,'S3_03-09_AOUT'!$A$3:$A$113,0)),"")="À vérifier",IFERROR(INDEX('S4_10-16_AOUT'!$V$3:$V$113,MATCH($A25,'S4_10-16_AOUT'!$A$3:$A$113,0)),"")="À vérifier",IFERROR(INDEX('S5_17-23_AOUT'!$V$3:$V$113,MATCH($A25,'S5_17-23_AOUT'!$A$3:$A$113,0)),"")="À vérifier",IFERROR(INDEX('S6_24-25_AOUT'!$Q$3:$Q$113,MATCH($A25,'S6_24-25_AOUT'!$A$3:$A$113,0)),"")="À vérifier",ABS(L25-T25)&gt;=0.01),"À vérifier","OK"))</f>
        <v>OK</v>
      </c>
    </row>
    <row r="26" spans="1:21">
      <c r="A26" s="12" t="s">
        <v>84</v>
      </c>
      <c r="B26" s="12" t="s">
        <v>85</v>
      </c>
      <c r="C26" s="13" t="s">
        <v>86</v>
      </c>
      <c r="D26" s="12" t="s">
        <v>87</v>
      </c>
      <c r="E26" s="10" t="s">
        <v>21</v>
      </c>
      <c r="F26" s="8">
        <f>IFERROR(SUMIF(S1_26_JUIL!$A$3:$A$113,$A26,S1_26_JUIL!$O$3:$O$113),0)</f>
        <v>0</v>
      </c>
      <c r="G26" s="8">
        <f>IFERROR(SUMIF('S2_27_JUIL-02_AOUT'!$A$3:$A$113,$A26,'S2_27_JUIL-02_AOUT'!$U$3:$U$113),0)</f>
        <v>38</v>
      </c>
      <c r="H26" s="8">
        <f>IFERROR(SUMIF('S3_03-09_AOUT'!$A$3:$A$113,$A26,'S3_03-09_AOUT'!$U$3:$U$113),0)</f>
        <v>0</v>
      </c>
      <c r="I26" s="8">
        <f>IFERROR(SUMIF('S4_10-16_AOUT'!$A$3:$A$113,$A26,'S4_10-16_AOUT'!$U$3:$U$113),0)</f>
        <v>0</v>
      </c>
      <c r="J26" s="8">
        <f>IFERROR(SUMIF('S5_17-23_AOUT'!$A$3:$A$113,$A26,'S5_17-23_AOUT'!$U$3:$U$113),0)</f>
        <v>0</v>
      </c>
      <c r="K26" s="8">
        <f>IFERROR(SUMIF('S6_24-25_AOUT'!$A$3:$A$113,$A26,'S6_24-25_AOUT'!$P$3:$P$113),0)</f>
        <v>0</v>
      </c>
      <c r="L26" s="8">
        <f t="shared" si="0"/>
        <v>38</v>
      </c>
      <c r="M26" s="8">
        <f>IFERROR(SUMIF(S1_26_JUIL!$A$3:$A$113,$A26,S1_26_JUIL!$I$3:$I$113),0)+IFERROR(SUMIF('S2_27_JUIL-02_AOUT'!$A$3:$A$113,$A26,'S2_27_JUIL-02_AOUT'!$O$3:$O$113),0)+IFERROR(SUMIF('S3_03-09_AOUT'!$A$3:$A$113,$A26,'S3_03-09_AOUT'!$O$3:$O$113),0)+IFERROR(SUMIF('S4_10-16_AOUT'!$A$3:$A$113,$A26,'S4_10-16_AOUT'!$O$3:$O$113),0)+IFERROR(SUMIF('S5_17-23_AOUT'!$A$3:$A$113,$A26,'S5_17-23_AOUT'!$O$3:$O$113),0)+IFERROR(SUMIF('S6_24-25_AOUT'!$A$3:$A$113,$A26,'S6_24-25_AOUT'!$J$3:$J$113),0)</f>
        <v>38</v>
      </c>
      <c r="N26" s="9">
        <f>IFERROR(SUMIF(S1_26_JUIL!$A$3:$A$113,$A26,S1_26_JUIL!$J$3:$J$113),0)+IFERROR(SUMIF('S2_27_JUIL-02_AOUT'!$A$3:$A$113,$A26,'S2_27_JUIL-02_AOUT'!$P$3:$P$113),0)+IFERROR(SUMIF('S3_03-09_AOUT'!$A$3:$A$113,$A26,'S3_03-09_AOUT'!$P$3:$P$113),0)+IFERROR(SUMIF('S4_10-16_AOUT'!$A$3:$A$113,$A26,'S4_10-16_AOUT'!$P$3:$P$113),0)+IFERROR(SUMIF('S5_17-23_AOUT'!$A$3:$A$113,$A26,'S5_17-23_AOUT'!$P$3:$P$113),0)+IFERROR(SUMIF('S6_24-25_AOUT'!$A$3:$A$113,$A26,'S6_24-25_AOUT'!$K$3:$K$113),0)</f>
        <v>0</v>
      </c>
      <c r="O26" s="9">
        <f>IFERROR(SUMIF(S1_26_JUIL!$A$3:$A$113,$A26,S1_26_JUIL!$K$3:$K$113),0)+IFERROR(SUMIF('S2_27_JUIL-02_AOUT'!$A$3:$A$113,$A26,'S2_27_JUIL-02_AOUT'!$Q$3:$Q$113),0)+IFERROR(SUMIF('S3_03-09_AOUT'!$A$3:$A$113,$A26,'S3_03-09_AOUT'!$Q$3:$Q$113),0)+IFERROR(SUMIF('S4_10-16_AOUT'!$A$3:$A$113,$A26,'S4_10-16_AOUT'!$Q$3:$Q$113),0)+IFERROR(SUMIF('S5_17-23_AOUT'!$A$3:$A$113,$A26,'S5_17-23_AOUT'!$Q$3:$Q$113),0)+IFERROR(SUMIF('S6_24-25_AOUT'!$A$3:$A$113,$A26,'S6_24-25_AOUT'!$L$3:$L$113),0)</f>
        <v>0</v>
      </c>
      <c r="P26" s="8">
        <f>IFERROR(SUMIF(S1_26_JUIL!$A$3:$A$113,$A26,S1_26_JUIL!$L$3:$L$113),0)+IFERROR(SUMIF('S2_27_JUIL-02_AOUT'!$A$3:$A$113,$A26,'S2_27_JUIL-02_AOUT'!$R$3:$R$113),0)+IFERROR(SUMIF('S3_03-09_AOUT'!$A$3:$A$113,$A26,'S3_03-09_AOUT'!$R$3:$R$113),0)+IFERROR(SUMIF('S4_10-16_AOUT'!$A$3:$A$113,$A26,'S4_10-16_AOUT'!$R$3:$R$113),0)+IFERROR(SUMIF('S5_17-23_AOUT'!$A$3:$A$113,$A26,'S5_17-23_AOUT'!$R$3:$R$113),0)+IFERROR(SUMIF('S6_24-25_AOUT'!$A$3:$A$113,$A26,'S6_24-25_AOUT'!$M$3:$M$113),0)</f>
        <v>0</v>
      </c>
      <c r="Q26" s="8">
        <f>IFERROR(SUMIF(S1_26_JUIL!$A$3:$A$113,$A26,S1_26_JUIL!$M$3:$M$113),0)+IFERROR(SUMIF('S2_27_JUIL-02_AOUT'!$A$3:$A$113,$A26,'S2_27_JUIL-02_AOUT'!$S$3:$S$113),0)+IFERROR(SUMIF('S3_03-09_AOUT'!$A$3:$A$113,$A26,'S3_03-09_AOUT'!$S$3:$S$113),0)+IFERROR(SUMIF('S4_10-16_AOUT'!$A$3:$A$113,$A26,'S4_10-16_AOUT'!$S$3:$S$113),0)+IFERROR(SUMIF('S5_17-23_AOUT'!$A$3:$A$113,$A26,'S5_17-23_AOUT'!$S$3:$S$113),0)+IFERROR(SUMIF('S6_24-25_AOUT'!$A$3:$A$113,$A26,'S6_24-25_AOUT'!$N$3:$N$113),0)</f>
        <v>0</v>
      </c>
      <c r="R26" s="11">
        <f>IFERROR(SUMIF(S1_26_JUIL!$A$3:$A$113,$A26,S1_26_JUIL!$N$3:$N$113),0)+IFERROR(SUMIF('S2_27_JUIL-02_AOUT'!$A$3:$A$113,$A26,'S2_27_JUIL-02_AOUT'!$T$3:$T$113),0)+IFERROR(SUMIF('S3_03-09_AOUT'!$A$3:$A$113,$A26,'S3_03-09_AOUT'!$T$3:$T$113),0)+IFERROR(SUMIF('S4_10-16_AOUT'!$A$3:$A$113,$A26,'S4_10-16_AOUT'!$T$3:$T$113),0)+IFERROR(SUMIF('S5_17-23_AOUT'!$A$3:$A$113,$A26,'S5_17-23_AOUT'!$T$3:$T$113),0)+IFERROR(SUMIF('S6_24-25_AOUT'!$A$3:$A$113,$A26,'S6_24-25_AOUT'!$O$3:$O$113),0)</f>
        <v>0</v>
      </c>
      <c r="S26" s="8">
        <f>208</f>
        <v>208</v>
      </c>
      <c r="T26" s="8">
        <f t="shared" si="1"/>
        <v>38</v>
      </c>
      <c r="U26" s="10" t="str">
        <f>IF(OR(IFERROR(INDEX(S1_26_JUIL!$P$3:$P$113,MATCH($A26,S1_26_JUIL!$A$3:$A$113,0)),"")="STC",IFERROR(INDEX('S2_27_JUIL-02_AOUT'!$V$3:$V$113,MATCH($A26,'S2_27_JUIL-02_AOUT'!$A$3:$A$113,0)),"")="STC",IFERROR(INDEX('S3_03-09_AOUT'!$V$3:$V$113,MATCH($A26,'S3_03-09_AOUT'!$A$3:$A$113,0)),"")="STC",IFERROR(INDEX('S4_10-16_AOUT'!$V$3:$V$113,MATCH($A26,'S4_10-16_AOUT'!$A$3:$A$113,0)),"")="STC",IFERROR(INDEX('S5_17-23_AOUT'!$V$3:$V$113,MATCH($A26,'S5_17-23_AOUT'!$A$3:$A$113,0)),"")="STC",IFERROR(INDEX('S6_24-25_AOUT'!$Q$3:$Q$113,MATCH($A26,'S6_24-25_AOUT'!$A$3:$A$113,0)),"")="STC"),"STC",IF(OR(IFERROR(INDEX(S1_26_JUIL!$P$3:$P$113,MATCH($A26,S1_26_JUIL!$A$3:$A$113,0)),"")="À vérifier",IFERROR(INDEX('S2_27_JUIL-02_AOUT'!$V$3:$V$113,MATCH($A26,'S2_27_JUIL-02_AOUT'!$A$3:$A$113,0)),"")="À vérifier",IFERROR(INDEX('S3_03-09_AOUT'!$V$3:$V$113,MATCH($A26,'S3_03-09_AOUT'!$A$3:$A$113,0)),"")="À vérifier",IFERROR(INDEX('S4_10-16_AOUT'!$V$3:$V$113,MATCH($A26,'S4_10-16_AOUT'!$A$3:$A$113,0)),"")="À vérifier",IFERROR(INDEX('S5_17-23_AOUT'!$V$3:$V$113,MATCH($A26,'S5_17-23_AOUT'!$A$3:$A$113,0)),"")="À vérifier",IFERROR(INDEX('S6_24-25_AOUT'!$Q$3:$Q$113,MATCH($A26,'S6_24-25_AOUT'!$A$3:$A$113,0)),"")="À vérifier",ABS(L26-T26)&gt;=0.01),"À vérifier","OK"))</f>
        <v>OK</v>
      </c>
    </row>
    <row r="27" spans="1:21">
      <c r="A27" s="12">
        <v>249</v>
      </c>
      <c r="B27" s="12" t="s">
        <v>88</v>
      </c>
      <c r="C27" s="13" t="s">
        <v>89</v>
      </c>
      <c r="D27" s="12" t="s">
        <v>87</v>
      </c>
      <c r="E27" s="10" t="s">
        <v>21</v>
      </c>
      <c r="F27" s="8">
        <f>IFERROR(SUMIF(S1_26_JUIL!$A$3:$A$113,$A27,S1_26_JUIL!$O$3:$O$113),0)</f>
        <v>0</v>
      </c>
      <c r="G27" s="8">
        <f>IFERROR(SUMIF('S2_27_JUIL-02_AOUT'!$A$3:$A$113,$A27,'S2_27_JUIL-02_AOUT'!$U$3:$U$113),0)</f>
        <v>40</v>
      </c>
      <c r="H27" s="8">
        <f>IFERROR(SUMIF('S3_03-09_AOUT'!$A$3:$A$113,$A27,'S3_03-09_AOUT'!$U$3:$U$113),0)</f>
        <v>0</v>
      </c>
      <c r="I27" s="8">
        <f>IFERROR(SUMIF('S4_10-16_AOUT'!$A$3:$A$113,$A27,'S4_10-16_AOUT'!$U$3:$U$113),0)</f>
        <v>0</v>
      </c>
      <c r="J27" s="8">
        <f>IFERROR(SUMIF('S5_17-23_AOUT'!$A$3:$A$113,$A27,'S5_17-23_AOUT'!$U$3:$U$113),0)</f>
        <v>0</v>
      </c>
      <c r="K27" s="8">
        <f>IFERROR(SUMIF('S6_24-25_AOUT'!$A$3:$A$113,$A27,'S6_24-25_AOUT'!$P$3:$P$113),0)</f>
        <v>0</v>
      </c>
      <c r="L27" s="8">
        <f t="shared" si="0"/>
        <v>40</v>
      </c>
      <c r="M27" s="8">
        <f>IFERROR(SUMIF(S1_26_JUIL!$A$3:$A$113,$A27,S1_26_JUIL!$I$3:$I$113),0)+IFERROR(SUMIF('S2_27_JUIL-02_AOUT'!$A$3:$A$113,$A27,'S2_27_JUIL-02_AOUT'!$O$3:$O$113),0)+IFERROR(SUMIF('S3_03-09_AOUT'!$A$3:$A$113,$A27,'S3_03-09_AOUT'!$O$3:$O$113),0)+IFERROR(SUMIF('S4_10-16_AOUT'!$A$3:$A$113,$A27,'S4_10-16_AOUT'!$O$3:$O$113),0)+IFERROR(SUMIF('S5_17-23_AOUT'!$A$3:$A$113,$A27,'S5_17-23_AOUT'!$O$3:$O$113),0)+IFERROR(SUMIF('S6_24-25_AOUT'!$A$3:$A$113,$A27,'S6_24-25_AOUT'!$J$3:$J$113),0)</f>
        <v>40</v>
      </c>
      <c r="N27" s="9">
        <f>IFERROR(SUMIF(S1_26_JUIL!$A$3:$A$113,$A27,S1_26_JUIL!$J$3:$J$113),0)+IFERROR(SUMIF('S2_27_JUIL-02_AOUT'!$A$3:$A$113,$A27,'S2_27_JUIL-02_AOUT'!$P$3:$P$113),0)+IFERROR(SUMIF('S3_03-09_AOUT'!$A$3:$A$113,$A27,'S3_03-09_AOUT'!$P$3:$P$113),0)+IFERROR(SUMIF('S4_10-16_AOUT'!$A$3:$A$113,$A27,'S4_10-16_AOUT'!$P$3:$P$113),0)+IFERROR(SUMIF('S5_17-23_AOUT'!$A$3:$A$113,$A27,'S5_17-23_AOUT'!$P$3:$P$113),0)+IFERROR(SUMIF('S6_24-25_AOUT'!$A$3:$A$113,$A27,'S6_24-25_AOUT'!$K$3:$K$113),0)</f>
        <v>0</v>
      </c>
      <c r="O27" s="9">
        <f>IFERROR(SUMIF(S1_26_JUIL!$A$3:$A$113,$A27,S1_26_JUIL!$K$3:$K$113),0)+IFERROR(SUMIF('S2_27_JUIL-02_AOUT'!$A$3:$A$113,$A27,'S2_27_JUIL-02_AOUT'!$Q$3:$Q$113),0)+IFERROR(SUMIF('S3_03-09_AOUT'!$A$3:$A$113,$A27,'S3_03-09_AOUT'!$Q$3:$Q$113),0)+IFERROR(SUMIF('S4_10-16_AOUT'!$A$3:$A$113,$A27,'S4_10-16_AOUT'!$Q$3:$Q$113),0)+IFERROR(SUMIF('S5_17-23_AOUT'!$A$3:$A$113,$A27,'S5_17-23_AOUT'!$Q$3:$Q$113),0)+IFERROR(SUMIF('S6_24-25_AOUT'!$A$3:$A$113,$A27,'S6_24-25_AOUT'!$L$3:$L$113),0)</f>
        <v>0</v>
      </c>
      <c r="P27" s="8">
        <f>IFERROR(SUMIF(S1_26_JUIL!$A$3:$A$113,$A27,S1_26_JUIL!$L$3:$L$113),0)+IFERROR(SUMIF('S2_27_JUIL-02_AOUT'!$A$3:$A$113,$A27,'S2_27_JUIL-02_AOUT'!$R$3:$R$113),0)+IFERROR(SUMIF('S3_03-09_AOUT'!$A$3:$A$113,$A27,'S3_03-09_AOUT'!$R$3:$R$113),0)+IFERROR(SUMIF('S4_10-16_AOUT'!$A$3:$A$113,$A27,'S4_10-16_AOUT'!$R$3:$R$113),0)+IFERROR(SUMIF('S5_17-23_AOUT'!$A$3:$A$113,$A27,'S5_17-23_AOUT'!$R$3:$R$113),0)+IFERROR(SUMIF('S6_24-25_AOUT'!$A$3:$A$113,$A27,'S6_24-25_AOUT'!$M$3:$M$113),0)</f>
        <v>0</v>
      </c>
      <c r="Q27" s="8">
        <f>IFERROR(SUMIF(S1_26_JUIL!$A$3:$A$113,$A27,S1_26_JUIL!$M$3:$M$113),0)+IFERROR(SUMIF('S2_27_JUIL-02_AOUT'!$A$3:$A$113,$A27,'S2_27_JUIL-02_AOUT'!$S$3:$S$113),0)+IFERROR(SUMIF('S3_03-09_AOUT'!$A$3:$A$113,$A27,'S3_03-09_AOUT'!$S$3:$S$113),0)+IFERROR(SUMIF('S4_10-16_AOUT'!$A$3:$A$113,$A27,'S4_10-16_AOUT'!$S$3:$S$113),0)+IFERROR(SUMIF('S5_17-23_AOUT'!$A$3:$A$113,$A27,'S5_17-23_AOUT'!$S$3:$S$113),0)+IFERROR(SUMIF('S6_24-25_AOUT'!$A$3:$A$113,$A27,'S6_24-25_AOUT'!$N$3:$N$113),0)</f>
        <v>0</v>
      </c>
      <c r="R27" s="11">
        <f>IFERROR(SUMIF(S1_26_JUIL!$A$3:$A$113,$A27,S1_26_JUIL!$N$3:$N$113),0)+IFERROR(SUMIF('S2_27_JUIL-02_AOUT'!$A$3:$A$113,$A27,'S2_27_JUIL-02_AOUT'!$T$3:$T$113),0)+IFERROR(SUMIF('S3_03-09_AOUT'!$A$3:$A$113,$A27,'S3_03-09_AOUT'!$T$3:$T$113),0)+IFERROR(SUMIF('S4_10-16_AOUT'!$A$3:$A$113,$A27,'S4_10-16_AOUT'!$T$3:$T$113),0)+IFERROR(SUMIF('S5_17-23_AOUT'!$A$3:$A$113,$A27,'S5_17-23_AOUT'!$T$3:$T$113),0)+IFERROR(SUMIF('S6_24-25_AOUT'!$A$3:$A$113,$A27,'S6_24-25_AOUT'!$O$3:$O$113),0)</f>
        <v>0</v>
      </c>
      <c r="S27" s="8">
        <f>208</f>
        <v>208</v>
      </c>
      <c r="T27" s="8">
        <f t="shared" si="1"/>
        <v>40</v>
      </c>
      <c r="U27" s="10" t="str">
        <f>IF(OR(IFERROR(INDEX(S1_26_JUIL!$P$3:$P$113,MATCH($A27,S1_26_JUIL!$A$3:$A$113,0)),"")="STC",IFERROR(INDEX('S2_27_JUIL-02_AOUT'!$V$3:$V$113,MATCH($A27,'S2_27_JUIL-02_AOUT'!$A$3:$A$113,0)),"")="STC",IFERROR(INDEX('S3_03-09_AOUT'!$V$3:$V$113,MATCH($A27,'S3_03-09_AOUT'!$A$3:$A$113,0)),"")="STC",IFERROR(INDEX('S4_10-16_AOUT'!$V$3:$V$113,MATCH($A27,'S4_10-16_AOUT'!$A$3:$A$113,0)),"")="STC",IFERROR(INDEX('S5_17-23_AOUT'!$V$3:$V$113,MATCH($A27,'S5_17-23_AOUT'!$A$3:$A$113,0)),"")="STC",IFERROR(INDEX('S6_24-25_AOUT'!$Q$3:$Q$113,MATCH($A27,'S6_24-25_AOUT'!$A$3:$A$113,0)),"")="STC"),"STC",IF(OR(IFERROR(INDEX(S1_26_JUIL!$P$3:$P$113,MATCH($A27,S1_26_JUIL!$A$3:$A$113,0)),"")="À vérifier",IFERROR(INDEX('S2_27_JUIL-02_AOUT'!$V$3:$V$113,MATCH($A27,'S2_27_JUIL-02_AOUT'!$A$3:$A$113,0)),"")="À vérifier",IFERROR(INDEX('S3_03-09_AOUT'!$V$3:$V$113,MATCH($A27,'S3_03-09_AOUT'!$A$3:$A$113,0)),"")="À vérifier",IFERROR(INDEX('S4_10-16_AOUT'!$V$3:$V$113,MATCH($A27,'S4_10-16_AOUT'!$A$3:$A$113,0)),"")="À vérifier",IFERROR(INDEX('S5_17-23_AOUT'!$V$3:$V$113,MATCH($A27,'S5_17-23_AOUT'!$A$3:$A$113,0)),"")="À vérifier",IFERROR(INDEX('S6_24-25_AOUT'!$Q$3:$Q$113,MATCH($A27,'S6_24-25_AOUT'!$A$3:$A$113,0)),"")="À vérifier",ABS(L27-T27)&gt;=0.01),"À vérifier","OK"))</f>
        <v>OK</v>
      </c>
    </row>
    <row r="28" spans="1:21">
      <c r="A28" s="12">
        <v>135</v>
      </c>
      <c r="B28" s="12" t="s">
        <v>90</v>
      </c>
      <c r="C28" s="13" t="s">
        <v>91</v>
      </c>
      <c r="D28" s="12" t="s">
        <v>92</v>
      </c>
      <c r="E28" s="10" t="s">
        <v>21</v>
      </c>
      <c r="F28" s="8">
        <f>IFERROR(SUMIF(S1_26_JUIL!$A$3:$A$113,$A28,S1_26_JUIL!$O$3:$O$113),0)</f>
        <v>8</v>
      </c>
      <c r="G28" s="8">
        <f>IFERROR(SUMIF('S2_27_JUIL-02_AOUT'!$A$3:$A$113,$A28,'S2_27_JUIL-02_AOUT'!$U$3:$U$113),0)</f>
        <v>30</v>
      </c>
      <c r="H28" s="8">
        <f>IFERROR(SUMIF('S3_03-09_AOUT'!$A$3:$A$113,$A28,'S3_03-09_AOUT'!$U$3:$U$113),0)</f>
        <v>0</v>
      </c>
      <c r="I28" s="8">
        <f>IFERROR(SUMIF('S4_10-16_AOUT'!$A$3:$A$113,$A28,'S4_10-16_AOUT'!$U$3:$U$113),0)</f>
        <v>0</v>
      </c>
      <c r="J28" s="8">
        <f>IFERROR(SUMIF('S5_17-23_AOUT'!$A$3:$A$113,$A28,'S5_17-23_AOUT'!$U$3:$U$113),0)</f>
        <v>0</v>
      </c>
      <c r="K28" s="8">
        <f>IFERROR(SUMIF('S6_24-25_AOUT'!$A$3:$A$113,$A28,'S6_24-25_AOUT'!$P$3:$P$113),0)</f>
        <v>0</v>
      </c>
      <c r="L28" s="8">
        <f t="shared" si="0"/>
        <v>38</v>
      </c>
      <c r="M28" s="8">
        <f>IFERROR(SUMIF(S1_26_JUIL!$A$3:$A$113,$A28,S1_26_JUIL!$I$3:$I$113),0)+IFERROR(SUMIF('S2_27_JUIL-02_AOUT'!$A$3:$A$113,$A28,'S2_27_JUIL-02_AOUT'!$O$3:$O$113),0)+IFERROR(SUMIF('S3_03-09_AOUT'!$A$3:$A$113,$A28,'S3_03-09_AOUT'!$O$3:$O$113),0)+IFERROR(SUMIF('S4_10-16_AOUT'!$A$3:$A$113,$A28,'S4_10-16_AOUT'!$O$3:$O$113),0)+IFERROR(SUMIF('S5_17-23_AOUT'!$A$3:$A$113,$A28,'S5_17-23_AOUT'!$O$3:$O$113),0)+IFERROR(SUMIF('S6_24-25_AOUT'!$A$3:$A$113,$A28,'S6_24-25_AOUT'!$J$3:$J$113),0)</f>
        <v>38</v>
      </c>
      <c r="N28" s="9">
        <f>IFERROR(SUMIF(S1_26_JUIL!$A$3:$A$113,$A28,S1_26_JUIL!$J$3:$J$113),0)+IFERROR(SUMIF('S2_27_JUIL-02_AOUT'!$A$3:$A$113,$A28,'S2_27_JUIL-02_AOUT'!$P$3:$P$113),0)+IFERROR(SUMIF('S3_03-09_AOUT'!$A$3:$A$113,$A28,'S3_03-09_AOUT'!$P$3:$P$113),0)+IFERROR(SUMIF('S4_10-16_AOUT'!$A$3:$A$113,$A28,'S4_10-16_AOUT'!$P$3:$P$113),0)+IFERROR(SUMIF('S5_17-23_AOUT'!$A$3:$A$113,$A28,'S5_17-23_AOUT'!$P$3:$P$113),0)+IFERROR(SUMIF('S6_24-25_AOUT'!$A$3:$A$113,$A28,'S6_24-25_AOUT'!$K$3:$K$113),0)</f>
        <v>0</v>
      </c>
      <c r="O28" s="9">
        <f>IFERROR(SUMIF(S1_26_JUIL!$A$3:$A$113,$A28,S1_26_JUIL!$K$3:$K$113),0)+IFERROR(SUMIF('S2_27_JUIL-02_AOUT'!$A$3:$A$113,$A28,'S2_27_JUIL-02_AOUT'!$Q$3:$Q$113),0)+IFERROR(SUMIF('S3_03-09_AOUT'!$A$3:$A$113,$A28,'S3_03-09_AOUT'!$Q$3:$Q$113),0)+IFERROR(SUMIF('S4_10-16_AOUT'!$A$3:$A$113,$A28,'S4_10-16_AOUT'!$Q$3:$Q$113),0)+IFERROR(SUMIF('S5_17-23_AOUT'!$A$3:$A$113,$A28,'S5_17-23_AOUT'!$Q$3:$Q$113),0)+IFERROR(SUMIF('S6_24-25_AOUT'!$A$3:$A$113,$A28,'S6_24-25_AOUT'!$L$3:$L$113),0)</f>
        <v>0</v>
      </c>
      <c r="P28" s="8">
        <f>IFERROR(SUMIF(S1_26_JUIL!$A$3:$A$113,$A28,S1_26_JUIL!$L$3:$L$113),0)+IFERROR(SUMIF('S2_27_JUIL-02_AOUT'!$A$3:$A$113,$A28,'S2_27_JUIL-02_AOUT'!$R$3:$R$113),0)+IFERROR(SUMIF('S3_03-09_AOUT'!$A$3:$A$113,$A28,'S3_03-09_AOUT'!$R$3:$R$113),0)+IFERROR(SUMIF('S4_10-16_AOUT'!$A$3:$A$113,$A28,'S4_10-16_AOUT'!$R$3:$R$113),0)+IFERROR(SUMIF('S5_17-23_AOUT'!$A$3:$A$113,$A28,'S5_17-23_AOUT'!$R$3:$R$113),0)+IFERROR(SUMIF('S6_24-25_AOUT'!$A$3:$A$113,$A28,'S6_24-25_AOUT'!$M$3:$M$113),0)</f>
        <v>1</v>
      </c>
      <c r="Q28" s="8">
        <f>IFERROR(SUMIF(S1_26_JUIL!$A$3:$A$113,$A28,S1_26_JUIL!$M$3:$M$113),0)+IFERROR(SUMIF('S2_27_JUIL-02_AOUT'!$A$3:$A$113,$A28,'S2_27_JUIL-02_AOUT'!$S$3:$S$113),0)+IFERROR(SUMIF('S3_03-09_AOUT'!$A$3:$A$113,$A28,'S3_03-09_AOUT'!$S$3:$S$113),0)+IFERROR(SUMIF('S4_10-16_AOUT'!$A$3:$A$113,$A28,'S4_10-16_AOUT'!$S$3:$S$113),0)+IFERROR(SUMIF('S5_17-23_AOUT'!$A$3:$A$113,$A28,'S5_17-23_AOUT'!$S$3:$S$113),0)+IFERROR(SUMIF('S6_24-25_AOUT'!$A$3:$A$113,$A28,'S6_24-25_AOUT'!$N$3:$N$113),0)</f>
        <v>0</v>
      </c>
      <c r="R28" s="11">
        <f>IFERROR(SUMIF(S1_26_JUIL!$A$3:$A$113,$A28,S1_26_JUIL!$N$3:$N$113),0)+IFERROR(SUMIF('S2_27_JUIL-02_AOUT'!$A$3:$A$113,$A28,'S2_27_JUIL-02_AOUT'!$T$3:$T$113),0)+IFERROR(SUMIF('S3_03-09_AOUT'!$A$3:$A$113,$A28,'S3_03-09_AOUT'!$T$3:$T$113),0)+IFERROR(SUMIF('S4_10-16_AOUT'!$A$3:$A$113,$A28,'S4_10-16_AOUT'!$T$3:$T$113),0)+IFERROR(SUMIF('S5_17-23_AOUT'!$A$3:$A$113,$A28,'S5_17-23_AOUT'!$T$3:$T$113),0)+IFERROR(SUMIF('S6_24-25_AOUT'!$A$3:$A$113,$A28,'S6_24-25_AOUT'!$O$3:$O$113),0)</f>
        <v>0</v>
      </c>
      <c r="S28" s="8">
        <f>208</f>
        <v>208</v>
      </c>
      <c r="T28" s="8">
        <f t="shared" si="1"/>
        <v>38</v>
      </c>
      <c r="U28" s="10" t="str">
        <f>IF(OR(IFERROR(INDEX(S1_26_JUIL!$P$3:$P$113,MATCH($A28,S1_26_JUIL!$A$3:$A$113,0)),"")="STC",IFERROR(INDEX('S2_27_JUIL-02_AOUT'!$V$3:$V$113,MATCH($A28,'S2_27_JUIL-02_AOUT'!$A$3:$A$113,0)),"")="STC",IFERROR(INDEX('S3_03-09_AOUT'!$V$3:$V$113,MATCH($A28,'S3_03-09_AOUT'!$A$3:$A$113,0)),"")="STC",IFERROR(INDEX('S4_10-16_AOUT'!$V$3:$V$113,MATCH($A28,'S4_10-16_AOUT'!$A$3:$A$113,0)),"")="STC",IFERROR(INDEX('S5_17-23_AOUT'!$V$3:$V$113,MATCH($A28,'S5_17-23_AOUT'!$A$3:$A$113,0)),"")="STC",IFERROR(INDEX('S6_24-25_AOUT'!$Q$3:$Q$113,MATCH($A28,'S6_24-25_AOUT'!$A$3:$A$113,0)),"")="STC"),"STC",IF(OR(IFERROR(INDEX(S1_26_JUIL!$P$3:$P$113,MATCH($A28,S1_26_JUIL!$A$3:$A$113,0)),"")="À vérifier",IFERROR(INDEX('S2_27_JUIL-02_AOUT'!$V$3:$V$113,MATCH($A28,'S2_27_JUIL-02_AOUT'!$A$3:$A$113,0)),"")="À vérifier",IFERROR(INDEX('S3_03-09_AOUT'!$V$3:$V$113,MATCH($A28,'S3_03-09_AOUT'!$A$3:$A$113,0)),"")="À vérifier",IFERROR(INDEX('S4_10-16_AOUT'!$V$3:$V$113,MATCH($A28,'S4_10-16_AOUT'!$A$3:$A$113,0)),"")="À vérifier",IFERROR(INDEX('S5_17-23_AOUT'!$V$3:$V$113,MATCH($A28,'S5_17-23_AOUT'!$A$3:$A$113,0)),"")="À vérifier",IFERROR(INDEX('S6_24-25_AOUT'!$Q$3:$Q$113,MATCH($A28,'S6_24-25_AOUT'!$A$3:$A$113,0)),"")="À vérifier",ABS(L28-T28)&gt;=0.01),"À vérifier","OK"))</f>
        <v>OK</v>
      </c>
    </row>
    <row r="29" spans="1:21">
      <c r="A29" s="12" t="s">
        <v>93</v>
      </c>
      <c r="B29" s="12" t="s">
        <v>94</v>
      </c>
      <c r="C29" s="13" t="s">
        <v>95</v>
      </c>
      <c r="D29" s="12" t="s">
        <v>92</v>
      </c>
      <c r="E29" s="10" t="s">
        <v>21</v>
      </c>
      <c r="F29" s="8">
        <f>IFERROR(SUMIF(S1_26_JUIL!$A$3:$A$113,$A29,S1_26_JUIL!$O$3:$O$113),0)</f>
        <v>0</v>
      </c>
      <c r="G29" s="8">
        <f>IFERROR(SUMIF('S2_27_JUIL-02_AOUT'!$A$3:$A$113,$A29,'S2_27_JUIL-02_AOUT'!$U$3:$U$113),0)</f>
        <v>47.5</v>
      </c>
      <c r="H29" s="8">
        <f>IFERROR(SUMIF('S3_03-09_AOUT'!$A$3:$A$113,$A29,'S3_03-09_AOUT'!$U$3:$U$113),0)</f>
        <v>0</v>
      </c>
      <c r="I29" s="8">
        <f>IFERROR(SUMIF('S4_10-16_AOUT'!$A$3:$A$113,$A29,'S4_10-16_AOUT'!$U$3:$U$113),0)</f>
        <v>0</v>
      </c>
      <c r="J29" s="8">
        <f>IFERROR(SUMIF('S5_17-23_AOUT'!$A$3:$A$113,$A29,'S5_17-23_AOUT'!$U$3:$U$113),0)</f>
        <v>0</v>
      </c>
      <c r="K29" s="8">
        <f>IFERROR(SUMIF('S6_24-25_AOUT'!$A$3:$A$113,$A29,'S6_24-25_AOUT'!$P$3:$P$113),0)</f>
        <v>0</v>
      </c>
      <c r="L29" s="8">
        <f t="shared" si="0"/>
        <v>47.5</v>
      </c>
      <c r="M29" s="8">
        <f>IFERROR(SUMIF(S1_26_JUIL!$A$3:$A$113,$A29,S1_26_JUIL!$I$3:$I$113),0)+IFERROR(SUMIF('S2_27_JUIL-02_AOUT'!$A$3:$A$113,$A29,'S2_27_JUIL-02_AOUT'!$O$3:$O$113),0)+IFERROR(SUMIF('S3_03-09_AOUT'!$A$3:$A$113,$A29,'S3_03-09_AOUT'!$O$3:$O$113),0)+IFERROR(SUMIF('S4_10-16_AOUT'!$A$3:$A$113,$A29,'S4_10-16_AOUT'!$O$3:$O$113),0)+IFERROR(SUMIF('S5_17-23_AOUT'!$A$3:$A$113,$A29,'S5_17-23_AOUT'!$O$3:$O$113),0)+IFERROR(SUMIF('S6_24-25_AOUT'!$A$3:$A$113,$A29,'S6_24-25_AOUT'!$J$3:$J$113),0)</f>
        <v>47.5</v>
      </c>
      <c r="N29" s="9">
        <f>IFERROR(SUMIF(S1_26_JUIL!$A$3:$A$113,$A29,S1_26_JUIL!$J$3:$J$113),0)+IFERROR(SUMIF('S2_27_JUIL-02_AOUT'!$A$3:$A$113,$A29,'S2_27_JUIL-02_AOUT'!$P$3:$P$113),0)+IFERROR(SUMIF('S3_03-09_AOUT'!$A$3:$A$113,$A29,'S3_03-09_AOUT'!$P$3:$P$113),0)+IFERROR(SUMIF('S4_10-16_AOUT'!$A$3:$A$113,$A29,'S4_10-16_AOUT'!$P$3:$P$113),0)+IFERROR(SUMIF('S5_17-23_AOUT'!$A$3:$A$113,$A29,'S5_17-23_AOUT'!$P$3:$P$113),0)+IFERROR(SUMIF('S6_24-25_AOUT'!$A$3:$A$113,$A29,'S6_24-25_AOUT'!$K$3:$K$113),0)</f>
        <v>0</v>
      </c>
      <c r="O29" s="9">
        <f>IFERROR(SUMIF(S1_26_JUIL!$A$3:$A$113,$A29,S1_26_JUIL!$K$3:$K$113),0)+IFERROR(SUMIF('S2_27_JUIL-02_AOUT'!$A$3:$A$113,$A29,'S2_27_JUIL-02_AOUT'!$Q$3:$Q$113),0)+IFERROR(SUMIF('S3_03-09_AOUT'!$A$3:$A$113,$A29,'S3_03-09_AOUT'!$Q$3:$Q$113),0)+IFERROR(SUMIF('S4_10-16_AOUT'!$A$3:$A$113,$A29,'S4_10-16_AOUT'!$Q$3:$Q$113),0)+IFERROR(SUMIF('S5_17-23_AOUT'!$A$3:$A$113,$A29,'S5_17-23_AOUT'!$Q$3:$Q$113),0)+IFERROR(SUMIF('S6_24-25_AOUT'!$A$3:$A$113,$A29,'S6_24-25_AOUT'!$L$3:$L$113),0)</f>
        <v>0</v>
      </c>
      <c r="P29" s="8">
        <f>IFERROR(SUMIF(S1_26_JUIL!$A$3:$A$113,$A29,S1_26_JUIL!$L$3:$L$113),0)+IFERROR(SUMIF('S2_27_JUIL-02_AOUT'!$A$3:$A$113,$A29,'S2_27_JUIL-02_AOUT'!$R$3:$R$113),0)+IFERROR(SUMIF('S3_03-09_AOUT'!$A$3:$A$113,$A29,'S3_03-09_AOUT'!$R$3:$R$113),0)+IFERROR(SUMIF('S4_10-16_AOUT'!$A$3:$A$113,$A29,'S4_10-16_AOUT'!$R$3:$R$113),0)+IFERROR(SUMIF('S5_17-23_AOUT'!$A$3:$A$113,$A29,'S5_17-23_AOUT'!$R$3:$R$113),0)+IFERROR(SUMIF('S6_24-25_AOUT'!$A$3:$A$113,$A29,'S6_24-25_AOUT'!$M$3:$M$113),0)</f>
        <v>0</v>
      </c>
      <c r="Q29" s="8">
        <f>IFERROR(SUMIF(S1_26_JUIL!$A$3:$A$113,$A29,S1_26_JUIL!$M$3:$M$113),0)+IFERROR(SUMIF('S2_27_JUIL-02_AOUT'!$A$3:$A$113,$A29,'S2_27_JUIL-02_AOUT'!$S$3:$S$113),0)+IFERROR(SUMIF('S3_03-09_AOUT'!$A$3:$A$113,$A29,'S3_03-09_AOUT'!$S$3:$S$113),0)+IFERROR(SUMIF('S4_10-16_AOUT'!$A$3:$A$113,$A29,'S4_10-16_AOUT'!$S$3:$S$113),0)+IFERROR(SUMIF('S5_17-23_AOUT'!$A$3:$A$113,$A29,'S5_17-23_AOUT'!$S$3:$S$113),0)+IFERROR(SUMIF('S6_24-25_AOUT'!$A$3:$A$113,$A29,'S6_24-25_AOUT'!$N$3:$N$113),0)</f>
        <v>0</v>
      </c>
      <c r="R29" s="11">
        <f>IFERROR(SUMIF(S1_26_JUIL!$A$3:$A$113,$A29,S1_26_JUIL!$N$3:$N$113),0)+IFERROR(SUMIF('S2_27_JUIL-02_AOUT'!$A$3:$A$113,$A29,'S2_27_JUIL-02_AOUT'!$T$3:$T$113),0)+IFERROR(SUMIF('S3_03-09_AOUT'!$A$3:$A$113,$A29,'S3_03-09_AOUT'!$T$3:$T$113),0)+IFERROR(SUMIF('S4_10-16_AOUT'!$A$3:$A$113,$A29,'S4_10-16_AOUT'!$T$3:$T$113),0)+IFERROR(SUMIF('S5_17-23_AOUT'!$A$3:$A$113,$A29,'S5_17-23_AOUT'!$T$3:$T$113),0)+IFERROR(SUMIF('S6_24-25_AOUT'!$A$3:$A$113,$A29,'S6_24-25_AOUT'!$O$3:$O$113),0)</f>
        <v>0</v>
      </c>
      <c r="S29" s="8">
        <f>208</f>
        <v>208</v>
      </c>
      <c r="T29" s="8">
        <f t="shared" si="1"/>
        <v>47.5</v>
      </c>
      <c r="U29" s="10" t="str">
        <f>IF(OR(IFERROR(INDEX(S1_26_JUIL!$P$3:$P$113,MATCH($A29,S1_26_JUIL!$A$3:$A$113,0)),"")="STC",IFERROR(INDEX('S2_27_JUIL-02_AOUT'!$V$3:$V$113,MATCH($A29,'S2_27_JUIL-02_AOUT'!$A$3:$A$113,0)),"")="STC",IFERROR(INDEX('S3_03-09_AOUT'!$V$3:$V$113,MATCH($A29,'S3_03-09_AOUT'!$A$3:$A$113,0)),"")="STC",IFERROR(INDEX('S4_10-16_AOUT'!$V$3:$V$113,MATCH($A29,'S4_10-16_AOUT'!$A$3:$A$113,0)),"")="STC",IFERROR(INDEX('S5_17-23_AOUT'!$V$3:$V$113,MATCH($A29,'S5_17-23_AOUT'!$A$3:$A$113,0)),"")="STC",IFERROR(INDEX('S6_24-25_AOUT'!$Q$3:$Q$113,MATCH($A29,'S6_24-25_AOUT'!$A$3:$A$113,0)),"")="STC"),"STC",IF(OR(IFERROR(INDEX(S1_26_JUIL!$P$3:$P$113,MATCH($A29,S1_26_JUIL!$A$3:$A$113,0)),"")="À vérifier",IFERROR(INDEX('S2_27_JUIL-02_AOUT'!$V$3:$V$113,MATCH($A29,'S2_27_JUIL-02_AOUT'!$A$3:$A$113,0)),"")="À vérifier",IFERROR(INDEX('S3_03-09_AOUT'!$V$3:$V$113,MATCH($A29,'S3_03-09_AOUT'!$A$3:$A$113,0)),"")="À vérifier",IFERROR(INDEX('S4_10-16_AOUT'!$V$3:$V$113,MATCH($A29,'S4_10-16_AOUT'!$A$3:$A$113,0)),"")="À vérifier",IFERROR(INDEX('S5_17-23_AOUT'!$V$3:$V$113,MATCH($A29,'S5_17-23_AOUT'!$A$3:$A$113,0)),"")="À vérifier",IFERROR(INDEX('S6_24-25_AOUT'!$Q$3:$Q$113,MATCH($A29,'S6_24-25_AOUT'!$A$3:$A$113,0)),"")="À vérifier",ABS(L29-T29)&gt;=0.01),"À vérifier","OK"))</f>
        <v>OK</v>
      </c>
    </row>
    <row r="30" spans="1:21">
      <c r="A30" s="12">
        <v>248</v>
      </c>
      <c r="B30" s="12" t="s">
        <v>96</v>
      </c>
      <c r="C30" s="13" t="s">
        <v>97</v>
      </c>
      <c r="D30" s="12" t="s">
        <v>92</v>
      </c>
      <c r="E30" s="10" t="s">
        <v>21</v>
      </c>
      <c r="F30" s="8">
        <f>IFERROR(SUMIF(S1_26_JUIL!$A$3:$A$113,$A30,S1_26_JUIL!$O$3:$O$113),0)</f>
        <v>0</v>
      </c>
      <c r="G30" s="8">
        <f>IFERROR(SUMIF('S2_27_JUIL-02_AOUT'!$A$3:$A$113,$A30,'S2_27_JUIL-02_AOUT'!$U$3:$U$113),0)</f>
        <v>37</v>
      </c>
      <c r="H30" s="8">
        <f>IFERROR(SUMIF('S3_03-09_AOUT'!$A$3:$A$113,$A30,'S3_03-09_AOUT'!$U$3:$U$113),0)</f>
        <v>0</v>
      </c>
      <c r="I30" s="8">
        <f>IFERROR(SUMIF('S4_10-16_AOUT'!$A$3:$A$113,$A30,'S4_10-16_AOUT'!$U$3:$U$113),0)</f>
        <v>0</v>
      </c>
      <c r="J30" s="8">
        <f>IFERROR(SUMIF('S5_17-23_AOUT'!$A$3:$A$113,$A30,'S5_17-23_AOUT'!$U$3:$U$113),0)</f>
        <v>0</v>
      </c>
      <c r="K30" s="8">
        <f>IFERROR(SUMIF('S6_24-25_AOUT'!$A$3:$A$113,$A30,'S6_24-25_AOUT'!$P$3:$P$113),0)</f>
        <v>0</v>
      </c>
      <c r="L30" s="8">
        <f t="shared" si="0"/>
        <v>37</v>
      </c>
      <c r="M30" s="8">
        <f>IFERROR(SUMIF(S1_26_JUIL!$A$3:$A$113,$A30,S1_26_JUIL!$I$3:$I$113),0)+IFERROR(SUMIF('S2_27_JUIL-02_AOUT'!$A$3:$A$113,$A30,'S2_27_JUIL-02_AOUT'!$O$3:$O$113),0)+IFERROR(SUMIF('S3_03-09_AOUT'!$A$3:$A$113,$A30,'S3_03-09_AOUT'!$O$3:$O$113),0)+IFERROR(SUMIF('S4_10-16_AOUT'!$A$3:$A$113,$A30,'S4_10-16_AOUT'!$O$3:$O$113),0)+IFERROR(SUMIF('S5_17-23_AOUT'!$A$3:$A$113,$A30,'S5_17-23_AOUT'!$O$3:$O$113),0)+IFERROR(SUMIF('S6_24-25_AOUT'!$A$3:$A$113,$A30,'S6_24-25_AOUT'!$J$3:$J$113),0)</f>
        <v>37</v>
      </c>
      <c r="N30" s="9">
        <f>IFERROR(SUMIF(S1_26_JUIL!$A$3:$A$113,$A30,S1_26_JUIL!$J$3:$J$113),0)+IFERROR(SUMIF('S2_27_JUIL-02_AOUT'!$A$3:$A$113,$A30,'S2_27_JUIL-02_AOUT'!$P$3:$P$113),0)+IFERROR(SUMIF('S3_03-09_AOUT'!$A$3:$A$113,$A30,'S3_03-09_AOUT'!$P$3:$P$113),0)+IFERROR(SUMIF('S4_10-16_AOUT'!$A$3:$A$113,$A30,'S4_10-16_AOUT'!$P$3:$P$113),0)+IFERROR(SUMIF('S5_17-23_AOUT'!$A$3:$A$113,$A30,'S5_17-23_AOUT'!$P$3:$P$113),0)+IFERROR(SUMIF('S6_24-25_AOUT'!$A$3:$A$113,$A30,'S6_24-25_AOUT'!$K$3:$K$113),0)</f>
        <v>0</v>
      </c>
      <c r="O30" s="9">
        <f>IFERROR(SUMIF(S1_26_JUIL!$A$3:$A$113,$A30,S1_26_JUIL!$K$3:$K$113),0)+IFERROR(SUMIF('S2_27_JUIL-02_AOUT'!$A$3:$A$113,$A30,'S2_27_JUIL-02_AOUT'!$Q$3:$Q$113),0)+IFERROR(SUMIF('S3_03-09_AOUT'!$A$3:$A$113,$A30,'S3_03-09_AOUT'!$Q$3:$Q$113),0)+IFERROR(SUMIF('S4_10-16_AOUT'!$A$3:$A$113,$A30,'S4_10-16_AOUT'!$Q$3:$Q$113),0)+IFERROR(SUMIF('S5_17-23_AOUT'!$A$3:$A$113,$A30,'S5_17-23_AOUT'!$Q$3:$Q$113),0)+IFERROR(SUMIF('S6_24-25_AOUT'!$A$3:$A$113,$A30,'S6_24-25_AOUT'!$L$3:$L$113),0)</f>
        <v>0</v>
      </c>
      <c r="P30" s="8">
        <f>IFERROR(SUMIF(S1_26_JUIL!$A$3:$A$113,$A30,S1_26_JUIL!$L$3:$L$113),0)+IFERROR(SUMIF('S2_27_JUIL-02_AOUT'!$A$3:$A$113,$A30,'S2_27_JUIL-02_AOUT'!$R$3:$R$113),0)+IFERROR(SUMIF('S3_03-09_AOUT'!$A$3:$A$113,$A30,'S3_03-09_AOUT'!$R$3:$R$113),0)+IFERROR(SUMIF('S4_10-16_AOUT'!$A$3:$A$113,$A30,'S4_10-16_AOUT'!$R$3:$R$113),0)+IFERROR(SUMIF('S5_17-23_AOUT'!$A$3:$A$113,$A30,'S5_17-23_AOUT'!$R$3:$R$113),0)+IFERROR(SUMIF('S6_24-25_AOUT'!$A$3:$A$113,$A30,'S6_24-25_AOUT'!$M$3:$M$113),0)</f>
        <v>1</v>
      </c>
      <c r="Q30" s="8">
        <f>IFERROR(SUMIF(S1_26_JUIL!$A$3:$A$113,$A30,S1_26_JUIL!$M$3:$M$113),0)+IFERROR(SUMIF('S2_27_JUIL-02_AOUT'!$A$3:$A$113,$A30,'S2_27_JUIL-02_AOUT'!$S$3:$S$113),0)+IFERROR(SUMIF('S3_03-09_AOUT'!$A$3:$A$113,$A30,'S3_03-09_AOUT'!$S$3:$S$113),0)+IFERROR(SUMIF('S4_10-16_AOUT'!$A$3:$A$113,$A30,'S4_10-16_AOUT'!$S$3:$S$113),0)+IFERROR(SUMIF('S5_17-23_AOUT'!$A$3:$A$113,$A30,'S5_17-23_AOUT'!$S$3:$S$113),0)+IFERROR(SUMIF('S6_24-25_AOUT'!$A$3:$A$113,$A30,'S6_24-25_AOUT'!$N$3:$N$113),0)</f>
        <v>0</v>
      </c>
      <c r="R30" s="11">
        <f>IFERROR(SUMIF(S1_26_JUIL!$A$3:$A$113,$A30,S1_26_JUIL!$N$3:$N$113),0)+IFERROR(SUMIF('S2_27_JUIL-02_AOUT'!$A$3:$A$113,$A30,'S2_27_JUIL-02_AOUT'!$T$3:$T$113),0)+IFERROR(SUMIF('S3_03-09_AOUT'!$A$3:$A$113,$A30,'S3_03-09_AOUT'!$T$3:$T$113),0)+IFERROR(SUMIF('S4_10-16_AOUT'!$A$3:$A$113,$A30,'S4_10-16_AOUT'!$T$3:$T$113),0)+IFERROR(SUMIF('S5_17-23_AOUT'!$A$3:$A$113,$A30,'S5_17-23_AOUT'!$T$3:$T$113),0)+IFERROR(SUMIF('S6_24-25_AOUT'!$A$3:$A$113,$A30,'S6_24-25_AOUT'!$O$3:$O$113),0)</f>
        <v>0</v>
      </c>
      <c r="S30" s="8">
        <f>208</f>
        <v>208</v>
      </c>
      <c r="T30" s="8">
        <f t="shared" si="1"/>
        <v>37</v>
      </c>
      <c r="U30" s="10" t="str">
        <f>IF(OR(IFERROR(INDEX(S1_26_JUIL!$P$3:$P$113,MATCH($A30,S1_26_JUIL!$A$3:$A$113,0)),"")="STC",IFERROR(INDEX('S2_27_JUIL-02_AOUT'!$V$3:$V$113,MATCH($A30,'S2_27_JUIL-02_AOUT'!$A$3:$A$113,0)),"")="STC",IFERROR(INDEX('S3_03-09_AOUT'!$V$3:$V$113,MATCH($A30,'S3_03-09_AOUT'!$A$3:$A$113,0)),"")="STC",IFERROR(INDEX('S4_10-16_AOUT'!$V$3:$V$113,MATCH($A30,'S4_10-16_AOUT'!$A$3:$A$113,0)),"")="STC",IFERROR(INDEX('S5_17-23_AOUT'!$V$3:$V$113,MATCH($A30,'S5_17-23_AOUT'!$A$3:$A$113,0)),"")="STC",IFERROR(INDEX('S6_24-25_AOUT'!$Q$3:$Q$113,MATCH($A30,'S6_24-25_AOUT'!$A$3:$A$113,0)),"")="STC"),"STC",IF(OR(IFERROR(INDEX(S1_26_JUIL!$P$3:$P$113,MATCH($A30,S1_26_JUIL!$A$3:$A$113,0)),"")="À vérifier",IFERROR(INDEX('S2_27_JUIL-02_AOUT'!$V$3:$V$113,MATCH($A30,'S2_27_JUIL-02_AOUT'!$A$3:$A$113,0)),"")="À vérifier",IFERROR(INDEX('S3_03-09_AOUT'!$V$3:$V$113,MATCH($A30,'S3_03-09_AOUT'!$A$3:$A$113,0)),"")="À vérifier",IFERROR(INDEX('S4_10-16_AOUT'!$V$3:$V$113,MATCH($A30,'S4_10-16_AOUT'!$A$3:$A$113,0)),"")="À vérifier",IFERROR(INDEX('S5_17-23_AOUT'!$V$3:$V$113,MATCH($A30,'S5_17-23_AOUT'!$A$3:$A$113,0)),"")="À vérifier",IFERROR(INDEX('S6_24-25_AOUT'!$Q$3:$Q$113,MATCH($A30,'S6_24-25_AOUT'!$A$3:$A$113,0)),"")="À vérifier",ABS(L30-T30)&gt;=0.01),"À vérifier","OK"))</f>
        <v>OK</v>
      </c>
    </row>
    <row r="31" spans="1:21">
      <c r="A31" s="12">
        <v>71</v>
      </c>
      <c r="B31" s="12" t="s">
        <v>98</v>
      </c>
      <c r="C31" s="13" t="s">
        <v>99</v>
      </c>
      <c r="D31" s="12" t="s">
        <v>92</v>
      </c>
      <c r="E31" s="10" t="s">
        <v>21</v>
      </c>
      <c r="F31" s="8">
        <f>IFERROR(SUMIF(S1_26_JUIL!$A$3:$A$113,$A31,S1_26_JUIL!$O$3:$O$113),0)</f>
        <v>8</v>
      </c>
      <c r="G31" s="8">
        <f>IFERROR(SUMIF('S2_27_JUIL-02_AOUT'!$A$3:$A$113,$A31,'S2_27_JUIL-02_AOUT'!$U$3:$U$113),0)</f>
        <v>32</v>
      </c>
      <c r="H31" s="8">
        <f>IFERROR(SUMIF('S3_03-09_AOUT'!$A$3:$A$113,$A31,'S3_03-09_AOUT'!$U$3:$U$113),0)</f>
        <v>0</v>
      </c>
      <c r="I31" s="8">
        <f>IFERROR(SUMIF('S4_10-16_AOUT'!$A$3:$A$113,$A31,'S4_10-16_AOUT'!$U$3:$U$113),0)</f>
        <v>0</v>
      </c>
      <c r="J31" s="8">
        <f>IFERROR(SUMIF('S5_17-23_AOUT'!$A$3:$A$113,$A31,'S5_17-23_AOUT'!$U$3:$U$113),0)</f>
        <v>0</v>
      </c>
      <c r="K31" s="8">
        <f>IFERROR(SUMIF('S6_24-25_AOUT'!$A$3:$A$113,$A31,'S6_24-25_AOUT'!$P$3:$P$113),0)</f>
        <v>0</v>
      </c>
      <c r="L31" s="8">
        <f t="shared" si="0"/>
        <v>40</v>
      </c>
      <c r="M31" s="8">
        <f>IFERROR(SUMIF(S1_26_JUIL!$A$3:$A$113,$A31,S1_26_JUIL!$I$3:$I$113),0)+IFERROR(SUMIF('S2_27_JUIL-02_AOUT'!$A$3:$A$113,$A31,'S2_27_JUIL-02_AOUT'!$O$3:$O$113),0)+IFERROR(SUMIF('S3_03-09_AOUT'!$A$3:$A$113,$A31,'S3_03-09_AOUT'!$O$3:$O$113),0)+IFERROR(SUMIF('S4_10-16_AOUT'!$A$3:$A$113,$A31,'S4_10-16_AOUT'!$O$3:$O$113),0)+IFERROR(SUMIF('S5_17-23_AOUT'!$A$3:$A$113,$A31,'S5_17-23_AOUT'!$O$3:$O$113),0)+IFERROR(SUMIF('S6_24-25_AOUT'!$A$3:$A$113,$A31,'S6_24-25_AOUT'!$J$3:$J$113),0)</f>
        <v>40</v>
      </c>
      <c r="N31" s="9">
        <f>IFERROR(SUMIF(S1_26_JUIL!$A$3:$A$113,$A31,S1_26_JUIL!$J$3:$J$113),0)+IFERROR(SUMIF('S2_27_JUIL-02_AOUT'!$A$3:$A$113,$A31,'S2_27_JUIL-02_AOUT'!$P$3:$P$113),0)+IFERROR(SUMIF('S3_03-09_AOUT'!$A$3:$A$113,$A31,'S3_03-09_AOUT'!$P$3:$P$113),0)+IFERROR(SUMIF('S4_10-16_AOUT'!$A$3:$A$113,$A31,'S4_10-16_AOUT'!$P$3:$P$113),0)+IFERROR(SUMIF('S5_17-23_AOUT'!$A$3:$A$113,$A31,'S5_17-23_AOUT'!$P$3:$P$113),0)+IFERROR(SUMIF('S6_24-25_AOUT'!$A$3:$A$113,$A31,'S6_24-25_AOUT'!$K$3:$K$113),0)</f>
        <v>0</v>
      </c>
      <c r="O31" s="9">
        <f>IFERROR(SUMIF(S1_26_JUIL!$A$3:$A$113,$A31,S1_26_JUIL!$K$3:$K$113),0)+IFERROR(SUMIF('S2_27_JUIL-02_AOUT'!$A$3:$A$113,$A31,'S2_27_JUIL-02_AOUT'!$Q$3:$Q$113),0)+IFERROR(SUMIF('S3_03-09_AOUT'!$A$3:$A$113,$A31,'S3_03-09_AOUT'!$Q$3:$Q$113),0)+IFERROR(SUMIF('S4_10-16_AOUT'!$A$3:$A$113,$A31,'S4_10-16_AOUT'!$Q$3:$Q$113),0)+IFERROR(SUMIF('S5_17-23_AOUT'!$A$3:$A$113,$A31,'S5_17-23_AOUT'!$Q$3:$Q$113),0)+IFERROR(SUMIF('S6_24-25_AOUT'!$A$3:$A$113,$A31,'S6_24-25_AOUT'!$L$3:$L$113),0)</f>
        <v>0</v>
      </c>
      <c r="P31" s="8">
        <f>IFERROR(SUMIF(S1_26_JUIL!$A$3:$A$113,$A31,S1_26_JUIL!$L$3:$L$113),0)+IFERROR(SUMIF('S2_27_JUIL-02_AOUT'!$A$3:$A$113,$A31,'S2_27_JUIL-02_AOUT'!$R$3:$R$113),0)+IFERROR(SUMIF('S3_03-09_AOUT'!$A$3:$A$113,$A31,'S3_03-09_AOUT'!$R$3:$R$113),0)+IFERROR(SUMIF('S4_10-16_AOUT'!$A$3:$A$113,$A31,'S4_10-16_AOUT'!$R$3:$R$113),0)+IFERROR(SUMIF('S5_17-23_AOUT'!$A$3:$A$113,$A31,'S5_17-23_AOUT'!$R$3:$R$113),0)+IFERROR(SUMIF('S6_24-25_AOUT'!$A$3:$A$113,$A31,'S6_24-25_AOUT'!$M$3:$M$113),0)</f>
        <v>0</v>
      </c>
      <c r="Q31" s="8">
        <f>IFERROR(SUMIF(S1_26_JUIL!$A$3:$A$113,$A31,S1_26_JUIL!$M$3:$M$113),0)+IFERROR(SUMIF('S2_27_JUIL-02_AOUT'!$A$3:$A$113,$A31,'S2_27_JUIL-02_AOUT'!$S$3:$S$113),0)+IFERROR(SUMIF('S3_03-09_AOUT'!$A$3:$A$113,$A31,'S3_03-09_AOUT'!$S$3:$S$113),0)+IFERROR(SUMIF('S4_10-16_AOUT'!$A$3:$A$113,$A31,'S4_10-16_AOUT'!$S$3:$S$113),0)+IFERROR(SUMIF('S5_17-23_AOUT'!$A$3:$A$113,$A31,'S5_17-23_AOUT'!$S$3:$S$113),0)+IFERROR(SUMIF('S6_24-25_AOUT'!$A$3:$A$113,$A31,'S6_24-25_AOUT'!$N$3:$N$113),0)</f>
        <v>0</v>
      </c>
      <c r="R31" s="11">
        <f>IFERROR(SUMIF(S1_26_JUIL!$A$3:$A$113,$A31,S1_26_JUIL!$N$3:$N$113),0)+IFERROR(SUMIF('S2_27_JUIL-02_AOUT'!$A$3:$A$113,$A31,'S2_27_JUIL-02_AOUT'!$T$3:$T$113),0)+IFERROR(SUMIF('S3_03-09_AOUT'!$A$3:$A$113,$A31,'S3_03-09_AOUT'!$T$3:$T$113),0)+IFERROR(SUMIF('S4_10-16_AOUT'!$A$3:$A$113,$A31,'S4_10-16_AOUT'!$T$3:$T$113),0)+IFERROR(SUMIF('S5_17-23_AOUT'!$A$3:$A$113,$A31,'S5_17-23_AOUT'!$T$3:$T$113),0)+IFERROR(SUMIF('S6_24-25_AOUT'!$A$3:$A$113,$A31,'S6_24-25_AOUT'!$O$3:$O$113),0)</f>
        <v>0</v>
      </c>
      <c r="S31" s="8">
        <f>208</f>
        <v>208</v>
      </c>
      <c r="T31" s="8">
        <f t="shared" si="1"/>
        <v>40</v>
      </c>
      <c r="U31" s="10" t="str">
        <f>IF(OR(IFERROR(INDEX(S1_26_JUIL!$P$3:$P$113,MATCH($A31,S1_26_JUIL!$A$3:$A$113,0)),"")="STC",IFERROR(INDEX('S2_27_JUIL-02_AOUT'!$V$3:$V$113,MATCH($A31,'S2_27_JUIL-02_AOUT'!$A$3:$A$113,0)),"")="STC",IFERROR(INDEX('S3_03-09_AOUT'!$V$3:$V$113,MATCH($A31,'S3_03-09_AOUT'!$A$3:$A$113,0)),"")="STC",IFERROR(INDEX('S4_10-16_AOUT'!$V$3:$V$113,MATCH($A31,'S4_10-16_AOUT'!$A$3:$A$113,0)),"")="STC",IFERROR(INDEX('S5_17-23_AOUT'!$V$3:$V$113,MATCH($A31,'S5_17-23_AOUT'!$A$3:$A$113,0)),"")="STC",IFERROR(INDEX('S6_24-25_AOUT'!$Q$3:$Q$113,MATCH($A31,'S6_24-25_AOUT'!$A$3:$A$113,0)),"")="STC"),"STC",IF(OR(IFERROR(INDEX(S1_26_JUIL!$P$3:$P$113,MATCH($A31,S1_26_JUIL!$A$3:$A$113,0)),"")="À vérifier",IFERROR(INDEX('S2_27_JUIL-02_AOUT'!$V$3:$V$113,MATCH($A31,'S2_27_JUIL-02_AOUT'!$A$3:$A$113,0)),"")="À vérifier",IFERROR(INDEX('S3_03-09_AOUT'!$V$3:$V$113,MATCH($A31,'S3_03-09_AOUT'!$A$3:$A$113,0)),"")="À vérifier",IFERROR(INDEX('S4_10-16_AOUT'!$V$3:$V$113,MATCH($A31,'S4_10-16_AOUT'!$A$3:$A$113,0)),"")="À vérifier",IFERROR(INDEX('S5_17-23_AOUT'!$V$3:$V$113,MATCH($A31,'S5_17-23_AOUT'!$A$3:$A$113,0)),"")="À vérifier",IFERROR(INDEX('S6_24-25_AOUT'!$Q$3:$Q$113,MATCH($A31,'S6_24-25_AOUT'!$A$3:$A$113,0)),"")="À vérifier",ABS(L31-T31)&gt;=0.01),"À vérifier","OK"))</f>
        <v>OK</v>
      </c>
    </row>
    <row r="32" spans="1:21">
      <c r="A32" s="12">
        <v>227</v>
      </c>
      <c r="B32" s="12" t="s">
        <v>100</v>
      </c>
      <c r="C32" s="13" t="s">
        <v>101</v>
      </c>
      <c r="D32" s="12" t="s">
        <v>92</v>
      </c>
      <c r="E32" s="10" t="s">
        <v>21</v>
      </c>
      <c r="F32" s="8">
        <f>IFERROR(SUMIF(S1_26_JUIL!$A$3:$A$113,$A32,S1_26_JUIL!$O$3:$O$113),0)</f>
        <v>0</v>
      </c>
      <c r="G32" s="8">
        <f>IFERROR(SUMIF('S2_27_JUIL-02_AOUT'!$A$3:$A$113,$A32,'S2_27_JUIL-02_AOUT'!$U$3:$U$113),0)</f>
        <v>30.5</v>
      </c>
      <c r="H32" s="8">
        <f>IFERROR(SUMIF('S3_03-09_AOUT'!$A$3:$A$113,$A32,'S3_03-09_AOUT'!$U$3:$U$113),0)</f>
        <v>0</v>
      </c>
      <c r="I32" s="8">
        <f>IFERROR(SUMIF('S4_10-16_AOUT'!$A$3:$A$113,$A32,'S4_10-16_AOUT'!$U$3:$U$113),0)</f>
        <v>0</v>
      </c>
      <c r="J32" s="8">
        <f>IFERROR(SUMIF('S5_17-23_AOUT'!$A$3:$A$113,$A32,'S5_17-23_AOUT'!$U$3:$U$113),0)</f>
        <v>0</v>
      </c>
      <c r="K32" s="8">
        <f>IFERROR(SUMIF('S6_24-25_AOUT'!$A$3:$A$113,$A32,'S6_24-25_AOUT'!$P$3:$P$113),0)</f>
        <v>0</v>
      </c>
      <c r="L32" s="8">
        <f t="shared" si="0"/>
        <v>30.5</v>
      </c>
      <c r="M32" s="8">
        <f>IFERROR(SUMIF(S1_26_JUIL!$A$3:$A$113,$A32,S1_26_JUIL!$I$3:$I$113),0)+IFERROR(SUMIF('S2_27_JUIL-02_AOUT'!$A$3:$A$113,$A32,'S2_27_JUIL-02_AOUT'!$O$3:$O$113),0)+IFERROR(SUMIF('S3_03-09_AOUT'!$A$3:$A$113,$A32,'S3_03-09_AOUT'!$O$3:$O$113),0)+IFERROR(SUMIF('S4_10-16_AOUT'!$A$3:$A$113,$A32,'S4_10-16_AOUT'!$O$3:$O$113),0)+IFERROR(SUMIF('S5_17-23_AOUT'!$A$3:$A$113,$A32,'S5_17-23_AOUT'!$O$3:$O$113),0)+IFERROR(SUMIF('S6_24-25_AOUT'!$A$3:$A$113,$A32,'S6_24-25_AOUT'!$J$3:$J$113),0)</f>
        <v>30.5</v>
      </c>
      <c r="N32" s="9">
        <f>IFERROR(SUMIF(S1_26_JUIL!$A$3:$A$113,$A32,S1_26_JUIL!$J$3:$J$113),0)+IFERROR(SUMIF('S2_27_JUIL-02_AOUT'!$A$3:$A$113,$A32,'S2_27_JUIL-02_AOUT'!$P$3:$P$113),0)+IFERROR(SUMIF('S3_03-09_AOUT'!$A$3:$A$113,$A32,'S3_03-09_AOUT'!$P$3:$P$113),0)+IFERROR(SUMIF('S4_10-16_AOUT'!$A$3:$A$113,$A32,'S4_10-16_AOUT'!$P$3:$P$113),0)+IFERROR(SUMIF('S5_17-23_AOUT'!$A$3:$A$113,$A32,'S5_17-23_AOUT'!$P$3:$P$113),0)+IFERROR(SUMIF('S6_24-25_AOUT'!$A$3:$A$113,$A32,'S6_24-25_AOUT'!$K$3:$K$113),0)</f>
        <v>0</v>
      </c>
      <c r="O32" s="9">
        <f>IFERROR(SUMIF(S1_26_JUIL!$A$3:$A$113,$A32,S1_26_JUIL!$K$3:$K$113),0)+IFERROR(SUMIF('S2_27_JUIL-02_AOUT'!$A$3:$A$113,$A32,'S2_27_JUIL-02_AOUT'!$Q$3:$Q$113),0)+IFERROR(SUMIF('S3_03-09_AOUT'!$A$3:$A$113,$A32,'S3_03-09_AOUT'!$Q$3:$Q$113),0)+IFERROR(SUMIF('S4_10-16_AOUT'!$A$3:$A$113,$A32,'S4_10-16_AOUT'!$Q$3:$Q$113),0)+IFERROR(SUMIF('S5_17-23_AOUT'!$A$3:$A$113,$A32,'S5_17-23_AOUT'!$Q$3:$Q$113),0)+IFERROR(SUMIF('S6_24-25_AOUT'!$A$3:$A$113,$A32,'S6_24-25_AOUT'!$L$3:$L$113),0)</f>
        <v>0</v>
      </c>
      <c r="P32" s="8">
        <f>IFERROR(SUMIF(S1_26_JUIL!$A$3:$A$113,$A32,S1_26_JUIL!$L$3:$L$113),0)+IFERROR(SUMIF('S2_27_JUIL-02_AOUT'!$A$3:$A$113,$A32,'S2_27_JUIL-02_AOUT'!$R$3:$R$113),0)+IFERROR(SUMIF('S3_03-09_AOUT'!$A$3:$A$113,$A32,'S3_03-09_AOUT'!$R$3:$R$113),0)+IFERROR(SUMIF('S4_10-16_AOUT'!$A$3:$A$113,$A32,'S4_10-16_AOUT'!$R$3:$R$113),0)+IFERROR(SUMIF('S5_17-23_AOUT'!$A$3:$A$113,$A32,'S5_17-23_AOUT'!$R$3:$R$113),0)+IFERROR(SUMIF('S6_24-25_AOUT'!$A$3:$A$113,$A32,'S6_24-25_AOUT'!$M$3:$M$113),0)</f>
        <v>1</v>
      </c>
      <c r="Q32" s="8">
        <f>IFERROR(SUMIF(S1_26_JUIL!$A$3:$A$113,$A32,S1_26_JUIL!$M$3:$M$113),0)+IFERROR(SUMIF('S2_27_JUIL-02_AOUT'!$A$3:$A$113,$A32,'S2_27_JUIL-02_AOUT'!$S$3:$S$113),0)+IFERROR(SUMIF('S3_03-09_AOUT'!$A$3:$A$113,$A32,'S3_03-09_AOUT'!$S$3:$S$113),0)+IFERROR(SUMIF('S4_10-16_AOUT'!$A$3:$A$113,$A32,'S4_10-16_AOUT'!$S$3:$S$113),0)+IFERROR(SUMIF('S5_17-23_AOUT'!$A$3:$A$113,$A32,'S5_17-23_AOUT'!$S$3:$S$113),0)+IFERROR(SUMIF('S6_24-25_AOUT'!$A$3:$A$113,$A32,'S6_24-25_AOUT'!$N$3:$N$113),0)</f>
        <v>0</v>
      </c>
      <c r="R32" s="11">
        <f>IFERROR(SUMIF(S1_26_JUIL!$A$3:$A$113,$A32,S1_26_JUIL!$N$3:$N$113),0)+IFERROR(SUMIF('S2_27_JUIL-02_AOUT'!$A$3:$A$113,$A32,'S2_27_JUIL-02_AOUT'!$T$3:$T$113),0)+IFERROR(SUMIF('S3_03-09_AOUT'!$A$3:$A$113,$A32,'S3_03-09_AOUT'!$T$3:$T$113),0)+IFERROR(SUMIF('S4_10-16_AOUT'!$A$3:$A$113,$A32,'S4_10-16_AOUT'!$T$3:$T$113),0)+IFERROR(SUMIF('S5_17-23_AOUT'!$A$3:$A$113,$A32,'S5_17-23_AOUT'!$T$3:$T$113),0)+IFERROR(SUMIF('S6_24-25_AOUT'!$A$3:$A$113,$A32,'S6_24-25_AOUT'!$O$3:$O$113),0)</f>
        <v>0</v>
      </c>
      <c r="S32" s="8">
        <f>208</f>
        <v>208</v>
      </c>
      <c r="T32" s="8">
        <f t="shared" si="1"/>
        <v>30.5</v>
      </c>
      <c r="U32" s="10" t="str">
        <f>IF(OR(IFERROR(INDEX(S1_26_JUIL!$P$3:$P$113,MATCH($A32,S1_26_JUIL!$A$3:$A$113,0)),"")="STC",IFERROR(INDEX('S2_27_JUIL-02_AOUT'!$V$3:$V$113,MATCH($A32,'S2_27_JUIL-02_AOUT'!$A$3:$A$113,0)),"")="STC",IFERROR(INDEX('S3_03-09_AOUT'!$V$3:$V$113,MATCH($A32,'S3_03-09_AOUT'!$A$3:$A$113,0)),"")="STC",IFERROR(INDEX('S4_10-16_AOUT'!$V$3:$V$113,MATCH($A32,'S4_10-16_AOUT'!$A$3:$A$113,0)),"")="STC",IFERROR(INDEX('S5_17-23_AOUT'!$V$3:$V$113,MATCH($A32,'S5_17-23_AOUT'!$A$3:$A$113,0)),"")="STC",IFERROR(INDEX('S6_24-25_AOUT'!$Q$3:$Q$113,MATCH($A32,'S6_24-25_AOUT'!$A$3:$A$113,0)),"")="STC"),"STC",IF(OR(IFERROR(INDEX(S1_26_JUIL!$P$3:$P$113,MATCH($A32,S1_26_JUIL!$A$3:$A$113,0)),"")="À vérifier",IFERROR(INDEX('S2_27_JUIL-02_AOUT'!$V$3:$V$113,MATCH($A32,'S2_27_JUIL-02_AOUT'!$A$3:$A$113,0)),"")="À vérifier",IFERROR(INDEX('S3_03-09_AOUT'!$V$3:$V$113,MATCH($A32,'S3_03-09_AOUT'!$A$3:$A$113,0)),"")="À vérifier",IFERROR(INDEX('S4_10-16_AOUT'!$V$3:$V$113,MATCH($A32,'S4_10-16_AOUT'!$A$3:$A$113,0)),"")="À vérifier",IFERROR(INDEX('S5_17-23_AOUT'!$V$3:$V$113,MATCH($A32,'S5_17-23_AOUT'!$A$3:$A$113,0)),"")="À vérifier",IFERROR(INDEX('S6_24-25_AOUT'!$Q$3:$Q$113,MATCH($A32,'S6_24-25_AOUT'!$A$3:$A$113,0)),"")="À vérifier",ABS(L32-T32)&gt;=0.01),"À vérifier","OK"))</f>
        <v>OK</v>
      </c>
    </row>
    <row r="33" spans="1:21">
      <c r="A33" s="12">
        <v>251</v>
      </c>
      <c r="B33" s="12" t="s">
        <v>102</v>
      </c>
      <c r="C33" s="13" t="s">
        <v>103</v>
      </c>
      <c r="D33" s="12" t="s">
        <v>92</v>
      </c>
      <c r="E33" s="10" t="s">
        <v>21</v>
      </c>
      <c r="F33" s="8">
        <f>IFERROR(SUMIF(S1_26_JUIL!$A$3:$A$113,$A33,S1_26_JUIL!$O$3:$O$113),0)</f>
        <v>8</v>
      </c>
      <c r="G33" s="8">
        <f>IFERROR(SUMIF('S2_27_JUIL-02_AOUT'!$A$3:$A$113,$A33,'S2_27_JUIL-02_AOUT'!$U$3:$U$113),0)</f>
        <v>32</v>
      </c>
      <c r="H33" s="8">
        <f>IFERROR(SUMIF('S3_03-09_AOUT'!$A$3:$A$113,$A33,'S3_03-09_AOUT'!$U$3:$U$113),0)</f>
        <v>0</v>
      </c>
      <c r="I33" s="8">
        <f>IFERROR(SUMIF('S4_10-16_AOUT'!$A$3:$A$113,$A33,'S4_10-16_AOUT'!$U$3:$U$113),0)</f>
        <v>0</v>
      </c>
      <c r="J33" s="8">
        <f>IFERROR(SUMIF('S5_17-23_AOUT'!$A$3:$A$113,$A33,'S5_17-23_AOUT'!$U$3:$U$113),0)</f>
        <v>0</v>
      </c>
      <c r="K33" s="8">
        <f>IFERROR(SUMIF('S6_24-25_AOUT'!$A$3:$A$113,$A33,'S6_24-25_AOUT'!$P$3:$P$113),0)</f>
        <v>0</v>
      </c>
      <c r="L33" s="8">
        <f t="shared" si="0"/>
        <v>40</v>
      </c>
      <c r="M33" s="8">
        <f>IFERROR(SUMIF(S1_26_JUIL!$A$3:$A$113,$A33,S1_26_JUIL!$I$3:$I$113),0)+IFERROR(SUMIF('S2_27_JUIL-02_AOUT'!$A$3:$A$113,$A33,'S2_27_JUIL-02_AOUT'!$O$3:$O$113),0)+IFERROR(SUMIF('S3_03-09_AOUT'!$A$3:$A$113,$A33,'S3_03-09_AOUT'!$O$3:$O$113),0)+IFERROR(SUMIF('S4_10-16_AOUT'!$A$3:$A$113,$A33,'S4_10-16_AOUT'!$O$3:$O$113),0)+IFERROR(SUMIF('S5_17-23_AOUT'!$A$3:$A$113,$A33,'S5_17-23_AOUT'!$O$3:$O$113),0)+IFERROR(SUMIF('S6_24-25_AOUT'!$A$3:$A$113,$A33,'S6_24-25_AOUT'!$J$3:$J$113),0)</f>
        <v>40</v>
      </c>
      <c r="N33" s="9">
        <f>IFERROR(SUMIF(S1_26_JUIL!$A$3:$A$113,$A33,S1_26_JUIL!$J$3:$J$113),0)+IFERROR(SUMIF('S2_27_JUIL-02_AOUT'!$A$3:$A$113,$A33,'S2_27_JUIL-02_AOUT'!$P$3:$P$113),0)+IFERROR(SUMIF('S3_03-09_AOUT'!$A$3:$A$113,$A33,'S3_03-09_AOUT'!$P$3:$P$113),0)+IFERROR(SUMIF('S4_10-16_AOUT'!$A$3:$A$113,$A33,'S4_10-16_AOUT'!$P$3:$P$113),0)+IFERROR(SUMIF('S5_17-23_AOUT'!$A$3:$A$113,$A33,'S5_17-23_AOUT'!$P$3:$P$113),0)+IFERROR(SUMIF('S6_24-25_AOUT'!$A$3:$A$113,$A33,'S6_24-25_AOUT'!$K$3:$K$113),0)</f>
        <v>0</v>
      </c>
      <c r="O33" s="9">
        <f>IFERROR(SUMIF(S1_26_JUIL!$A$3:$A$113,$A33,S1_26_JUIL!$K$3:$K$113),0)+IFERROR(SUMIF('S2_27_JUIL-02_AOUT'!$A$3:$A$113,$A33,'S2_27_JUIL-02_AOUT'!$Q$3:$Q$113),0)+IFERROR(SUMIF('S3_03-09_AOUT'!$A$3:$A$113,$A33,'S3_03-09_AOUT'!$Q$3:$Q$113),0)+IFERROR(SUMIF('S4_10-16_AOUT'!$A$3:$A$113,$A33,'S4_10-16_AOUT'!$Q$3:$Q$113),0)+IFERROR(SUMIF('S5_17-23_AOUT'!$A$3:$A$113,$A33,'S5_17-23_AOUT'!$Q$3:$Q$113),0)+IFERROR(SUMIF('S6_24-25_AOUT'!$A$3:$A$113,$A33,'S6_24-25_AOUT'!$L$3:$L$113),0)</f>
        <v>0</v>
      </c>
      <c r="P33" s="8">
        <f>IFERROR(SUMIF(S1_26_JUIL!$A$3:$A$113,$A33,S1_26_JUIL!$L$3:$L$113),0)+IFERROR(SUMIF('S2_27_JUIL-02_AOUT'!$A$3:$A$113,$A33,'S2_27_JUIL-02_AOUT'!$R$3:$R$113),0)+IFERROR(SUMIF('S3_03-09_AOUT'!$A$3:$A$113,$A33,'S3_03-09_AOUT'!$R$3:$R$113),0)+IFERROR(SUMIF('S4_10-16_AOUT'!$A$3:$A$113,$A33,'S4_10-16_AOUT'!$R$3:$R$113),0)+IFERROR(SUMIF('S5_17-23_AOUT'!$A$3:$A$113,$A33,'S5_17-23_AOUT'!$R$3:$R$113),0)+IFERROR(SUMIF('S6_24-25_AOUT'!$A$3:$A$113,$A33,'S6_24-25_AOUT'!$M$3:$M$113),0)</f>
        <v>0</v>
      </c>
      <c r="Q33" s="8">
        <f>IFERROR(SUMIF(S1_26_JUIL!$A$3:$A$113,$A33,S1_26_JUIL!$M$3:$M$113),0)+IFERROR(SUMIF('S2_27_JUIL-02_AOUT'!$A$3:$A$113,$A33,'S2_27_JUIL-02_AOUT'!$S$3:$S$113),0)+IFERROR(SUMIF('S3_03-09_AOUT'!$A$3:$A$113,$A33,'S3_03-09_AOUT'!$S$3:$S$113),0)+IFERROR(SUMIF('S4_10-16_AOUT'!$A$3:$A$113,$A33,'S4_10-16_AOUT'!$S$3:$S$113),0)+IFERROR(SUMIF('S5_17-23_AOUT'!$A$3:$A$113,$A33,'S5_17-23_AOUT'!$S$3:$S$113),0)+IFERROR(SUMIF('S6_24-25_AOUT'!$A$3:$A$113,$A33,'S6_24-25_AOUT'!$N$3:$N$113),0)</f>
        <v>0</v>
      </c>
      <c r="R33" s="11">
        <f>IFERROR(SUMIF(S1_26_JUIL!$A$3:$A$113,$A33,S1_26_JUIL!$N$3:$N$113),0)+IFERROR(SUMIF('S2_27_JUIL-02_AOUT'!$A$3:$A$113,$A33,'S2_27_JUIL-02_AOUT'!$T$3:$T$113),0)+IFERROR(SUMIF('S3_03-09_AOUT'!$A$3:$A$113,$A33,'S3_03-09_AOUT'!$T$3:$T$113),0)+IFERROR(SUMIF('S4_10-16_AOUT'!$A$3:$A$113,$A33,'S4_10-16_AOUT'!$T$3:$T$113),0)+IFERROR(SUMIF('S5_17-23_AOUT'!$A$3:$A$113,$A33,'S5_17-23_AOUT'!$T$3:$T$113),0)+IFERROR(SUMIF('S6_24-25_AOUT'!$A$3:$A$113,$A33,'S6_24-25_AOUT'!$O$3:$O$113),0)</f>
        <v>0</v>
      </c>
      <c r="S33" s="8">
        <f>208</f>
        <v>208</v>
      </c>
      <c r="T33" s="8">
        <f t="shared" si="1"/>
        <v>40</v>
      </c>
      <c r="U33" s="10" t="str">
        <f>IF(OR(IFERROR(INDEX(S1_26_JUIL!$P$3:$P$113,MATCH($A33,S1_26_JUIL!$A$3:$A$113,0)),"")="STC",IFERROR(INDEX('S2_27_JUIL-02_AOUT'!$V$3:$V$113,MATCH($A33,'S2_27_JUIL-02_AOUT'!$A$3:$A$113,0)),"")="STC",IFERROR(INDEX('S3_03-09_AOUT'!$V$3:$V$113,MATCH($A33,'S3_03-09_AOUT'!$A$3:$A$113,0)),"")="STC",IFERROR(INDEX('S4_10-16_AOUT'!$V$3:$V$113,MATCH($A33,'S4_10-16_AOUT'!$A$3:$A$113,0)),"")="STC",IFERROR(INDEX('S5_17-23_AOUT'!$V$3:$V$113,MATCH($A33,'S5_17-23_AOUT'!$A$3:$A$113,0)),"")="STC",IFERROR(INDEX('S6_24-25_AOUT'!$Q$3:$Q$113,MATCH($A33,'S6_24-25_AOUT'!$A$3:$A$113,0)),"")="STC"),"STC",IF(OR(IFERROR(INDEX(S1_26_JUIL!$P$3:$P$113,MATCH($A33,S1_26_JUIL!$A$3:$A$113,0)),"")="À vérifier",IFERROR(INDEX('S2_27_JUIL-02_AOUT'!$V$3:$V$113,MATCH($A33,'S2_27_JUIL-02_AOUT'!$A$3:$A$113,0)),"")="À vérifier",IFERROR(INDEX('S3_03-09_AOUT'!$V$3:$V$113,MATCH($A33,'S3_03-09_AOUT'!$A$3:$A$113,0)),"")="À vérifier",IFERROR(INDEX('S4_10-16_AOUT'!$V$3:$V$113,MATCH($A33,'S4_10-16_AOUT'!$A$3:$A$113,0)),"")="À vérifier",IFERROR(INDEX('S5_17-23_AOUT'!$V$3:$V$113,MATCH($A33,'S5_17-23_AOUT'!$A$3:$A$113,0)),"")="À vérifier",IFERROR(INDEX('S6_24-25_AOUT'!$Q$3:$Q$113,MATCH($A33,'S6_24-25_AOUT'!$A$3:$A$113,0)),"")="À vérifier",ABS(L33-T33)&gt;=0.01),"À vérifier","OK"))</f>
        <v>OK</v>
      </c>
    </row>
    <row r="34" spans="1:21">
      <c r="A34" s="12">
        <v>70</v>
      </c>
      <c r="B34" s="12" t="s">
        <v>104</v>
      </c>
      <c r="C34" s="13" t="s">
        <v>105</v>
      </c>
      <c r="D34" s="12" t="s">
        <v>92</v>
      </c>
      <c r="E34" s="10" t="s">
        <v>21</v>
      </c>
      <c r="F34" s="8">
        <f>IFERROR(SUMIF(S1_26_JUIL!$A$3:$A$113,$A34,S1_26_JUIL!$O$3:$O$113),0)</f>
        <v>8</v>
      </c>
      <c r="G34" s="8">
        <f>IFERROR(SUMIF('S2_27_JUIL-02_AOUT'!$A$3:$A$113,$A34,'S2_27_JUIL-02_AOUT'!$U$3:$U$113),0)</f>
        <v>40</v>
      </c>
      <c r="H34" s="8">
        <f>IFERROR(SUMIF('S3_03-09_AOUT'!$A$3:$A$113,$A34,'S3_03-09_AOUT'!$U$3:$U$113),0)</f>
        <v>0</v>
      </c>
      <c r="I34" s="8">
        <f>IFERROR(SUMIF('S4_10-16_AOUT'!$A$3:$A$113,$A34,'S4_10-16_AOUT'!$U$3:$U$113),0)</f>
        <v>0</v>
      </c>
      <c r="J34" s="8">
        <f>IFERROR(SUMIF('S5_17-23_AOUT'!$A$3:$A$113,$A34,'S5_17-23_AOUT'!$U$3:$U$113),0)</f>
        <v>0</v>
      </c>
      <c r="K34" s="8">
        <f>IFERROR(SUMIF('S6_24-25_AOUT'!$A$3:$A$113,$A34,'S6_24-25_AOUT'!$P$3:$P$113),0)</f>
        <v>0</v>
      </c>
      <c r="L34" s="8">
        <f t="shared" si="0"/>
        <v>48</v>
      </c>
      <c r="M34" s="8">
        <f>IFERROR(SUMIF(S1_26_JUIL!$A$3:$A$113,$A34,S1_26_JUIL!$I$3:$I$113),0)+IFERROR(SUMIF('S2_27_JUIL-02_AOUT'!$A$3:$A$113,$A34,'S2_27_JUIL-02_AOUT'!$O$3:$O$113),0)+IFERROR(SUMIF('S3_03-09_AOUT'!$A$3:$A$113,$A34,'S3_03-09_AOUT'!$O$3:$O$113),0)+IFERROR(SUMIF('S4_10-16_AOUT'!$A$3:$A$113,$A34,'S4_10-16_AOUT'!$O$3:$O$113),0)+IFERROR(SUMIF('S5_17-23_AOUT'!$A$3:$A$113,$A34,'S5_17-23_AOUT'!$O$3:$O$113),0)+IFERROR(SUMIF('S6_24-25_AOUT'!$A$3:$A$113,$A34,'S6_24-25_AOUT'!$J$3:$J$113),0)</f>
        <v>48</v>
      </c>
      <c r="N34" s="9">
        <f>IFERROR(SUMIF(S1_26_JUIL!$A$3:$A$113,$A34,S1_26_JUIL!$J$3:$J$113),0)+IFERROR(SUMIF('S2_27_JUIL-02_AOUT'!$A$3:$A$113,$A34,'S2_27_JUIL-02_AOUT'!$P$3:$P$113),0)+IFERROR(SUMIF('S3_03-09_AOUT'!$A$3:$A$113,$A34,'S3_03-09_AOUT'!$P$3:$P$113),0)+IFERROR(SUMIF('S4_10-16_AOUT'!$A$3:$A$113,$A34,'S4_10-16_AOUT'!$P$3:$P$113),0)+IFERROR(SUMIF('S5_17-23_AOUT'!$A$3:$A$113,$A34,'S5_17-23_AOUT'!$P$3:$P$113),0)+IFERROR(SUMIF('S6_24-25_AOUT'!$A$3:$A$113,$A34,'S6_24-25_AOUT'!$K$3:$K$113),0)</f>
        <v>0</v>
      </c>
      <c r="O34" s="9">
        <f>IFERROR(SUMIF(S1_26_JUIL!$A$3:$A$113,$A34,S1_26_JUIL!$K$3:$K$113),0)+IFERROR(SUMIF('S2_27_JUIL-02_AOUT'!$A$3:$A$113,$A34,'S2_27_JUIL-02_AOUT'!$Q$3:$Q$113),0)+IFERROR(SUMIF('S3_03-09_AOUT'!$A$3:$A$113,$A34,'S3_03-09_AOUT'!$Q$3:$Q$113),0)+IFERROR(SUMIF('S4_10-16_AOUT'!$A$3:$A$113,$A34,'S4_10-16_AOUT'!$Q$3:$Q$113),0)+IFERROR(SUMIF('S5_17-23_AOUT'!$A$3:$A$113,$A34,'S5_17-23_AOUT'!$Q$3:$Q$113),0)+IFERROR(SUMIF('S6_24-25_AOUT'!$A$3:$A$113,$A34,'S6_24-25_AOUT'!$L$3:$L$113),0)</f>
        <v>0</v>
      </c>
      <c r="P34" s="8">
        <f>IFERROR(SUMIF(S1_26_JUIL!$A$3:$A$113,$A34,S1_26_JUIL!$L$3:$L$113),0)+IFERROR(SUMIF('S2_27_JUIL-02_AOUT'!$A$3:$A$113,$A34,'S2_27_JUIL-02_AOUT'!$R$3:$R$113),0)+IFERROR(SUMIF('S3_03-09_AOUT'!$A$3:$A$113,$A34,'S3_03-09_AOUT'!$R$3:$R$113),0)+IFERROR(SUMIF('S4_10-16_AOUT'!$A$3:$A$113,$A34,'S4_10-16_AOUT'!$R$3:$R$113),0)+IFERROR(SUMIF('S5_17-23_AOUT'!$A$3:$A$113,$A34,'S5_17-23_AOUT'!$R$3:$R$113),0)+IFERROR(SUMIF('S6_24-25_AOUT'!$A$3:$A$113,$A34,'S6_24-25_AOUT'!$M$3:$M$113),0)</f>
        <v>0</v>
      </c>
      <c r="Q34" s="8">
        <f>IFERROR(SUMIF(S1_26_JUIL!$A$3:$A$113,$A34,S1_26_JUIL!$M$3:$M$113),0)+IFERROR(SUMIF('S2_27_JUIL-02_AOUT'!$A$3:$A$113,$A34,'S2_27_JUIL-02_AOUT'!$S$3:$S$113),0)+IFERROR(SUMIF('S3_03-09_AOUT'!$A$3:$A$113,$A34,'S3_03-09_AOUT'!$S$3:$S$113),0)+IFERROR(SUMIF('S4_10-16_AOUT'!$A$3:$A$113,$A34,'S4_10-16_AOUT'!$S$3:$S$113),0)+IFERROR(SUMIF('S5_17-23_AOUT'!$A$3:$A$113,$A34,'S5_17-23_AOUT'!$S$3:$S$113),0)+IFERROR(SUMIF('S6_24-25_AOUT'!$A$3:$A$113,$A34,'S6_24-25_AOUT'!$N$3:$N$113),0)</f>
        <v>0</v>
      </c>
      <c r="R34" s="11">
        <f>IFERROR(SUMIF(S1_26_JUIL!$A$3:$A$113,$A34,S1_26_JUIL!$N$3:$N$113),0)+IFERROR(SUMIF('S2_27_JUIL-02_AOUT'!$A$3:$A$113,$A34,'S2_27_JUIL-02_AOUT'!$T$3:$T$113),0)+IFERROR(SUMIF('S3_03-09_AOUT'!$A$3:$A$113,$A34,'S3_03-09_AOUT'!$T$3:$T$113),0)+IFERROR(SUMIF('S4_10-16_AOUT'!$A$3:$A$113,$A34,'S4_10-16_AOUT'!$T$3:$T$113),0)+IFERROR(SUMIF('S5_17-23_AOUT'!$A$3:$A$113,$A34,'S5_17-23_AOUT'!$T$3:$T$113),0)+IFERROR(SUMIF('S6_24-25_AOUT'!$A$3:$A$113,$A34,'S6_24-25_AOUT'!$O$3:$O$113),0)</f>
        <v>0</v>
      </c>
      <c r="S34" s="8">
        <f>208</f>
        <v>208</v>
      </c>
      <c r="T34" s="8">
        <f t="shared" si="1"/>
        <v>48</v>
      </c>
      <c r="U34" s="10" t="str">
        <f>IF(OR(IFERROR(INDEX(S1_26_JUIL!$P$3:$P$113,MATCH($A34,S1_26_JUIL!$A$3:$A$113,0)),"")="STC",IFERROR(INDEX('S2_27_JUIL-02_AOUT'!$V$3:$V$113,MATCH($A34,'S2_27_JUIL-02_AOUT'!$A$3:$A$113,0)),"")="STC",IFERROR(INDEX('S3_03-09_AOUT'!$V$3:$V$113,MATCH($A34,'S3_03-09_AOUT'!$A$3:$A$113,0)),"")="STC",IFERROR(INDEX('S4_10-16_AOUT'!$V$3:$V$113,MATCH($A34,'S4_10-16_AOUT'!$A$3:$A$113,0)),"")="STC",IFERROR(INDEX('S5_17-23_AOUT'!$V$3:$V$113,MATCH($A34,'S5_17-23_AOUT'!$A$3:$A$113,0)),"")="STC",IFERROR(INDEX('S6_24-25_AOUT'!$Q$3:$Q$113,MATCH($A34,'S6_24-25_AOUT'!$A$3:$A$113,0)),"")="STC"),"STC",IF(OR(IFERROR(INDEX(S1_26_JUIL!$P$3:$P$113,MATCH($A34,S1_26_JUIL!$A$3:$A$113,0)),"")="À vérifier",IFERROR(INDEX('S2_27_JUIL-02_AOUT'!$V$3:$V$113,MATCH($A34,'S2_27_JUIL-02_AOUT'!$A$3:$A$113,0)),"")="À vérifier",IFERROR(INDEX('S3_03-09_AOUT'!$V$3:$V$113,MATCH($A34,'S3_03-09_AOUT'!$A$3:$A$113,0)),"")="À vérifier",IFERROR(INDEX('S4_10-16_AOUT'!$V$3:$V$113,MATCH($A34,'S4_10-16_AOUT'!$A$3:$A$113,0)),"")="À vérifier",IFERROR(INDEX('S5_17-23_AOUT'!$V$3:$V$113,MATCH($A34,'S5_17-23_AOUT'!$A$3:$A$113,0)),"")="À vérifier",IFERROR(INDEX('S6_24-25_AOUT'!$Q$3:$Q$113,MATCH($A34,'S6_24-25_AOUT'!$A$3:$A$113,0)),"")="À vérifier",ABS(L34-T34)&gt;=0.01),"À vérifier","OK"))</f>
        <v>OK</v>
      </c>
    </row>
    <row r="35" spans="1:21">
      <c r="A35" s="12">
        <v>50</v>
      </c>
      <c r="B35" s="12" t="s">
        <v>106</v>
      </c>
      <c r="C35" s="13" t="s">
        <v>107</v>
      </c>
      <c r="D35" s="12" t="s">
        <v>92</v>
      </c>
      <c r="E35" s="10" t="s">
        <v>21</v>
      </c>
      <c r="F35" s="8">
        <f>IFERROR(SUMIF(S1_26_JUIL!$A$3:$A$113,$A35,S1_26_JUIL!$O$3:$O$113),0)</f>
        <v>0</v>
      </c>
      <c r="G35" s="8">
        <f>IFERROR(SUMIF('S2_27_JUIL-02_AOUT'!$A$3:$A$113,$A35,'S2_27_JUIL-02_AOUT'!$U$3:$U$113),0)</f>
        <v>41.5</v>
      </c>
      <c r="H35" s="8">
        <f>IFERROR(SUMIF('S3_03-09_AOUT'!$A$3:$A$113,$A35,'S3_03-09_AOUT'!$U$3:$U$113),0)</f>
        <v>0</v>
      </c>
      <c r="I35" s="8">
        <f>IFERROR(SUMIF('S4_10-16_AOUT'!$A$3:$A$113,$A35,'S4_10-16_AOUT'!$U$3:$U$113),0)</f>
        <v>0</v>
      </c>
      <c r="J35" s="8">
        <f>IFERROR(SUMIF('S5_17-23_AOUT'!$A$3:$A$113,$A35,'S5_17-23_AOUT'!$U$3:$U$113),0)</f>
        <v>0</v>
      </c>
      <c r="K35" s="8">
        <f>IFERROR(SUMIF('S6_24-25_AOUT'!$A$3:$A$113,$A35,'S6_24-25_AOUT'!$P$3:$P$113),0)</f>
        <v>0</v>
      </c>
      <c r="L35" s="8">
        <f t="shared" ref="L35:L66" si="2">SUM(F35:K35)</f>
        <v>41.5</v>
      </c>
      <c r="M35" s="8">
        <f>IFERROR(SUMIF(S1_26_JUIL!$A$3:$A$113,$A35,S1_26_JUIL!$I$3:$I$113),0)+IFERROR(SUMIF('S2_27_JUIL-02_AOUT'!$A$3:$A$113,$A35,'S2_27_JUIL-02_AOUT'!$O$3:$O$113),0)+IFERROR(SUMIF('S3_03-09_AOUT'!$A$3:$A$113,$A35,'S3_03-09_AOUT'!$O$3:$O$113),0)+IFERROR(SUMIF('S4_10-16_AOUT'!$A$3:$A$113,$A35,'S4_10-16_AOUT'!$O$3:$O$113),0)+IFERROR(SUMIF('S5_17-23_AOUT'!$A$3:$A$113,$A35,'S5_17-23_AOUT'!$O$3:$O$113),0)+IFERROR(SUMIF('S6_24-25_AOUT'!$A$3:$A$113,$A35,'S6_24-25_AOUT'!$J$3:$J$113),0)</f>
        <v>41.5</v>
      </c>
      <c r="N35" s="9">
        <f>IFERROR(SUMIF(S1_26_JUIL!$A$3:$A$113,$A35,S1_26_JUIL!$J$3:$J$113),0)+IFERROR(SUMIF('S2_27_JUIL-02_AOUT'!$A$3:$A$113,$A35,'S2_27_JUIL-02_AOUT'!$P$3:$P$113),0)+IFERROR(SUMIF('S3_03-09_AOUT'!$A$3:$A$113,$A35,'S3_03-09_AOUT'!$P$3:$P$113),0)+IFERROR(SUMIF('S4_10-16_AOUT'!$A$3:$A$113,$A35,'S4_10-16_AOUT'!$P$3:$P$113),0)+IFERROR(SUMIF('S5_17-23_AOUT'!$A$3:$A$113,$A35,'S5_17-23_AOUT'!$P$3:$P$113),0)+IFERROR(SUMIF('S6_24-25_AOUT'!$A$3:$A$113,$A35,'S6_24-25_AOUT'!$K$3:$K$113),0)</f>
        <v>0</v>
      </c>
      <c r="O35" s="9">
        <f>IFERROR(SUMIF(S1_26_JUIL!$A$3:$A$113,$A35,S1_26_JUIL!$K$3:$K$113),0)+IFERROR(SUMIF('S2_27_JUIL-02_AOUT'!$A$3:$A$113,$A35,'S2_27_JUIL-02_AOUT'!$Q$3:$Q$113),0)+IFERROR(SUMIF('S3_03-09_AOUT'!$A$3:$A$113,$A35,'S3_03-09_AOUT'!$Q$3:$Q$113),0)+IFERROR(SUMIF('S4_10-16_AOUT'!$A$3:$A$113,$A35,'S4_10-16_AOUT'!$Q$3:$Q$113),0)+IFERROR(SUMIF('S5_17-23_AOUT'!$A$3:$A$113,$A35,'S5_17-23_AOUT'!$Q$3:$Q$113),0)+IFERROR(SUMIF('S6_24-25_AOUT'!$A$3:$A$113,$A35,'S6_24-25_AOUT'!$L$3:$L$113),0)</f>
        <v>0</v>
      </c>
      <c r="P35" s="8">
        <f>IFERROR(SUMIF(S1_26_JUIL!$A$3:$A$113,$A35,S1_26_JUIL!$L$3:$L$113),0)+IFERROR(SUMIF('S2_27_JUIL-02_AOUT'!$A$3:$A$113,$A35,'S2_27_JUIL-02_AOUT'!$R$3:$R$113),0)+IFERROR(SUMIF('S3_03-09_AOUT'!$A$3:$A$113,$A35,'S3_03-09_AOUT'!$R$3:$R$113),0)+IFERROR(SUMIF('S4_10-16_AOUT'!$A$3:$A$113,$A35,'S4_10-16_AOUT'!$R$3:$R$113),0)+IFERROR(SUMIF('S5_17-23_AOUT'!$A$3:$A$113,$A35,'S5_17-23_AOUT'!$R$3:$R$113),0)+IFERROR(SUMIF('S6_24-25_AOUT'!$A$3:$A$113,$A35,'S6_24-25_AOUT'!$M$3:$M$113),0)</f>
        <v>0</v>
      </c>
      <c r="Q35" s="8">
        <f>IFERROR(SUMIF(S1_26_JUIL!$A$3:$A$113,$A35,S1_26_JUIL!$M$3:$M$113),0)+IFERROR(SUMIF('S2_27_JUIL-02_AOUT'!$A$3:$A$113,$A35,'S2_27_JUIL-02_AOUT'!$S$3:$S$113),0)+IFERROR(SUMIF('S3_03-09_AOUT'!$A$3:$A$113,$A35,'S3_03-09_AOUT'!$S$3:$S$113),0)+IFERROR(SUMIF('S4_10-16_AOUT'!$A$3:$A$113,$A35,'S4_10-16_AOUT'!$S$3:$S$113),0)+IFERROR(SUMIF('S5_17-23_AOUT'!$A$3:$A$113,$A35,'S5_17-23_AOUT'!$S$3:$S$113),0)+IFERROR(SUMIF('S6_24-25_AOUT'!$A$3:$A$113,$A35,'S6_24-25_AOUT'!$N$3:$N$113),0)</f>
        <v>0</v>
      </c>
      <c r="R35" s="11">
        <f>IFERROR(SUMIF(S1_26_JUIL!$A$3:$A$113,$A35,S1_26_JUIL!$N$3:$N$113),0)+IFERROR(SUMIF('S2_27_JUIL-02_AOUT'!$A$3:$A$113,$A35,'S2_27_JUIL-02_AOUT'!$T$3:$T$113),0)+IFERROR(SUMIF('S3_03-09_AOUT'!$A$3:$A$113,$A35,'S3_03-09_AOUT'!$T$3:$T$113),0)+IFERROR(SUMIF('S4_10-16_AOUT'!$A$3:$A$113,$A35,'S4_10-16_AOUT'!$T$3:$T$113),0)+IFERROR(SUMIF('S5_17-23_AOUT'!$A$3:$A$113,$A35,'S5_17-23_AOUT'!$T$3:$T$113),0)+IFERROR(SUMIF('S6_24-25_AOUT'!$A$3:$A$113,$A35,'S6_24-25_AOUT'!$O$3:$O$113),0)</f>
        <v>0</v>
      </c>
      <c r="S35" s="8">
        <f>208</f>
        <v>208</v>
      </c>
      <c r="T35" s="8">
        <f t="shared" ref="T35:T66" si="3">M35+N35+O35+(R35*8.5)</f>
        <v>41.5</v>
      </c>
      <c r="U35" s="10" t="str">
        <f>IF(OR(IFERROR(INDEX(S1_26_JUIL!$P$3:$P$113,MATCH($A35,S1_26_JUIL!$A$3:$A$113,0)),"")="STC",IFERROR(INDEX('S2_27_JUIL-02_AOUT'!$V$3:$V$113,MATCH($A35,'S2_27_JUIL-02_AOUT'!$A$3:$A$113,0)),"")="STC",IFERROR(INDEX('S3_03-09_AOUT'!$V$3:$V$113,MATCH($A35,'S3_03-09_AOUT'!$A$3:$A$113,0)),"")="STC",IFERROR(INDEX('S4_10-16_AOUT'!$V$3:$V$113,MATCH($A35,'S4_10-16_AOUT'!$A$3:$A$113,0)),"")="STC",IFERROR(INDEX('S5_17-23_AOUT'!$V$3:$V$113,MATCH($A35,'S5_17-23_AOUT'!$A$3:$A$113,0)),"")="STC",IFERROR(INDEX('S6_24-25_AOUT'!$Q$3:$Q$113,MATCH($A35,'S6_24-25_AOUT'!$A$3:$A$113,0)),"")="STC"),"STC",IF(OR(IFERROR(INDEX(S1_26_JUIL!$P$3:$P$113,MATCH($A35,S1_26_JUIL!$A$3:$A$113,0)),"")="À vérifier",IFERROR(INDEX('S2_27_JUIL-02_AOUT'!$V$3:$V$113,MATCH($A35,'S2_27_JUIL-02_AOUT'!$A$3:$A$113,0)),"")="À vérifier",IFERROR(INDEX('S3_03-09_AOUT'!$V$3:$V$113,MATCH($A35,'S3_03-09_AOUT'!$A$3:$A$113,0)),"")="À vérifier",IFERROR(INDEX('S4_10-16_AOUT'!$V$3:$V$113,MATCH($A35,'S4_10-16_AOUT'!$A$3:$A$113,0)),"")="À vérifier",IFERROR(INDEX('S5_17-23_AOUT'!$V$3:$V$113,MATCH($A35,'S5_17-23_AOUT'!$A$3:$A$113,0)),"")="À vérifier",IFERROR(INDEX('S6_24-25_AOUT'!$Q$3:$Q$113,MATCH($A35,'S6_24-25_AOUT'!$A$3:$A$113,0)),"")="À vérifier",ABS(L35-T35)&gt;=0.01),"À vérifier","OK"))</f>
        <v>OK</v>
      </c>
    </row>
    <row r="36" spans="1:21">
      <c r="A36" s="12">
        <v>250</v>
      </c>
      <c r="B36" s="12" t="s">
        <v>108</v>
      </c>
      <c r="C36" s="13" t="s">
        <v>66</v>
      </c>
      <c r="D36" s="12" t="s">
        <v>92</v>
      </c>
      <c r="E36" s="10" t="s">
        <v>21</v>
      </c>
      <c r="F36" s="8">
        <f>IFERROR(SUMIF(S1_26_JUIL!$A$3:$A$113,$A36,S1_26_JUIL!$O$3:$O$113),0)</f>
        <v>0</v>
      </c>
      <c r="G36" s="8">
        <f>IFERROR(SUMIF('S2_27_JUIL-02_AOUT'!$A$3:$A$113,$A36,'S2_27_JUIL-02_AOUT'!$U$3:$U$113),0)</f>
        <v>49.5</v>
      </c>
      <c r="H36" s="8">
        <f>IFERROR(SUMIF('S3_03-09_AOUT'!$A$3:$A$113,$A36,'S3_03-09_AOUT'!$U$3:$U$113),0)</f>
        <v>0</v>
      </c>
      <c r="I36" s="8">
        <f>IFERROR(SUMIF('S4_10-16_AOUT'!$A$3:$A$113,$A36,'S4_10-16_AOUT'!$U$3:$U$113),0)</f>
        <v>0</v>
      </c>
      <c r="J36" s="8">
        <f>IFERROR(SUMIF('S5_17-23_AOUT'!$A$3:$A$113,$A36,'S5_17-23_AOUT'!$U$3:$U$113),0)</f>
        <v>0</v>
      </c>
      <c r="K36" s="8">
        <f>IFERROR(SUMIF('S6_24-25_AOUT'!$A$3:$A$113,$A36,'S6_24-25_AOUT'!$P$3:$P$113),0)</f>
        <v>0</v>
      </c>
      <c r="L36" s="8">
        <f t="shared" si="2"/>
        <v>49.5</v>
      </c>
      <c r="M36" s="8">
        <f>IFERROR(SUMIF(S1_26_JUIL!$A$3:$A$113,$A36,S1_26_JUIL!$I$3:$I$113),0)+IFERROR(SUMIF('S2_27_JUIL-02_AOUT'!$A$3:$A$113,$A36,'S2_27_JUIL-02_AOUT'!$O$3:$O$113),0)+IFERROR(SUMIF('S3_03-09_AOUT'!$A$3:$A$113,$A36,'S3_03-09_AOUT'!$O$3:$O$113),0)+IFERROR(SUMIF('S4_10-16_AOUT'!$A$3:$A$113,$A36,'S4_10-16_AOUT'!$O$3:$O$113),0)+IFERROR(SUMIF('S5_17-23_AOUT'!$A$3:$A$113,$A36,'S5_17-23_AOUT'!$O$3:$O$113),0)+IFERROR(SUMIF('S6_24-25_AOUT'!$A$3:$A$113,$A36,'S6_24-25_AOUT'!$J$3:$J$113),0)</f>
        <v>48</v>
      </c>
      <c r="N36" s="9">
        <f>IFERROR(SUMIF(S1_26_JUIL!$A$3:$A$113,$A36,S1_26_JUIL!$J$3:$J$113),0)+IFERROR(SUMIF('S2_27_JUIL-02_AOUT'!$A$3:$A$113,$A36,'S2_27_JUIL-02_AOUT'!$P$3:$P$113),0)+IFERROR(SUMIF('S3_03-09_AOUT'!$A$3:$A$113,$A36,'S3_03-09_AOUT'!$P$3:$P$113),0)+IFERROR(SUMIF('S4_10-16_AOUT'!$A$3:$A$113,$A36,'S4_10-16_AOUT'!$P$3:$P$113),0)+IFERROR(SUMIF('S5_17-23_AOUT'!$A$3:$A$113,$A36,'S5_17-23_AOUT'!$P$3:$P$113),0)+IFERROR(SUMIF('S6_24-25_AOUT'!$A$3:$A$113,$A36,'S6_24-25_AOUT'!$K$3:$K$113),0)</f>
        <v>1.5</v>
      </c>
      <c r="O36" s="9">
        <f>IFERROR(SUMIF(S1_26_JUIL!$A$3:$A$113,$A36,S1_26_JUIL!$K$3:$K$113),0)+IFERROR(SUMIF('S2_27_JUIL-02_AOUT'!$A$3:$A$113,$A36,'S2_27_JUIL-02_AOUT'!$Q$3:$Q$113),0)+IFERROR(SUMIF('S3_03-09_AOUT'!$A$3:$A$113,$A36,'S3_03-09_AOUT'!$Q$3:$Q$113),0)+IFERROR(SUMIF('S4_10-16_AOUT'!$A$3:$A$113,$A36,'S4_10-16_AOUT'!$Q$3:$Q$113),0)+IFERROR(SUMIF('S5_17-23_AOUT'!$A$3:$A$113,$A36,'S5_17-23_AOUT'!$Q$3:$Q$113),0)+IFERROR(SUMIF('S6_24-25_AOUT'!$A$3:$A$113,$A36,'S6_24-25_AOUT'!$L$3:$L$113),0)</f>
        <v>0</v>
      </c>
      <c r="P36" s="8">
        <f>IFERROR(SUMIF(S1_26_JUIL!$A$3:$A$113,$A36,S1_26_JUIL!$L$3:$L$113),0)+IFERROR(SUMIF('S2_27_JUIL-02_AOUT'!$A$3:$A$113,$A36,'S2_27_JUIL-02_AOUT'!$R$3:$R$113),0)+IFERROR(SUMIF('S3_03-09_AOUT'!$A$3:$A$113,$A36,'S3_03-09_AOUT'!$R$3:$R$113),0)+IFERROR(SUMIF('S4_10-16_AOUT'!$A$3:$A$113,$A36,'S4_10-16_AOUT'!$R$3:$R$113),0)+IFERROR(SUMIF('S5_17-23_AOUT'!$A$3:$A$113,$A36,'S5_17-23_AOUT'!$R$3:$R$113),0)+IFERROR(SUMIF('S6_24-25_AOUT'!$A$3:$A$113,$A36,'S6_24-25_AOUT'!$M$3:$M$113),0)</f>
        <v>0</v>
      </c>
      <c r="Q36" s="8">
        <f>IFERROR(SUMIF(S1_26_JUIL!$A$3:$A$113,$A36,S1_26_JUIL!$M$3:$M$113),0)+IFERROR(SUMIF('S2_27_JUIL-02_AOUT'!$A$3:$A$113,$A36,'S2_27_JUIL-02_AOUT'!$S$3:$S$113),0)+IFERROR(SUMIF('S3_03-09_AOUT'!$A$3:$A$113,$A36,'S3_03-09_AOUT'!$S$3:$S$113),0)+IFERROR(SUMIF('S4_10-16_AOUT'!$A$3:$A$113,$A36,'S4_10-16_AOUT'!$S$3:$S$113),0)+IFERROR(SUMIF('S5_17-23_AOUT'!$A$3:$A$113,$A36,'S5_17-23_AOUT'!$S$3:$S$113),0)+IFERROR(SUMIF('S6_24-25_AOUT'!$A$3:$A$113,$A36,'S6_24-25_AOUT'!$N$3:$N$113),0)</f>
        <v>0</v>
      </c>
      <c r="R36" s="11">
        <f>IFERROR(SUMIF(S1_26_JUIL!$A$3:$A$113,$A36,S1_26_JUIL!$N$3:$N$113),0)+IFERROR(SUMIF('S2_27_JUIL-02_AOUT'!$A$3:$A$113,$A36,'S2_27_JUIL-02_AOUT'!$T$3:$T$113),0)+IFERROR(SUMIF('S3_03-09_AOUT'!$A$3:$A$113,$A36,'S3_03-09_AOUT'!$T$3:$T$113),0)+IFERROR(SUMIF('S4_10-16_AOUT'!$A$3:$A$113,$A36,'S4_10-16_AOUT'!$T$3:$T$113),0)+IFERROR(SUMIF('S5_17-23_AOUT'!$A$3:$A$113,$A36,'S5_17-23_AOUT'!$T$3:$T$113),0)+IFERROR(SUMIF('S6_24-25_AOUT'!$A$3:$A$113,$A36,'S6_24-25_AOUT'!$O$3:$O$113),0)</f>
        <v>0</v>
      </c>
      <c r="S36" s="8">
        <f>208</f>
        <v>208</v>
      </c>
      <c r="T36" s="8">
        <f t="shared" si="3"/>
        <v>49.5</v>
      </c>
      <c r="U36" s="10" t="str">
        <f>IF(OR(IFERROR(INDEX(S1_26_JUIL!$P$3:$P$113,MATCH($A36,S1_26_JUIL!$A$3:$A$113,0)),"")="STC",IFERROR(INDEX('S2_27_JUIL-02_AOUT'!$V$3:$V$113,MATCH($A36,'S2_27_JUIL-02_AOUT'!$A$3:$A$113,0)),"")="STC",IFERROR(INDEX('S3_03-09_AOUT'!$V$3:$V$113,MATCH($A36,'S3_03-09_AOUT'!$A$3:$A$113,0)),"")="STC",IFERROR(INDEX('S4_10-16_AOUT'!$V$3:$V$113,MATCH($A36,'S4_10-16_AOUT'!$A$3:$A$113,0)),"")="STC",IFERROR(INDEX('S5_17-23_AOUT'!$V$3:$V$113,MATCH($A36,'S5_17-23_AOUT'!$A$3:$A$113,0)),"")="STC",IFERROR(INDEX('S6_24-25_AOUT'!$Q$3:$Q$113,MATCH($A36,'S6_24-25_AOUT'!$A$3:$A$113,0)),"")="STC"),"STC",IF(OR(IFERROR(INDEX(S1_26_JUIL!$P$3:$P$113,MATCH($A36,S1_26_JUIL!$A$3:$A$113,0)),"")="À vérifier",IFERROR(INDEX('S2_27_JUIL-02_AOUT'!$V$3:$V$113,MATCH($A36,'S2_27_JUIL-02_AOUT'!$A$3:$A$113,0)),"")="À vérifier",IFERROR(INDEX('S3_03-09_AOUT'!$V$3:$V$113,MATCH($A36,'S3_03-09_AOUT'!$A$3:$A$113,0)),"")="À vérifier",IFERROR(INDEX('S4_10-16_AOUT'!$V$3:$V$113,MATCH($A36,'S4_10-16_AOUT'!$A$3:$A$113,0)),"")="À vérifier",IFERROR(INDEX('S5_17-23_AOUT'!$V$3:$V$113,MATCH($A36,'S5_17-23_AOUT'!$A$3:$A$113,0)),"")="À vérifier",IFERROR(INDEX('S6_24-25_AOUT'!$Q$3:$Q$113,MATCH($A36,'S6_24-25_AOUT'!$A$3:$A$113,0)),"")="À vérifier",ABS(L36-T36)&gt;=0.01),"À vérifier","OK"))</f>
        <v>OK</v>
      </c>
    </row>
    <row r="37" spans="1:21">
      <c r="A37" s="12" t="s">
        <v>109</v>
      </c>
      <c r="B37" s="12" t="s">
        <v>110</v>
      </c>
      <c r="C37" s="13" t="s">
        <v>111</v>
      </c>
      <c r="D37" s="12" t="s">
        <v>92</v>
      </c>
      <c r="E37" s="10" t="s">
        <v>21</v>
      </c>
      <c r="F37" s="8">
        <f>IFERROR(SUMIF(S1_26_JUIL!$A$3:$A$113,$A37,S1_26_JUIL!$O$3:$O$113),0)</f>
        <v>8</v>
      </c>
      <c r="G37" s="8">
        <f>IFERROR(SUMIF('S2_27_JUIL-02_AOUT'!$A$3:$A$113,$A37,'S2_27_JUIL-02_AOUT'!$U$3:$U$113),0)</f>
        <v>32</v>
      </c>
      <c r="H37" s="8">
        <f>IFERROR(SUMIF('S3_03-09_AOUT'!$A$3:$A$113,$A37,'S3_03-09_AOUT'!$U$3:$U$113),0)</f>
        <v>0</v>
      </c>
      <c r="I37" s="8">
        <f>IFERROR(SUMIF('S4_10-16_AOUT'!$A$3:$A$113,$A37,'S4_10-16_AOUT'!$U$3:$U$113),0)</f>
        <v>0</v>
      </c>
      <c r="J37" s="8">
        <f>IFERROR(SUMIF('S5_17-23_AOUT'!$A$3:$A$113,$A37,'S5_17-23_AOUT'!$U$3:$U$113),0)</f>
        <v>0</v>
      </c>
      <c r="K37" s="8">
        <f>IFERROR(SUMIF('S6_24-25_AOUT'!$A$3:$A$113,$A37,'S6_24-25_AOUT'!$P$3:$P$113),0)</f>
        <v>0</v>
      </c>
      <c r="L37" s="8">
        <f t="shared" si="2"/>
        <v>40</v>
      </c>
      <c r="M37" s="8">
        <f>IFERROR(SUMIF(S1_26_JUIL!$A$3:$A$113,$A37,S1_26_JUIL!$I$3:$I$113),0)+IFERROR(SUMIF('S2_27_JUIL-02_AOUT'!$A$3:$A$113,$A37,'S2_27_JUIL-02_AOUT'!$O$3:$O$113),0)+IFERROR(SUMIF('S3_03-09_AOUT'!$A$3:$A$113,$A37,'S3_03-09_AOUT'!$O$3:$O$113),0)+IFERROR(SUMIF('S4_10-16_AOUT'!$A$3:$A$113,$A37,'S4_10-16_AOUT'!$O$3:$O$113),0)+IFERROR(SUMIF('S5_17-23_AOUT'!$A$3:$A$113,$A37,'S5_17-23_AOUT'!$O$3:$O$113),0)+IFERROR(SUMIF('S6_24-25_AOUT'!$A$3:$A$113,$A37,'S6_24-25_AOUT'!$J$3:$J$113),0)</f>
        <v>40</v>
      </c>
      <c r="N37" s="9">
        <f>IFERROR(SUMIF(S1_26_JUIL!$A$3:$A$113,$A37,S1_26_JUIL!$J$3:$J$113),0)+IFERROR(SUMIF('S2_27_JUIL-02_AOUT'!$A$3:$A$113,$A37,'S2_27_JUIL-02_AOUT'!$P$3:$P$113),0)+IFERROR(SUMIF('S3_03-09_AOUT'!$A$3:$A$113,$A37,'S3_03-09_AOUT'!$P$3:$P$113),0)+IFERROR(SUMIF('S4_10-16_AOUT'!$A$3:$A$113,$A37,'S4_10-16_AOUT'!$P$3:$P$113),0)+IFERROR(SUMIF('S5_17-23_AOUT'!$A$3:$A$113,$A37,'S5_17-23_AOUT'!$P$3:$P$113),0)+IFERROR(SUMIF('S6_24-25_AOUT'!$A$3:$A$113,$A37,'S6_24-25_AOUT'!$K$3:$K$113),0)</f>
        <v>0</v>
      </c>
      <c r="O37" s="9">
        <f>IFERROR(SUMIF(S1_26_JUIL!$A$3:$A$113,$A37,S1_26_JUIL!$K$3:$K$113),0)+IFERROR(SUMIF('S2_27_JUIL-02_AOUT'!$A$3:$A$113,$A37,'S2_27_JUIL-02_AOUT'!$Q$3:$Q$113),0)+IFERROR(SUMIF('S3_03-09_AOUT'!$A$3:$A$113,$A37,'S3_03-09_AOUT'!$Q$3:$Q$113),0)+IFERROR(SUMIF('S4_10-16_AOUT'!$A$3:$A$113,$A37,'S4_10-16_AOUT'!$Q$3:$Q$113),0)+IFERROR(SUMIF('S5_17-23_AOUT'!$A$3:$A$113,$A37,'S5_17-23_AOUT'!$Q$3:$Q$113),0)+IFERROR(SUMIF('S6_24-25_AOUT'!$A$3:$A$113,$A37,'S6_24-25_AOUT'!$L$3:$L$113),0)</f>
        <v>0</v>
      </c>
      <c r="P37" s="8">
        <f>IFERROR(SUMIF(S1_26_JUIL!$A$3:$A$113,$A37,S1_26_JUIL!$L$3:$L$113),0)+IFERROR(SUMIF('S2_27_JUIL-02_AOUT'!$A$3:$A$113,$A37,'S2_27_JUIL-02_AOUT'!$R$3:$R$113),0)+IFERROR(SUMIF('S3_03-09_AOUT'!$A$3:$A$113,$A37,'S3_03-09_AOUT'!$R$3:$R$113),0)+IFERROR(SUMIF('S4_10-16_AOUT'!$A$3:$A$113,$A37,'S4_10-16_AOUT'!$R$3:$R$113),0)+IFERROR(SUMIF('S5_17-23_AOUT'!$A$3:$A$113,$A37,'S5_17-23_AOUT'!$R$3:$R$113),0)+IFERROR(SUMIF('S6_24-25_AOUT'!$A$3:$A$113,$A37,'S6_24-25_AOUT'!$M$3:$M$113),0)</f>
        <v>0</v>
      </c>
      <c r="Q37" s="8">
        <f>IFERROR(SUMIF(S1_26_JUIL!$A$3:$A$113,$A37,S1_26_JUIL!$M$3:$M$113),0)+IFERROR(SUMIF('S2_27_JUIL-02_AOUT'!$A$3:$A$113,$A37,'S2_27_JUIL-02_AOUT'!$S$3:$S$113),0)+IFERROR(SUMIF('S3_03-09_AOUT'!$A$3:$A$113,$A37,'S3_03-09_AOUT'!$S$3:$S$113),0)+IFERROR(SUMIF('S4_10-16_AOUT'!$A$3:$A$113,$A37,'S4_10-16_AOUT'!$S$3:$S$113),0)+IFERROR(SUMIF('S5_17-23_AOUT'!$A$3:$A$113,$A37,'S5_17-23_AOUT'!$S$3:$S$113),0)+IFERROR(SUMIF('S6_24-25_AOUT'!$A$3:$A$113,$A37,'S6_24-25_AOUT'!$N$3:$N$113),0)</f>
        <v>0</v>
      </c>
      <c r="R37" s="11">
        <f>IFERROR(SUMIF(S1_26_JUIL!$A$3:$A$113,$A37,S1_26_JUIL!$N$3:$N$113),0)+IFERROR(SUMIF('S2_27_JUIL-02_AOUT'!$A$3:$A$113,$A37,'S2_27_JUIL-02_AOUT'!$T$3:$T$113),0)+IFERROR(SUMIF('S3_03-09_AOUT'!$A$3:$A$113,$A37,'S3_03-09_AOUT'!$T$3:$T$113),0)+IFERROR(SUMIF('S4_10-16_AOUT'!$A$3:$A$113,$A37,'S4_10-16_AOUT'!$T$3:$T$113),0)+IFERROR(SUMIF('S5_17-23_AOUT'!$A$3:$A$113,$A37,'S5_17-23_AOUT'!$T$3:$T$113),0)+IFERROR(SUMIF('S6_24-25_AOUT'!$A$3:$A$113,$A37,'S6_24-25_AOUT'!$O$3:$O$113),0)</f>
        <v>0</v>
      </c>
      <c r="S37" s="8">
        <f>208</f>
        <v>208</v>
      </c>
      <c r="T37" s="8">
        <f t="shared" si="3"/>
        <v>40</v>
      </c>
      <c r="U37" s="10" t="str">
        <f>IF(OR(IFERROR(INDEX(S1_26_JUIL!$P$3:$P$113,MATCH($A37,S1_26_JUIL!$A$3:$A$113,0)),"")="STC",IFERROR(INDEX('S2_27_JUIL-02_AOUT'!$V$3:$V$113,MATCH($A37,'S2_27_JUIL-02_AOUT'!$A$3:$A$113,0)),"")="STC",IFERROR(INDEX('S3_03-09_AOUT'!$V$3:$V$113,MATCH($A37,'S3_03-09_AOUT'!$A$3:$A$113,0)),"")="STC",IFERROR(INDEX('S4_10-16_AOUT'!$V$3:$V$113,MATCH($A37,'S4_10-16_AOUT'!$A$3:$A$113,0)),"")="STC",IFERROR(INDEX('S5_17-23_AOUT'!$V$3:$V$113,MATCH($A37,'S5_17-23_AOUT'!$A$3:$A$113,0)),"")="STC",IFERROR(INDEX('S6_24-25_AOUT'!$Q$3:$Q$113,MATCH($A37,'S6_24-25_AOUT'!$A$3:$A$113,0)),"")="STC"),"STC",IF(OR(IFERROR(INDEX(S1_26_JUIL!$P$3:$P$113,MATCH($A37,S1_26_JUIL!$A$3:$A$113,0)),"")="À vérifier",IFERROR(INDEX('S2_27_JUIL-02_AOUT'!$V$3:$V$113,MATCH($A37,'S2_27_JUIL-02_AOUT'!$A$3:$A$113,0)),"")="À vérifier",IFERROR(INDEX('S3_03-09_AOUT'!$V$3:$V$113,MATCH($A37,'S3_03-09_AOUT'!$A$3:$A$113,0)),"")="À vérifier",IFERROR(INDEX('S4_10-16_AOUT'!$V$3:$V$113,MATCH($A37,'S4_10-16_AOUT'!$A$3:$A$113,0)),"")="À vérifier",IFERROR(INDEX('S5_17-23_AOUT'!$V$3:$V$113,MATCH($A37,'S5_17-23_AOUT'!$A$3:$A$113,0)),"")="À vérifier",IFERROR(INDEX('S6_24-25_AOUT'!$Q$3:$Q$113,MATCH($A37,'S6_24-25_AOUT'!$A$3:$A$113,0)),"")="À vérifier",ABS(L37-T37)&gt;=0.01),"À vérifier","OK"))</f>
        <v>OK</v>
      </c>
    </row>
    <row r="38" spans="1:21">
      <c r="A38" s="12">
        <v>223</v>
      </c>
      <c r="B38" s="12" t="s">
        <v>112</v>
      </c>
      <c r="C38" s="13" t="s">
        <v>113</v>
      </c>
      <c r="D38" s="12" t="s">
        <v>92</v>
      </c>
      <c r="E38" s="10" t="s">
        <v>21</v>
      </c>
      <c r="F38" s="8">
        <f>IFERROR(SUMIF(S1_26_JUIL!$A$3:$A$113,$A38,S1_26_JUIL!$O$3:$O$113),0)</f>
        <v>0</v>
      </c>
      <c r="G38" s="8">
        <f>IFERROR(SUMIF('S2_27_JUIL-02_AOUT'!$A$3:$A$113,$A38,'S2_27_JUIL-02_AOUT'!$U$3:$U$113),0)</f>
        <v>34</v>
      </c>
      <c r="H38" s="8">
        <f>IFERROR(SUMIF('S3_03-09_AOUT'!$A$3:$A$113,$A38,'S3_03-09_AOUT'!$U$3:$U$113),0)</f>
        <v>0</v>
      </c>
      <c r="I38" s="8">
        <f>IFERROR(SUMIF('S4_10-16_AOUT'!$A$3:$A$113,$A38,'S4_10-16_AOUT'!$U$3:$U$113),0)</f>
        <v>0</v>
      </c>
      <c r="J38" s="8">
        <f>IFERROR(SUMIF('S5_17-23_AOUT'!$A$3:$A$113,$A38,'S5_17-23_AOUT'!$U$3:$U$113),0)</f>
        <v>0</v>
      </c>
      <c r="K38" s="8">
        <f>IFERROR(SUMIF('S6_24-25_AOUT'!$A$3:$A$113,$A38,'S6_24-25_AOUT'!$P$3:$P$113),0)</f>
        <v>0</v>
      </c>
      <c r="L38" s="8">
        <f t="shared" si="2"/>
        <v>34</v>
      </c>
      <c r="M38" s="8">
        <f>IFERROR(SUMIF(S1_26_JUIL!$A$3:$A$113,$A38,S1_26_JUIL!$I$3:$I$113),0)+IFERROR(SUMIF('S2_27_JUIL-02_AOUT'!$A$3:$A$113,$A38,'S2_27_JUIL-02_AOUT'!$O$3:$O$113),0)+IFERROR(SUMIF('S3_03-09_AOUT'!$A$3:$A$113,$A38,'S3_03-09_AOUT'!$O$3:$O$113),0)+IFERROR(SUMIF('S4_10-16_AOUT'!$A$3:$A$113,$A38,'S4_10-16_AOUT'!$O$3:$O$113),0)+IFERROR(SUMIF('S5_17-23_AOUT'!$A$3:$A$113,$A38,'S5_17-23_AOUT'!$O$3:$O$113),0)+IFERROR(SUMIF('S6_24-25_AOUT'!$A$3:$A$113,$A38,'S6_24-25_AOUT'!$J$3:$J$113),0)</f>
        <v>34</v>
      </c>
      <c r="N38" s="9">
        <f>IFERROR(SUMIF(S1_26_JUIL!$A$3:$A$113,$A38,S1_26_JUIL!$J$3:$J$113),0)+IFERROR(SUMIF('S2_27_JUIL-02_AOUT'!$A$3:$A$113,$A38,'S2_27_JUIL-02_AOUT'!$P$3:$P$113),0)+IFERROR(SUMIF('S3_03-09_AOUT'!$A$3:$A$113,$A38,'S3_03-09_AOUT'!$P$3:$P$113),0)+IFERROR(SUMIF('S4_10-16_AOUT'!$A$3:$A$113,$A38,'S4_10-16_AOUT'!$P$3:$P$113),0)+IFERROR(SUMIF('S5_17-23_AOUT'!$A$3:$A$113,$A38,'S5_17-23_AOUT'!$P$3:$P$113),0)+IFERROR(SUMIF('S6_24-25_AOUT'!$A$3:$A$113,$A38,'S6_24-25_AOUT'!$K$3:$K$113),0)</f>
        <v>0</v>
      </c>
      <c r="O38" s="9">
        <f>IFERROR(SUMIF(S1_26_JUIL!$A$3:$A$113,$A38,S1_26_JUIL!$K$3:$K$113),0)+IFERROR(SUMIF('S2_27_JUIL-02_AOUT'!$A$3:$A$113,$A38,'S2_27_JUIL-02_AOUT'!$Q$3:$Q$113),0)+IFERROR(SUMIF('S3_03-09_AOUT'!$A$3:$A$113,$A38,'S3_03-09_AOUT'!$Q$3:$Q$113),0)+IFERROR(SUMIF('S4_10-16_AOUT'!$A$3:$A$113,$A38,'S4_10-16_AOUT'!$Q$3:$Q$113),0)+IFERROR(SUMIF('S5_17-23_AOUT'!$A$3:$A$113,$A38,'S5_17-23_AOUT'!$Q$3:$Q$113),0)+IFERROR(SUMIF('S6_24-25_AOUT'!$A$3:$A$113,$A38,'S6_24-25_AOUT'!$L$3:$L$113),0)</f>
        <v>0</v>
      </c>
      <c r="P38" s="8">
        <f>IFERROR(SUMIF(S1_26_JUIL!$A$3:$A$113,$A38,S1_26_JUIL!$L$3:$L$113),0)+IFERROR(SUMIF('S2_27_JUIL-02_AOUT'!$A$3:$A$113,$A38,'S2_27_JUIL-02_AOUT'!$R$3:$R$113),0)+IFERROR(SUMIF('S3_03-09_AOUT'!$A$3:$A$113,$A38,'S3_03-09_AOUT'!$R$3:$R$113),0)+IFERROR(SUMIF('S4_10-16_AOUT'!$A$3:$A$113,$A38,'S4_10-16_AOUT'!$R$3:$R$113),0)+IFERROR(SUMIF('S5_17-23_AOUT'!$A$3:$A$113,$A38,'S5_17-23_AOUT'!$R$3:$R$113),0)+IFERROR(SUMIF('S6_24-25_AOUT'!$A$3:$A$113,$A38,'S6_24-25_AOUT'!$M$3:$M$113),0)</f>
        <v>1</v>
      </c>
      <c r="Q38" s="8">
        <f>IFERROR(SUMIF(S1_26_JUIL!$A$3:$A$113,$A38,S1_26_JUIL!$M$3:$M$113),0)+IFERROR(SUMIF('S2_27_JUIL-02_AOUT'!$A$3:$A$113,$A38,'S2_27_JUIL-02_AOUT'!$S$3:$S$113),0)+IFERROR(SUMIF('S3_03-09_AOUT'!$A$3:$A$113,$A38,'S3_03-09_AOUT'!$S$3:$S$113),0)+IFERROR(SUMIF('S4_10-16_AOUT'!$A$3:$A$113,$A38,'S4_10-16_AOUT'!$S$3:$S$113),0)+IFERROR(SUMIF('S5_17-23_AOUT'!$A$3:$A$113,$A38,'S5_17-23_AOUT'!$S$3:$S$113),0)+IFERROR(SUMIF('S6_24-25_AOUT'!$A$3:$A$113,$A38,'S6_24-25_AOUT'!$N$3:$N$113),0)</f>
        <v>0</v>
      </c>
      <c r="R38" s="11">
        <f>IFERROR(SUMIF(S1_26_JUIL!$A$3:$A$113,$A38,S1_26_JUIL!$N$3:$N$113),0)+IFERROR(SUMIF('S2_27_JUIL-02_AOUT'!$A$3:$A$113,$A38,'S2_27_JUIL-02_AOUT'!$T$3:$T$113),0)+IFERROR(SUMIF('S3_03-09_AOUT'!$A$3:$A$113,$A38,'S3_03-09_AOUT'!$T$3:$T$113),0)+IFERROR(SUMIF('S4_10-16_AOUT'!$A$3:$A$113,$A38,'S4_10-16_AOUT'!$T$3:$T$113),0)+IFERROR(SUMIF('S5_17-23_AOUT'!$A$3:$A$113,$A38,'S5_17-23_AOUT'!$T$3:$T$113),0)+IFERROR(SUMIF('S6_24-25_AOUT'!$A$3:$A$113,$A38,'S6_24-25_AOUT'!$O$3:$O$113),0)</f>
        <v>0</v>
      </c>
      <c r="S38" s="8">
        <f>208</f>
        <v>208</v>
      </c>
      <c r="T38" s="8">
        <f t="shared" si="3"/>
        <v>34</v>
      </c>
      <c r="U38" s="10" t="str">
        <f>IF(OR(IFERROR(INDEX(S1_26_JUIL!$P$3:$P$113,MATCH($A38,S1_26_JUIL!$A$3:$A$113,0)),"")="STC",IFERROR(INDEX('S2_27_JUIL-02_AOUT'!$V$3:$V$113,MATCH($A38,'S2_27_JUIL-02_AOUT'!$A$3:$A$113,0)),"")="STC",IFERROR(INDEX('S3_03-09_AOUT'!$V$3:$V$113,MATCH($A38,'S3_03-09_AOUT'!$A$3:$A$113,0)),"")="STC",IFERROR(INDEX('S4_10-16_AOUT'!$V$3:$V$113,MATCH($A38,'S4_10-16_AOUT'!$A$3:$A$113,0)),"")="STC",IFERROR(INDEX('S5_17-23_AOUT'!$V$3:$V$113,MATCH($A38,'S5_17-23_AOUT'!$A$3:$A$113,0)),"")="STC",IFERROR(INDEX('S6_24-25_AOUT'!$Q$3:$Q$113,MATCH($A38,'S6_24-25_AOUT'!$A$3:$A$113,0)),"")="STC"),"STC",IF(OR(IFERROR(INDEX(S1_26_JUIL!$P$3:$P$113,MATCH($A38,S1_26_JUIL!$A$3:$A$113,0)),"")="À vérifier",IFERROR(INDEX('S2_27_JUIL-02_AOUT'!$V$3:$V$113,MATCH($A38,'S2_27_JUIL-02_AOUT'!$A$3:$A$113,0)),"")="À vérifier",IFERROR(INDEX('S3_03-09_AOUT'!$V$3:$V$113,MATCH($A38,'S3_03-09_AOUT'!$A$3:$A$113,0)),"")="À vérifier",IFERROR(INDEX('S4_10-16_AOUT'!$V$3:$V$113,MATCH($A38,'S4_10-16_AOUT'!$A$3:$A$113,0)),"")="À vérifier",IFERROR(INDEX('S5_17-23_AOUT'!$V$3:$V$113,MATCH($A38,'S5_17-23_AOUT'!$A$3:$A$113,0)),"")="À vérifier",IFERROR(INDEX('S6_24-25_AOUT'!$Q$3:$Q$113,MATCH($A38,'S6_24-25_AOUT'!$A$3:$A$113,0)),"")="À vérifier",ABS(L38-T38)&gt;=0.01),"À vérifier","OK"))</f>
        <v>OK</v>
      </c>
    </row>
    <row r="39" spans="1:21">
      <c r="A39" s="12" t="s">
        <v>114</v>
      </c>
      <c r="B39" s="12" t="s">
        <v>115</v>
      </c>
      <c r="C39" s="13" t="s">
        <v>116</v>
      </c>
      <c r="D39" s="12" t="s">
        <v>92</v>
      </c>
      <c r="E39" s="10" t="s">
        <v>21</v>
      </c>
      <c r="F39" s="8">
        <f>IFERROR(SUMIF(S1_26_JUIL!$A$3:$A$113,$A39,S1_26_JUIL!$O$3:$O$113),0)</f>
        <v>0</v>
      </c>
      <c r="G39" s="8">
        <f>IFERROR(SUMIF('S2_27_JUIL-02_AOUT'!$A$3:$A$113,$A39,'S2_27_JUIL-02_AOUT'!$U$3:$U$113),0)</f>
        <v>85.5</v>
      </c>
      <c r="H39" s="8">
        <f>IFERROR(SUMIF('S3_03-09_AOUT'!$A$3:$A$113,$A39,'S3_03-09_AOUT'!$U$3:$U$113),0)</f>
        <v>0</v>
      </c>
      <c r="I39" s="8">
        <f>IFERROR(SUMIF('S4_10-16_AOUT'!$A$3:$A$113,$A39,'S4_10-16_AOUT'!$U$3:$U$113),0)</f>
        <v>0</v>
      </c>
      <c r="J39" s="8">
        <f>IFERROR(SUMIF('S5_17-23_AOUT'!$A$3:$A$113,$A39,'S5_17-23_AOUT'!$U$3:$U$113),0)</f>
        <v>0</v>
      </c>
      <c r="K39" s="8">
        <f>IFERROR(SUMIF('S6_24-25_AOUT'!$A$3:$A$113,$A39,'S6_24-25_AOUT'!$P$3:$P$113),0)</f>
        <v>0</v>
      </c>
      <c r="L39" s="8">
        <f t="shared" si="2"/>
        <v>85.5</v>
      </c>
      <c r="M39" s="8">
        <f>IFERROR(SUMIF(S1_26_JUIL!$A$3:$A$113,$A39,S1_26_JUIL!$I$3:$I$113),0)+IFERROR(SUMIF('S2_27_JUIL-02_AOUT'!$A$3:$A$113,$A39,'S2_27_JUIL-02_AOUT'!$O$3:$O$113),0)+IFERROR(SUMIF('S3_03-09_AOUT'!$A$3:$A$113,$A39,'S3_03-09_AOUT'!$O$3:$O$113),0)+IFERROR(SUMIF('S4_10-16_AOUT'!$A$3:$A$113,$A39,'S4_10-16_AOUT'!$O$3:$O$113),0)+IFERROR(SUMIF('S5_17-23_AOUT'!$A$3:$A$113,$A39,'S5_17-23_AOUT'!$O$3:$O$113),0)+IFERROR(SUMIF('S6_24-25_AOUT'!$A$3:$A$113,$A39,'S6_24-25_AOUT'!$J$3:$J$113),0)</f>
        <v>85.5</v>
      </c>
      <c r="N39" s="9">
        <f>IFERROR(SUMIF(S1_26_JUIL!$A$3:$A$113,$A39,S1_26_JUIL!$J$3:$J$113),0)+IFERROR(SUMIF('S2_27_JUIL-02_AOUT'!$A$3:$A$113,$A39,'S2_27_JUIL-02_AOUT'!$P$3:$P$113),0)+IFERROR(SUMIF('S3_03-09_AOUT'!$A$3:$A$113,$A39,'S3_03-09_AOUT'!$P$3:$P$113),0)+IFERROR(SUMIF('S4_10-16_AOUT'!$A$3:$A$113,$A39,'S4_10-16_AOUT'!$P$3:$P$113),0)+IFERROR(SUMIF('S5_17-23_AOUT'!$A$3:$A$113,$A39,'S5_17-23_AOUT'!$P$3:$P$113),0)+IFERROR(SUMIF('S6_24-25_AOUT'!$A$3:$A$113,$A39,'S6_24-25_AOUT'!$K$3:$K$113),0)</f>
        <v>0</v>
      </c>
      <c r="O39" s="9">
        <f>IFERROR(SUMIF(S1_26_JUIL!$A$3:$A$113,$A39,S1_26_JUIL!$K$3:$K$113),0)+IFERROR(SUMIF('S2_27_JUIL-02_AOUT'!$A$3:$A$113,$A39,'S2_27_JUIL-02_AOUT'!$Q$3:$Q$113),0)+IFERROR(SUMIF('S3_03-09_AOUT'!$A$3:$A$113,$A39,'S3_03-09_AOUT'!$Q$3:$Q$113),0)+IFERROR(SUMIF('S4_10-16_AOUT'!$A$3:$A$113,$A39,'S4_10-16_AOUT'!$Q$3:$Q$113),0)+IFERROR(SUMIF('S5_17-23_AOUT'!$A$3:$A$113,$A39,'S5_17-23_AOUT'!$Q$3:$Q$113),0)+IFERROR(SUMIF('S6_24-25_AOUT'!$A$3:$A$113,$A39,'S6_24-25_AOUT'!$L$3:$L$113),0)</f>
        <v>0</v>
      </c>
      <c r="P39" s="8">
        <f>IFERROR(SUMIF(S1_26_JUIL!$A$3:$A$113,$A39,S1_26_JUIL!$L$3:$L$113),0)+IFERROR(SUMIF('S2_27_JUIL-02_AOUT'!$A$3:$A$113,$A39,'S2_27_JUIL-02_AOUT'!$R$3:$R$113),0)+IFERROR(SUMIF('S3_03-09_AOUT'!$A$3:$A$113,$A39,'S3_03-09_AOUT'!$R$3:$R$113),0)+IFERROR(SUMIF('S4_10-16_AOUT'!$A$3:$A$113,$A39,'S4_10-16_AOUT'!$R$3:$R$113),0)+IFERROR(SUMIF('S5_17-23_AOUT'!$A$3:$A$113,$A39,'S5_17-23_AOUT'!$R$3:$R$113),0)+IFERROR(SUMIF('S6_24-25_AOUT'!$A$3:$A$113,$A39,'S6_24-25_AOUT'!$M$3:$M$113),0)</f>
        <v>0</v>
      </c>
      <c r="Q39" s="8">
        <f>IFERROR(SUMIF(S1_26_JUIL!$A$3:$A$113,$A39,S1_26_JUIL!$M$3:$M$113),0)+IFERROR(SUMIF('S2_27_JUIL-02_AOUT'!$A$3:$A$113,$A39,'S2_27_JUIL-02_AOUT'!$S$3:$S$113),0)+IFERROR(SUMIF('S3_03-09_AOUT'!$A$3:$A$113,$A39,'S3_03-09_AOUT'!$S$3:$S$113),0)+IFERROR(SUMIF('S4_10-16_AOUT'!$A$3:$A$113,$A39,'S4_10-16_AOUT'!$S$3:$S$113),0)+IFERROR(SUMIF('S5_17-23_AOUT'!$A$3:$A$113,$A39,'S5_17-23_AOUT'!$S$3:$S$113),0)+IFERROR(SUMIF('S6_24-25_AOUT'!$A$3:$A$113,$A39,'S6_24-25_AOUT'!$N$3:$N$113),0)</f>
        <v>1</v>
      </c>
      <c r="R39" s="11">
        <f>IFERROR(SUMIF(S1_26_JUIL!$A$3:$A$113,$A39,S1_26_JUIL!$N$3:$N$113),0)+IFERROR(SUMIF('S2_27_JUIL-02_AOUT'!$A$3:$A$113,$A39,'S2_27_JUIL-02_AOUT'!$T$3:$T$113),0)+IFERROR(SUMIF('S3_03-09_AOUT'!$A$3:$A$113,$A39,'S3_03-09_AOUT'!$T$3:$T$113),0)+IFERROR(SUMIF('S4_10-16_AOUT'!$A$3:$A$113,$A39,'S4_10-16_AOUT'!$T$3:$T$113),0)+IFERROR(SUMIF('S5_17-23_AOUT'!$A$3:$A$113,$A39,'S5_17-23_AOUT'!$T$3:$T$113),0)+IFERROR(SUMIF('S6_24-25_AOUT'!$A$3:$A$113,$A39,'S6_24-25_AOUT'!$O$3:$O$113),0)</f>
        <v>0</v>
      </c>
      <c r="S39" s="8">
        <f>208</f>
        <v>208</v>
      </c>
      <c r="T39" s="8">
        <f t="shared" si="3"/>
        <v>85.5</v>
      </c>
      <c r="U39" s="10" t="str">
        <f>IF(OR(IFERROR(INDEX(S1_26_JUIL!$P$3:$P$113,MATCH($A39,S1_26_JUIL!$A$3:$A$113,0)),"")="STC",IFERROR(INDEX('S2_27_JUIL-02_AOUT'!$V$3:$V$113,MATCH($A39,'S2_27_JUIL-02_AOUT'!$A$3:$A$113,0)),"")="STC",IFERROR(INDEX('S3_03-09_AOUT'!$V$3:$V$113,MATCH($A39,'S3_03-09_AOUT'!$A$3:$A$113,0)),"")="STC",IFERROR(INDEX('S4_10-16_AOUT'!$V$3:$V$113,MATCH($A39,'S4_10-16_AOUT'!$A$3:$A$113,0)),"")="STC",IFERROR(INDEX('S5_17-23_AOUT'!$V$3:$V$113,MATCH($A39,'S5_17-23_AOUT'!$A$3:$A$113,0)),"")="STC",IFERROR(INDEX('S6_24-25_AOUT'!$Q$3:$Q$113,MATCH($A39,'S6_24-25_AOUT'!$A$3:$A$113,0)),"")="STC"),"STC",IF(OR(IFERROR(INDEX(S1_26_JUIL!$P$3:$P$113,MATCH($A39,S1_26_JUIL!$A$3:$A$113,0)),"")="À vérifier",IFERROR(INDEX('S2_27_JUIL-02_AOUT'!$V$3:$V$113,MATCH($A39,'S2_27_JUIL-02_AOUT'!$A$3:$A$113,0)),"")="À vérifier",IFERROR(INDEX('S3_03-09_AOUT'!$V$3:$V$113,MATCH($A39,'S3_03-09_AOUT'!$A$3:$A$113,0)),"")="À vérifier",IFERROR(INDEX('S4_10-16_AOUT'!$V$3:$V$113,MATCH($A39,'S4_10-16_AOUT'!$A$3:$A$113,0)),"")="À vérifier",IFERROR(INDEX('S5_17-23_AOUT'!$V$3:$V$113,MATCH($A39,'S5_17-23_AOUT'!$A$3:$A$113,0)),"")="À vérifier",IFERROR(INDEX('S6_24-25_AOUT'!$Q$3:$Q$113,MATCH($A39,'S6_24-25_AOUT'!$A$3:$A$113,0)),"")="À vérifier",ABS(L39-T39)&gt;=0.01),"À vérifier","OK"))</f>
        <v>OK</v>
      </c>
    </row>
    <row r="40" spans="1:21">
      <c r="A40" s="12" t="s">
        <v>117</v>
      </c>
      <c r="B40" s="12" t="s">
        <v>118</v>
      </c>
      <c r="C40" s="13" t="s">
        <v>119</v>
      </c>
      <c r="D40" s="12" t="s">
        <v>92</v>
      </c>
      <c r="E40" s="10" t="s">
        <v>21</v>
      </c>
      <c r="F40" s="8">
        <f>IFERROR(SUMIF(S1_26_JUIL!$A$3:$A$113,$A40,S1_26_JUIL!$O$3:$O$113),0)</f>
        <v>0</v>
      </c>
      <c r="G40" s="8">
        <f>IFERROR(SUMIF('S2_27_JUIL-02_AOUT'!$A$3:$A$113,$A40,'S2_27_JUIL-02_AOUT'!$U$3:$U$113),0)</f>
        <v>10</v>
      </c>
      <c r="H40" s="8">
        <f>IFERROR(SUMIF('S3_03-09_AOUT'!$A$3:$A$113,$A40,'S3_03-09_AOUT'!$U$3:$U$113),0)</f>
        <v>0</v>
      </c>
      <c r="I40" s="8">
        <f>IFERROR(SUMIF('S4_10-16_AOUT'!$A$3:$A$113,$A40,'S4_10-16_AOUT'!$U$3:$U$113),0)</f>
        <v>0</v>
      </c>
      <c r="J40" s="8">
        <f>IFERROR(SUMIF('S5_17-23_AOUT'!$A$3:$A$113,$A40,'S5_17-23_AOUT'!$U$3:$U$113),0)</f>
        <v>0</v>
      </c>
      <c r="K40" s="8">
        <f>IFERROR(SUMIF('S6_24-25_AOUT'!$A$3:$A$113,$A40,'S6_24-25_AOUT'!$P$3:$P$113),0)</f>
        <v>0</v>
      </c>
      <c r="L40" s="8">
        <f t="shared" si="2"/>
        <v>10</v>
      </c>
      <c r="M40" s="8">
        <f>IFERROR(SUMIF(S1_26_JUIL!$A$3:$A$113,$A40,S1_26_JUIL!$I$3:$I$113),0)+IFERROR(SUMIF('S2_27_JUIL-02_AOUT'!$A$3:$A$113,$A40,'S2_27_JUIL-02_AOUT'!$O$3:$O$113),0)+IFERROR(SUMIF('S3_03-09_AOUT'!$A$3:$A$113,$A40,'S3_03-09_AOUT'!$O$3:$O$113),0)+IFERROR(SUMIF('S4_10-16_AOUT'!$A$3:$A$113,$A40,'S4_10-16_AOUT'!$O$3:$O$113),0)+IFERROR(SUMIF('S5_17-23_AOUT'!$A$3:$A$113,$A40,'S5_17-23_AOUT'!$O$3:$O$113),0)+IFERROR(SUMIF('S6_24-25_AOUT'!$A$3:$A$113,$A40,'S6_24-25_AOUT'!$J$3:$J$113),0)</f>
        <v>10</v>
      </c>
      <c r="N40" s="9">
        <f>IFERROR(SUMIF(S1_26_JUIL!$A$3:$A$113,$A40,S1_26_JUIL!$J$3:$J$113),0)+IFERROR(SUMIF('S2_27_JUIL-02_AOUT'!$A$3:$A$113,$A40,'S2_27_JUIL-02_AOUT'!$P$3:$P$113),0)+IFERROR(SUMIF('S3_03-09_AOUT'!$A$3:$A$113,$A40,'S3_03-09_AOUT'!$P$3:$P$113),0)+IFERROR(SUMIF('S4_10-16_AOUT'!$A$3:$A$113,$A40,'S4_10-16_AOUT'!$P$3:$P$113),0)+IFERROR(SUMIF('S5_17-23_AOUT'!$A$3:$A$113,$A40,'S5_17-23_AOUT'!$P$3:$P$113),0)+IFERROR(SUMIF('S6_24-25_AOUT'!$A$3:$A$113,$A40,'S6_24-25_AOUT'!$K$3:$K$113),0)</f>
        <v>0</v>
      </c>
      <c r="O40" s="9">
        <f>IFERROR(SUMIF(S1_26_JUIL!$A$3:$A$113,$A40,S1_26_JUIL!$K$3:$K$113),0)+IFERROR(SUMIF('S2_27_JUIL-02_AOUT'!$A$3:$A$113,$A40,'S2_27_JUIL-02_AOUT'!$Q$3:$Q$113),0)+IFERROR(SUMIF('S3_03-09_AOUT'!$A$3:$A$113,$A40,'S3_03-09_AOUT'!$Q$3:$Q$113),0)+IFERROR(SUMIF('S4_10-16_AOUT'!$A$3:$A$113,$A40,'S4_10-16_AOUT'!$Q$3:$Q$113),0)+IFERROR(SUMIF('S5_17-23_AOUT'!$A$3:$A$113,$A40,'S5_17-23_AOUT'!$Q$3:$Q$113),0)+IFERROR(SUMIF('S6_24-25_AOUT'!$A$3:$A$113,$A40,'S6_24-25_AOUT'!$L$3:$L$113),0)</f>
        <v>0</v>
      </c>
      <c r="P40" s="8">
        <f>IFERROR(SUMIF(S1_26_JUIL!$A$3:$A$113,$A40,S1_26_JUIL!$L$3:$L$113),0)+IFERROR(SUMIF('S2_27_JUIL-02_AOUT'!$A$3:$A$113,$A40,'S2_27_JUIL-02_AOUT'!$R$3:$R$113),0)+IFERROR(SUMIF('S3_03-09_AOUT'!$A$3:$A$113,$A40,'S3_03-09_AOUT'!$R$3:$R$113),0)+IFERROR(SUMIF('S4_10-16_AOUT'!$A$3:$A$113,$A40,'S4_10-16_AOUT'!$R$3:$R$113),0)+IFERROR(SUMIF('S5_17-23_AOUT'!$A$3:$A$113,$A40,'S5_17-23_AOUT'!$R$3:$R$113),0)+IFERROR(SUMIF('S6_24-25_AOUT'!$A$3:$A$113,$A40,'S6_24-25_AOUT'!$M$3:$M$113),0)</f>
        <v>0</v>
      </c>
      <c r="Q40" s="8">
        <f>IFERROR(SUMIF(S1_26_JUIL!$A$3:$A$113,$A40,S1_26_JUIL!$M$3:$M$113),0)+IFERROR(SUMIF('S2_27_JUIL-02_AOUT'!$A$3:$A$113,$A40,'S2_27_JUIL-02_AOUT'!$S$3:$S$113),0)+IFERROR(SUMIF('S3_03-09_AOUT'!$A$3:$A$113,$A40,'S3_03-09_AOUT'!$S$3:$S$113),0)+IFERROR(SUMIF('S4_10-16_AOUT'!$A$3:$A$113,$A40,'S4_10-16_AOUT'!$S$3:$S$113),0)+IFERROR(SUMIF('S5_17-23_AOUT'!$A$3:$A$113,$A40,'S5_17-23_AOUT'!$S$3:$S$113),0)+IFERROR(SUMIF('S6_24-25_AOUT'!$A$3:$A$113,$A40,'S6_24-25_AOUT'!$N$3:$N$113),0)</f>
        <v>4</v>
      </c>
      <c r="R40" s="11">
        <f>IFERROR(SUMIF(S1_26_JUIL!$A$3:$A$113,$A40,S1_26_JUIL!$N$3:$N$113),0)+IFERROR(SUMIF('S2_27_JUIL-02_AOUT'!$A$3:$A$113,$A40,'S2_27_JUIL-02_AOUT'!$T$3:$T$113),0)+IFERROR(SUMIF('S3_03-09_AOUT'!$A$3:$A$113,$A40,'S3_03-09_AOUT'!$T$3:$T$113),0)+IFERROR(SUMIF('S4_10-16_AOUT'!$A$3:$A$113,$A40,'S4_10-16_AOUT'!$T$3:$T$113),0)+IFERROR(SUMIF('S5_17-23_AOUT'!$A$3:$A$113,$A40,'S5_17-23_AOUT'!$T$3:$T$113),0)+IFERROR(SUMIF('S6_24-25_AOUT'!$A$3:$A$113,$A40,'S6_24-25_AOUT'!$O$3:$O$113),0)</f>
        <v>0</v>
      </c>
      <c r="S40" s="8">
        <f>208</f>
        <v>208</v>
      </c>
      <c r="T40" s="8">
        <f t="shared" si="3"/>
        <v>10</v>
      </c>
      <c r="U40" s="10" t="str">
        <f>IF(OR(IFERROR(INDEX(S1_26_JUIL!$P$3:$P$113,MATCH($A40,S1_26_JUIL!$A$3:$A$113,0)),"")="STC",IFERROR(INDEX('S2_27_JUIL-02_AOUT'!$V$3:$V$113,MATCH($A40,'S2_27_JUIL-02_AOUT'!$A$3:$A$113,0)),"")="STC",IFERROR(INDEX('S3_03-09_AOUT'!$V$3:$V$113,MATCH($A40,'S3_03-09_AOUT'!$A$3:$A$113,0)),"")="STC",IFERROR(INDEX('S4_10-16_AOUT'!$V$3:$V$113,MATCH($A40,'S4_10-16_AOUT'!$A$3:$A$113,0)),"")="STC",IFERROR(INDEX('S5_17-23_AOUT'!$V$3:$V$113,MATCH($A40,'S5_17-23_AOUT'!$A$3:$A$113,0)),"")="STC",IFERROR(INDEX('S6_24-25_AOUT'!$Q$3:$Q$113,MATCH($A40,'S6_24-25_AOUT'!$A$3:$A$113,0)),"")="STC"),"STC",IF(OR(IFERROR(INDEX(S1_26_JUIL!$P$3:$P$113,MATCH($A40,S1_26_JUIL!$A$3:$A$113,0)),"")="À vérifier",IFERROR(INDEX('S2_27_JUIL-02_AOUT'!$V$3:$V$113,MATCH($A40,'S2_27_JUIL-02_AOUT'!$A$3:$A$113,0)),"")="À vérifier",IFERROR(INDEX('S3_03-09_AOUT'!$V$3:$V$113,MATCH($A40,'S3_03-09_AOUT'!$A$3:$A$113,0)),"")="À vérifier",IFERROR(INDEX('S4_10-16_AOUT'!$V$3:$V$113,MATCH($A40,'S4_10-16_AOUT'!$A$3:$A$113,0)),"")="À vérifier",IFERROR(INDEX('S5_17-23_AOUT'!$V$3:$V$113,MATCH($A40,'S5_17-23_AOUT'!$A$3:$A$113,0)),"")="À vérifier",IFERROR(INDEX('S6_24-25_AOUT'!$Q$3:$Q$113,MATCH($A40,'S6_24-25_AOUT'!$A$3:$A$113,0)),"")="À vérifier",ABS(L40-T40)&gt;=0.01),"À vérifier","OK"))</f>
        <v>OK</v>
      </c>
    </row>
    <row r="41" spans="1:21">
      <c r="A41" s="12" t="s">
        <v>120</v>
      </c>
      <c r="B41" s="12" t="s">
        <v>121</v>
      </c>
      <c r="C41" s="13" t="s">
        <v>122</v>
      </c>
      <c r="D41" s="12" t="s">
        <v>31</v>
      </c>
      <c r="E41" s="10" t="s">
        <v>123</v>
      </c>
      <c r="F41" s="8">
        <f>IFERROR(SUMIF(S1_26_JUIL!$A$3:$A$113,$A41,S1_26_JUIL!$O$3:$O$113),0)</f>
        <v>0</v>
      </c>
      <c r="G41" s="8">
        <f>IFERROR(SUMIF('S2_27_JUIL-02_AOUT'!$A$3:$A$113,$A41,'S2_27_JUIL-02_AOUT'!$U$3:$U$113),0)</f>
        <v>51</v>
      </c>
      <c r="H41" s="8">
        <f>IFERROR(SUMIF('S3_03-09_AOUT'!$A$3:$A$113,$A41,'S3_03-09_AOUT'!$U$3:$U$113),0)</f>
        <v>0</v>
      </c>
      <c r="I41" s="8">
        <f>IFERROR(SUMIF('S4_10-16_AOUT'!$A$3:$A$113,$A41,'S4_10-16_AOUT'!$U$3:$U$113),0)</f>
        <v>0</v>
      </c>
      <c r="J41" s="8">
        <f>IFERROR(SUMIF('S5_17-23_AOUT'!$A$3:$A$113,$A41,'S5_17-23_AOUT'!$U$3:$U$113),0)</f>
        <v>0</v>
      </c>
      <c r="K41" s="8">
        <f>IFERROR(SUMIF('S6_24-25_AOUT'!$A$3:$A$113,$A41,'S6_24-25_AOUT'!$P$3:$P$113),0)</f>
        <v>0</v>
      </c>
      <c r="L41" s="8">
        <f t="shared" si="2"/>
        <v>51</v>
      </c>
      <c r="M41" s="8">
        <f>IFERROR(SUMIF(S1_26_JUIL!$A$3:$A$113,$A41,S1_26_JUIL!$I$3:$I$113),0)+IFERROR(SUMIF('S2_27_JUIL-02_AOUT'!$A$3:$A$113,$A41,'S2_27_JUIL-02_AOUT'!$O$3:$O$113),0)+IFERROR(SUMIF('S3_03-09_AOUT'!$A$3:$A$113,$A41,'S3_03-09_AOUT'!$O$3:$O$113),0)+IFERROR(SUMIF('S4_10-16_AOUT'!$A$3:$A$113,$A41,'S4_10-16_AOUT'!$O$3:$O$113),0)+IFERROR(SUMIF('S5_17-23_AOUT'!$A$3:$A$113,$A41,'S5_17-23_AOUT'!$O$3:$O$113),0)+IFERROR(SUMIF('S6_24-25_AOUT'!$A$3:$A$113,$A41,'S6_24-25_AOUT'!$J$3:$J$113),0)</f>
        <v>48</v>
      </c>
      <c r="N41" s="9">
        <f>IFERROR(SUMIF(S1_26_JUIL!$A$3:$A$113,$A41,S1_26_JUIL!$J$3:$J$113),0)+IFERROR(SUMIF('S2_27_JUIL-02_AOUT'!$A$3:$A$113,$A41,'S2_27_JUIL-02_AOUT'!$P$3:$P$113),0)+IFERROR(SUMIF('S3_03-09_AOUT'!$A$3:$A$113,$A41,'S3_03-09_AOUT'!$P$3:$P$113),0)+IFERROR(SUMIF('S4_10-16_AOUT'!$A$3:$A$113,$A41,'S4_10-16_AOUT'!$P$3:$P$113),0)+IFERROR(SUMIF('S5_17-23_AOUT'!$A$3:$A$113,$A41,'S5_17-23_AOUT'!$P$3:$P$113),0)+IFERROR(SUMIF('S6_24-25_AOUT'!$A$3:$A$113,$A41,'S6_24-25_AOUT'!$K$3:$K$113),0)</f>
        <v>3</v>
      </c>
      <c r="O41" s="9">
        <f>IFERROR(SUMIF(S1_26_JUIL!$A$3:$A$113,$A41,S1_26_JUIL!$K$3:$K$113),0)+IFERROR(SUMIF('S2_27_JUIL-02_AOUT'!$A$3:$A$113,$A41,'S2_27_JUIL-02_AOUT'!$Q$3:$Q$113),0)+IFERROR(SUMIF('S3_03-09_AOUT'!$A$3:$A$113,$A41,'S3_03-09_AOUT'!$Q$3:$Q$113),0)+IFERROR(SUMIF('S4_10-16_AOUT'!$A$3:$A$113,$A41,'S4_10-16_AOUT'!$Q$3:$Q$113),0)+IFERROR(SUMIF('S5_17-23_AOUT'!$A$3:$A$113,$A41,'S5_17-23_AOUT'!$Q$3:$Q$113),0)+IFERROR(SUMIF('S6_24-25_AOUT'!$A$3:$A$113,$A41,'S6_24-25_AOUT'!$L$3:$L$113),0)</f>
        <v>0</v>
      </c>
      <c r="P41" s="8">
        <f>IFERROR(SUMIF(S1_26_JUIL!$A$3:$A$113,$A41,S1_26_JUIL!$L$3:$L$113),0)+IFERROR(SUMIF('S2_27_JUIL-02_AOUT'!$A$3:$A$113,$A41,'S2_27_JUIL-02_AOUT'!$R$3:$R$113),0)+IFERROR(SUMIF('S3_03-09_AOUT'!$A$3:$A$113,$A41,'S3_03-09_AOUT'!$R$3:$R$113),0)+IFERROR(SUMIF('S4_10-16_AOUT'!$A$3:$A$113,$A41,'S4_10-16_AOUT'!$R$3:$R$113),0)+IFERROR(SUMIF('S5_17-23_AOUT'!$A$3:$A$113,$A41,'S5_17-23_AOUT'!$R$3:$R$113),0)+IFERROR(SUMIF('S6_24-25_AOUT'!$A$3:$A$113,$A41,'S6_24-25_AOUT'!$M$3:$M$113),0)</f>
        <v>0</v>
      </c>
      <c r="Q41" s="8">
        <f>IFERROR(SUMIF(S1_26_JUIL!$A$3:$A$113,$A41,S1_26_JUIL!$M$3:$M$113),0)+IFERROR(SUMIF('S2_27_JUIL-02_AOUT'!$A$3:$A$113,$A41,'S2_27_JUIL-02_AOUT'!$S$3:$S$113),0)+IFERROR(SUMIF('S3_03-09_AOUT'!$A$3:$A$113,$A41,'S3_03-09_AOUT'!$S$3:$S$113),0)+IFERROR(SUMIF('S4_10-16_AOUT'!$A$3:$A$113,$A41,'S4_10-16_AOUT'!$S$3:$S$113),0)+IFERROR(SUMIF('S5_17-23_AOUT'!$A$3:$A$113,$A41,'S5_17-23_AOUT'!$S$3:$S$113),0)+IFERROR(SUMIF('S6_24-25_AOUT'!$A$3:$A$113,$A41,'S6_24-25_AOUT'!$N$3:$N$113),0)</f>
        <v>0</v>
      </c>
      <c r="R41" s="11">
        <f>IFERROR(SUMIF(S1_26_JUIL!$A$3:$A$113,$A41,S1_26_JUIL!$N$3:$N$113),0)+IFERROR(SUMIF('S2_27_JUIL-02_AOUT'!$A$3:$A$113,$A41,'S2_27_JUIL-02_AOUT'!$T$3:$T$113),0)+IFERROR(SUMIF('S3_03-09_AOUT'!$A$3:$A$113,$A41,'S3_03-09_AOUT'!$T$3:$T$113),0)+IFERROR(SUMIF('S4_10-16_AOUT'!$A$3:$A$113,$A41,'S4_10-16_AOUT'!$T$3:$T$113),0)+IFERROR(SUMIF('S5_17-23_AOUT'!$A$3:$A$113,$A41,'S5_17-23_AOUT'!$T$3:$T$113),0)+IFERROR(SUMIF('S6_24-25_AOUT'!$A$3:$A$113,$A41,'S6_24-25_AOUT'!$O$3:$O$113),0)</f>
        <v>0</v>
      </c>
      <c r="S41" s="8">
        <f>208</f>
        <v>208</v>
      </c>
      <c r="T41" s="8">
        <f t="shared" si="3"/>
        <v>51</v>
      </c>
      <c r="U41" s="10" t="str">
        <f>IF(OR(IFERROR(INDEX(S1_26_JUIL!$P$3:$P$113,MATCH($A41,S1_26_JUIL!$A$3:$A$113,0)),"")="STC",IFERROR(INDEX('S2_27_JUIL-02_AOUT'!$V$3:$V$113,MATCH($A41,'S2_27_JUIL-02_AOUT'!$A$3:$A$113,0)),"")="STC",IFERROR(INDEX('S3_03-09_AOUT'!$V$3:$V$113,MATCH($A41,'S3_03-09_AOUT'!$A$3:$A$113,0)),"")="STC",IFERROR(INDEX('S4_10-16_AOUT'!$V$3:$V$113,MATCH($A41,'S4_10-16_AOUT'!$A$3:$A$113,0)),"")="STC",IFERROR(INDEX('S5_17-23_AOUT'!$V$3:$V$113,MATCH($A41,'S5_17-23_AOUT'!$A$3:$A$113,0)),"")="STC",IFERROR(INDEX('S6_24-25_AOUT'!$Q$3:$Q$113,MATCH($A41,'S6_24-25_AOUT'!$A$3:$A$113,0)),"")="STC"),"STC",IF(OR(IFERROR(INDEX(S1_26_JUIL!$P$3:$P$113,MATCH($A41,S1_26_JUIL!$A$3:$A$113,0)),"")="À vérifier",IFERROR(INDEX('S2_27_JUIL-02_AOUT'!$V$3:$V$113,MATCH($A41,'S2_27_JUIL-02_AOUT'!$A$3:$A$113,0)),"")="À vérifier",IFERROR(INDEX('S3_03-09_AOUT'!$V$3:$V$113,MATCH($A41,'S3_03-09_AOUT'!$A$3:$A$113,0)),"")="À vérifier",IFERROR(INDEX('S4_10-16_AOUT'!$V$3:$V$113,MATCH($A41,'S4_10-16_AOUT'!$A$3:$A$113,0)),"")="À vérifier",IFERROR(INDEX('S5_17-23_AOUT'!$V$3:$V$113,MATCH($A41,'S5_17-23_AOUT'!$A$3:$A$113,0)),"")="À vérifier",IFERROR(INDEX('S6_24-25_AOUT'!$Q$3:$Q$113,MATCH($A41,'S6_24-25_AOUT'!$A$3:$A$113,0)),"")="À vérifier",ABS(L41-T41)&gt;=0.01),"À vérifier","OK"))</f>
        <v>OK</v>
      </c>
    </row>
    <row r="42" spans="1:21">
      <c r="A42" s="12" t="s">
        <v>124</v>
      </c>
      <c r="B42" s="12" t="s">
        <v>68</v>
      </c>
      <c r="C42" s="13" t="s">
        <v>125</v>
      </c>
      <c r="D42" s="12" t="s">
        <v>31</v>
      </c>
      <c r="E42" s="10" t="s">
        <v>123</v>
      </c>
      <c r="F42" s="8">
        <f>IFERROR(SUMIF(S1_26_JUIL!$A$3:$A$113,$A42,S1_26_JUIL!$O$3:$O$113),0)</f>
        <v>0</v>
      </c>
      <c r="G42" s="8">
        <f>IFERROR(SUMIF('S2_27_JUIL-02_AOUT'!$A$3:$A$113,$A42,'S2_27_JUIL-02_AOUT'!$U$3:$U$113),0)</f>
        <v>46.999999999999993</v>
      </c>
      <c r="H42" s="8">
        <f>IFERROR(SUMIF('S3_03-09_AOUT'!$A$3:$A$113,$A42,'S3_03-09_AOUT'!$U$3:$U$113),0)</f>
        <v>0</v>
      </c>
      <c r="I42" s="8">
        <f>IFERROR(SUMIF('S4_10-16_AOUT'!$A$3:$A$113,$A42,'S4_10-16_AOUT'!$U$3:$U$113),0)</f>
        <v>0</v>
      </c>
      <c r="J42" s="8">
        <f>IFERROR(SUMIF('S5_17-23_AOUT'!$A$3:$A$113,$A42,'S5_17-23_AOUT'!$U$3:$U$113),0)</f>
        <v>0</v>
      </c>
      <c r="K42" s="8">
        <f>IFERROR(SUMIF('S6_24-25_AOUT'!$A$3:$A$113,$A42,'S6_24-25_AOUT'!$P$3:$P$113),0)</f>
        <v>0</v>
      </c>
      <c r="L42" s="8">
        <f t="shared" si="2"/>
        <v>46.999999999999993</v>
      </c>
      <c r="M42" s="8">
        <f>IFERROR(SUMIF(S1_26_JUIL!$A$3:$A$113,$A42,S1_26_JUIL!$I$3:$I$113),0)+IFERROR(SUMIF('S2_27_JUIL-02_AOUT'!$A$3:$A$113,$A42,'S2_27_JUIL-02_AOUT'!$O$3:$O$113),0)+IFERROR(SUMIF('S3_03-09_AOUT'!$A$3:$A$113,$A42,'S3_03-09_AOUT'!$O$3:$O$113),0)+IFERROR(SUMIF('S4_10-16_AOUT'!$A$3:$A$113,$A42,'S4_10-16_AOUT'!$O$3:$O$113),0)+IFERROR(SUMIF('S5_17-23_AOUT'!$A$3:$A$113,$A42,'S5_17-23_AOUT'!$O$3:$O$113),0)+IFERROR(SUMIF('S6_24-25_AOUT'!$A$3:$A$113,$A42,'S6_24-25_AOUT'!$J$3:$J$113),0)</f>
        <v>46.999999999999993</v>
      </c>
      <c r="N42" s="9">
        <f>IFERROR(SUMIF(S1_26_JUIL!$A$3:$A$113,$A42,S1_26_JUIL!$J$3:$J$113),0)+IFERROR(SUMIF('S2_27_JUIL-02_AOUT'!$A$3:$A$113,$A42,'S2_27_JUIL-02_AOUT'!$P$3:$P$113),0)+IFERROR(SUMIF('S3_03-09_AOUT'!$A$3:$A$113,$A42,'S3_03-09_AOUT'!$P$3:$P$113),0)+IFERROR(SUMIF('S4_10-16_AOUT'!$A$3:$A$113,$A42,'S4_10-16_AOUT'!$P$3:$P$113),0)+IFERROR(SUMIF('S5_17-23_AOUT'!$A$3:$A$113,$A42,'S5_17-23_AOUT'!$P$3:$P$113),0)+IFERROR(SUMIF('S6_24-25_AOUT'!$A$3:$A$113,$A42,'S6_24-25_AOUT'!$K$3:$K$113),0)</f>
        <v>0</v>
      </c>
      <c r="O42" s="9">
        <f>IFERROR(SUMIF(S1_26_JUIL!$A$3:$A$113,$A42,S1_26_JUIL!$K$3:$K$113),0)+IFERROR(SUMIF('S2_27_JUIL-02_AOUT'!$A$3:$A$113,$A42,'S2_27_JUIL-02_AOUT'!$Q$3:$Q$113),0)+IFERROR(SUMIF('S3_03-09_AOUT'!$A$3:$A$113,$A42,'S3_03-09_AOUT'!$Q$3:$Q$113),0)+IFERROR(SUMIF('S4_10-16_AOUT'!$A$3:$A$113,$A42,'S4_10-16_AOUT'!$Q$3:$Q$113),0)+IFERROR(SUMIF('S5_17-23_AOUT'!$A$3:$A$113,$A42,'S5_17-23_AOUT'!$Q$3:$Q$113),0)+IFERROR(SUMIF('S6_24-25_AOUT'!$A$3:$A$113,$A42,'S6_24-25_AOUT'!$L$3:$L$113),0)</f>
        <v>0</v>
      </c>
      <c r="P42" s="8">
        <f>IFERROR(SUMIF(S1_26_JUIL!$A$3:$A$113,$A42,S1_26_JUIL!$L$3:$L$113),0)+IFERROR(SUMIF('S2_27_JUIL-02_AOUT'!$A$3:$A$113,$A42,'S2_27_JUIL-02_AOUT'!$R$3:$R$113),0)+IFERROR(SUMIF('S3_03-09_AOUT'!$A$3:$A$113,$A42,'S3_03-09_AOUT'!$R$3:$R$113),0)+IFERROR(SUMIF('S4_10-16_AOUT'!$A$3:$A$113,$A42,'S4_10-16_AOUT'!$R$3:$R$113),0)+IFERROR(SUMIF('S5_17-23_AOUT'!$A$3:$A$113,$A42,'S5_17-23_AOUT'!$R$3:$R$113),0)+IFERROR(SUMIF('S6_24-25_AOUT'!$A$3:$A$113,$A42,'S6_24-25_AOUT'!$M$3:$M$113),0)</f>
        <v>0</v>
      </c>
      <c r="Q42" s="8">
        <f>IFERROR(SUMIF(S1_26_JUIL!$A$3:$A$113,$A42,S1_26_JUIL!$M$3:$M$113),0)+IFERROR(SUMIF('S2_27_JUIL-02_AOUT'!$A$3:$A$113,$A42,'S2_27_JUIL-02_AOUT'!$S$3:$S$113),0)+IFERROR(SUMIF('S3_03-09_AOUT'!$A$3:$A$113,$A42,'S3_03-09_AOUT'!$S$3:$S$113),0)+IFERROR(SUMIF('S4_10-16_AOUT'!$A$3:$A$113,$A42,'S4_10-16_AOUT'!$S$3:$S$113),0)+IFERROR(SUMIF('S5_17-23_AOUT'!$A$3:$A$113,$A42,'S5_17-23_AOUT'!$S$3:$S$113),0)+IFERROR(SUMIF('S6_24-25_AOUT'!$A$3:$A$113,$A42,'S6_24-25_AOUT'!$N$3:$N$113),0)</f>
        <v>0</v>
      </c>
      <c r="R42" s="11">
        <f>IFERROR(SUMIF(S1_26_JUIL!$A$3:$A$113,$A42,S1_26_JUIL!$N$3:$N$113),0)+IFERROR(SUMIF('S2_27_JUIL-02_AOUT'!$A$3:$A$113,$A42,'S2_27_JUIL-02_AOUT'!$T$3:$T$113),0)+IFERROR(SUMIF('S3_03-09_AOUT'!$A$3:$A$113,$A42,'S3_03-09_AOUT'!$T$3:$T$113),0)+IFERROR(SUMIF('S4_10-16_AOUT'!$A$3:$A$113,$A42,'S4_10-16_AOUT'!$T$3:$T$113),0)+IFERROR(SUMIF('S5_17-23_AOUT'!$A$3:$A$113,$A42,'S5_17-23_AOUT'!$T$3:$T$113),0)+IFERROR(SUMIF('S6_24-25_AOUT'!$A$3:$A$113,$A42,'S6_24-25_AOUT'!$O$3:$O$113),0)</f>
        <v>0</v>
      </c>
      <c r="S42" s="8">
        <f>208</f>
        <v>208</v>
      </c>
      <c r="T42" s="8">
        <f t="shared" si="3"/>
        <v>46.999999999999993</v>
      </c>
      <c r="U42" s="10" t="str">
        <f>IF(OR(IFERROR(INDEX(S1_26_JUIL!$P$3:$P$113,MATCH($A42,S1_26_JUIL!$A$3:$A$113,0)),"")="STC",IFERROR(INDEX('S2_27_JUIL-02_AOUT'!$V$3:$V$113,MATCH($A42,'S2_27_JUIL-02_AOUT'!$A$3:$A$113,0)),"")="STC",IFERROR(INDEX('S3_03-09_AOUT'!$V$3:$V$113,MATCH($A42,'S3_03-09_AOUT'!$A$3:$A$113,0)),"")="STC",IFERROR(INDEX('S4_10-16_AOUT'!$V$3:$V$113,MATCH($A42,'S4_10-16_AOUT'!$A$3:$A$113,0)),"")="STC",IFERROR(INDEX('S5_17-23_AOUT'!$V$3:$V$113,MATCH($A42,'S5_17-23_AOUT'!$A$3:$A$113,0)),"")="STC",IFERROR(INDEX('S6_24-25_AOUT'!$Q$3:$Q$113,MATCH($A42,'S6_24-25_AOUT'!$A$3:$A$113,0)),"")="STC"),"STC",IF(OR(IFERROR(INDEX(S1_26_JUIL!$P$3:$P$113,MATCH($A42,S1_26_JUIL!$A$3:$A$113,0)),"")="À vérifier",IFERROR(INDEX('S2_27_JUIL-02_AOUT'!$V$3:$V$113,MATCH($A42,'S2_27_JUIL-02_AOUT'!$A$3:$A$113,0)),"")="À vérifier",IFERROR(INDEX('S3_03-09_AOUT'!$V$3:$V$113,MATCH($A42,'S3_03-09_AOUT'!$A$3:$A$113,0)),"")="À vérifier",IFERROR(INDEX('S4_10-16_AOUT'!$V$3:$V$113,MATCH($A42,'S4_10-16_AOUT'!$A$3:$A$113,0)),"")="À vérifier",IFERROR(INDEX('S5_17-23_AOUT'!$V$3:$V$113,MATCH($A42,'S5_17-23_AOUT'!$A$3:$A$113,0)),"")="À vérifier",IFERROR(INDEX('S6_24-25_AOUT'!$Q$3:$Q$113,MATCH($A42,'S6_24-25_AOUT'!$A$3:$A$113,0)),"")="À vérifier",ABS(L42-T42)&gt;=0.01),"À vérifier","OK"))</f>
        <v>OK</v>
      </c>
    </row>
    <row r="43" spans="1:21">
      <c r="A43" s="12" t="s">
        <v>126</v>
      </c>
      <c r="B43" s="12" t="s">
        <v>127</v>
      </c>
      <c r="C43" s="13" t="s">
        <v>128</v>
      </c>
      <c r="D43" s="12" t="s">
        <v>31</v>
      </c>
      <c r="E43" s="10" t="s">
        <v>123</v>
      </c>
      <c r="F43" s="8">
        <f>IFERROR(SUMIF(S1_26_JUIL!$A$3:$A$113,$A43,S1_26_JUIL!$O$3:$O$113),0)</f>
        <v>0</v>
      </c>
      <c r="G43" s="8">
        <f>IFERROR(SUMIF('S2_27_JUIL-02_AOUT'!$A$3:$A$113,$A43,'S2_27_JUIL-02_AOUT'!$U$3:$U$113),0)</f>
        <v>47.5</v>
      </c>
      <c r="H43" s="8">
        <f>IFERROR(SUMIF('S3_03-09_AOUT'!$A$3:$A$113,$A43,'S3_03-09_AOUT'!$U$3:$U$113),0)</f>
        <v>0</v>
      </c>
      <c r="I43" s="8">
        <f>IFERROR(SUMIF('S4_10-16_AOUT'!$A$3:$A$113,$A43,'S4_10-16_AOUT'!$U$3:$U$113),0)</f>
        <v>0</v>
      </c>
      <c r="J43" s="8">
        <f>IFERROR(SUMIF('S5_17-23_AOUT'!$A$3:$A$113,$A43,'S5_17-23_AOUT'!$U$3:$U$113),0)</f>
        <v>0</v>
      </c>
      <c r="K43" s="8">
        <f>IFERROR(SUMIF('S6_24-25_AOUT'!$A$3:$A$113,$A43,'S6_24-25_AOUT'!$P$3:$P$113),0)</f>
        <v>0</v>
      </c>
      <c r="L43" s="8">
        <f t="shared" si="2"/>
        <v>47.5</v>
      </c>
      <c r="M43" s="8">
        <f>IFERROR(SUMIF(S1_26_JUIL!$A$3:$A$113,$A43,S1_26_JUIL!$I$3:$I$113),0)+IFERROR(SUMIF('S2_27_JUIL-02_AOUT'!$A$3:$A$113,$A43,'S2_27_JUIL-02_AOUT'!$O$3:$O$113),0)+IFERROR(SUMIF('S3_03-09_AOUT'!$A$3:$A$113,$A43,'S3_03-09_AOUT'!$O$3:$O$113),0)+IFERROR(SUMIF('S4_10-16_AOUT'!$A$3:$A$113,$A43,'S4_10-16_AOUT'!$O$3:$O$113),0)+IFERROR(SUMIF('S5_17-23_AOUT'!$A$3:$A$113,$A43,'S5_17-23_AOUT'!$O$3:$O$113),0)+IFERROR(SUMIF('S6_24-25_AOUT'!$A$3:$A$113,$A43,'S6_24-25_AOUT'!$J$3:$J$113),0)</f>
        <v>47.5</v>
      </c>
      <c r="N43" s="9">
        <f>IFERROR(SUMIF(S1_26_JUIL!$A$3:$A$113,$A43,S1_26_JUIL!$J$3:$J$113),0)+IFERROR(SUMIF('S2_27_JUIL-02_AOUT'!$A$3:$A$113,$A43,'S2_27_JUIL-02_AOUT'!$P$3:$P$113),0)+IFERROR(SUMIF('S3_03-09_AOUT'!$A$3:$A$113,$A43,'S3_03-09_AOUT'!$P$3:$P$113),0)+IFERROR(SUMIF('S4_10-16_AOUT'!$A$3:$A$113,$A43,'S4_10-16_AOUT'!$P$3:$P$113),0)+IFERROR(SUMIF('S5_17-23_AOUT'!$A$3:$A$113,$A43,'S5_17-23_AOUT'!$P$3:$P$113),0)+IFERROR(SUMIF('S6_24-25_AOUT'!$A$3:$A$113,$A43,'S6_24-25_AOUT'!$K$3:$K$113),0)</f>
        <v>0</v>
      </c>
      <c r="O43" s="9">
        <f>IFERROR(SUMIF(S1_26_JUIL!$A$3:$A$113,$A43,S1_26_JUIL!$K$3:$K$113),0)+IFERROR(SUMIF('S2_27_JUIL-02_AOUT'!$A$3:$A$113,$A43,'S2_27_JUIL-02_AOUT'!$Q$3:$Q$113),0)+IFERROR(SUMIF('S3_03-09_AOUT'!$A$3:$A$113,$A43,'S3_03-09_AOUT'!$Q$3:$Q$113),0)+IFERROR(SUMIF('S4_10-16_AOUT'!$A$3:$A$113,$A43,'S4_10-16_AOUT'!$Q$3:$Q$113),0)+IFERROR(SUMIF('S5_17-23_AOUT'!$A$3:$A$113,$A43,'S5_17-23_AOUT'!$Q$3:$Q$113),0)+IFERROR(SUMIF('S6_24-25_AOUT'!$A$3:$A$113,$A43,'S6_24-25_AOUT'!$L$3:$L$113),0)</f>
        <v>0</v>
      </c>
      <c r="P43" s="8">
        <f>IFERROR(SUMIF(S1_26_JUIL!$A$3:$A$113,$A43,S1_26_JUIL!$L$3:$L$113),0)+IFERROR(SUMIF('S2_27_JUIL-02_AOUT'!$A$3:$A$113,$A43,'S2_27_JUIL-02_AOUT'!$R$3:$R$113),0)+IFERROR(SUMIF('S3_03-09_AOUT'!$A$3:$A$113,$A43,'S3_03-09_AOUT'!$R$3:$R$113),0)+IFERROR(SUMIF('S4_10-16_AOUT'!$A$3:$A$113,$A43,'S4_10-16_AOUT'!$R$3:$R$113),0)+IFERROR(SUMIF('S5_17-23_AOUT'!$A$3:$A$113,$A43,'S5_17-23_AOUT'!$R$3:$R$113),0)+IFERROR(SUMIF('S6_24-25_AOUT'!$A$3:$A$113,$A43,'S6_24-25_AOUT'!$M$3:$M$113),0)</f>
        <v>0</v>
      </c>
      <c r="Q43" s="8">
        <f>IFERROR(SUMIF(S1_26_JUIL!$A$3:$A$113,$A43,S1_26_JUIL!$M$3:$M$113),0)+IFERROR(SUMIF('S2_27_JUIL-02_AOUT'!$A$3:$A$113,$A43,'S2_27_JUIL-02_AOUT'!$S$3:$S$113),0)+IFERROR(SUMIF('S3_03-09_AOUT'!$A$3:$A$113,$A43,'S3_03-09_AOUT'!$S$3:$S$113),0)+IFERROR(SUMIF('S4_10-16_AOUT'!$A$3:$A$113,$A43,'S4_10-16_AOUT'!$S$3:$S$113),0)+IFERROR(SUMIF('S5_17-23_AOUT'!$A$3:$A$113,$A43,'S5_17-23_AOUT'!$S$3:$S$113),0)+IFERROR(SUMIF('S6_24-25_AOUT'!$A$3:$A$113,$A43,'S6_24-25_AOUT'!$N$3:$N$113),0)</f>
        <v>0</v>
      </c>
      <c r="R43" s="11">
        <f>IFERROR(SUMIF(S1_26_JUIL!$A$3:$A$113,$A43,S1_26_JUIL!$N$3:$N$113),0)+IFERROR(SUMIF('S2_27_JUIL-02_AOUT'!$A$3:$A$113,$A43,'S2_27_JUIL-02_AOUT'!$T$3:$T$113),0)+IFERROR(SUMIF('S3_03-09_AOUT'!$A$3:$A$113,$A43,'S3_03-09_AOUT'!$T$3:$T$113),0)+IFERROR(SUMIF('S4_10-16_AOUT'!$A$3:$A$113,$A43,'S4_10-16_AOUT'!$T$3:$T$113),0)+IFERROR(SUMIF('S5_17-23_AOUT'!$A$3:$A$113,$A43,'S5_17-23_AOUT'!$T$3:$T$113),0)+IFERROR(SUMIF('S6_24-25_AOUT'!$A$3:$A$113,$A43,'S6_24-25_AOUT'!$O$3:$O$113),0)</f>
        <v>0</v>
      </c>
      <c r="S43" s="8">
        <f>208</f>
        <v>208</v>
      </c>
      <c r="T43" s="8">
        <f t="shared" si="3"/>
        <v>47.5</v>
      </c>
      <c r="U43" s="10" t="str">
        <f>IF(OR(IFERROR(INDEX(S1_26_JUIL!$P$3:$P$113,MATCH($A43,S1_26_JUIL!$A$3:$A$113,0)),"")="STC",IFERROR(INDEX('S2_27_JUIL-02_AOUT'!$V$3:$V$113,MATCH($A43,'S2_27_JUIL-02_AOUT'!$A$3:$A$113,0)),"")="STC",IFERROR(INDEX('S3_03-09_AOUT'!$V$3:$V$113,MATCH($A43,'S3_03-09_AOUT'!$A$3:$A$113,0)),"")="STC",IFERROR(INDEX('S4_10-16_AOUT'!$V$3:$V$113,MATCH($A43,'S4_10-16_AOUT'!$A$3:$A$113,0)),"")="STC",IFERROR(INDEX('S5_17-23_AOUT'!$V$3:$V$113,MATCH($A43,'S5_17-23_AOUT'!$A$3:$A$113,0)),"")="STC",IFERROR(INDEX('S6_24-25_AOUT'!$Q$3:$Q$113,MATCH($A43,'S6_24-25_AOUT'!$A$3:$A$113,0)),"")="STC"),"STC",IF(OR(IFERROR(INDEX(S1_26_JUIL!$P$3:$P$113,MATCH($A43,S1_26_JUIL!$A$3:$A$113,0)),"")="À vérifier",IFERROR(INDEX('S2_27_JUIL-02_AOUT'!$V$3:$V$113,MATCH($A43,'S2_27_JUIL-02_AOUT'!$A$3:$A$113,0)),"")="À vérifier",IFERROR(INDEX('S3_03-09_AOUT'!$V$3:$V$113,MATCH($A43,'S3_03-09_AOUT'!$A$3:$A$113,0)),"")="À vérifier",IFERROR(INDEX('S4_10-16_AOUT'!$V$3:$V$113,MATCH($A43,'S4_10-16_AOUT'!$A$3:$A$113,0)),"")="À vérifier",IFERROR(INDEX('S5_17-23_AOUT'!$V$3:$V$113,MATCH($A43,'S5_17-23_AOUT'!$A$3:$A$113,0)),"")="À vérifier",IFERROR(INDEX('S6_24-25_AOUT'!$Q$3:$Q$113,MATCH($A43,'S6_24-25_AOUT'!$A$3:$A$113,0)),"")="À vérifier",ABS(L43-T43)&gt;=0.01),"À vérifier","OK"))</f>
        <v>OK</v>
      </c>
    </row>
    <row r="44" spans="1:21">
      <c r="A44" s="12">
        <v>53</v>
      </c>
      <c r="B44" s="12" t="s">
        <v>129</v>
      </c>
      <c r="C44" s="13" t="s">
        <v>130</v>
      </c>
      <c r="D44" s="12" t="s">
        <v>31</v>
      </c>
      <c r="E44" s="10" t="s">
        <v>123</v>
      </c>
      <c r="F44" s="8">
        <f>IFERROR(SUMIF(S1_26_JUIL!$A$3:$A$113,$A44,S1_26_JUIL!$O$3:$O$113),0)</f>
        <v>0</v>
      </c>
      <c r="G44" s="8">
        <f>IFERROR(SUMIF('S2_27_JUIL-02_AOUT'!$A$3:$A$113,$A44,'S2_27_JUIL-02_AOUT'!$U$3:$U$113),0)</f>
        <v>35.5</v>
      </c>
      <c r="H44" s="8">
        <f>IFERROR(SUMIF('S3_03-09_AOUT'!$A$3:$A$113,$A44,'S3_03-09_AOUT'!$U$3:$U$113),0)</f>
        <v>0</v>
      </c>
      <c r="I44" s="8">
        <f>IFERROR(SUMIF('S4_10-16_AOUT'!$A$3:$A$113,$A44,'S4_10-16_AOUT'!$U$3:$U$113),0)</f>
        <v>0</v>
      </c>
      <c r="J44" s="8">
        <f>IFERROR(SUMIF('S5_17-23_AOUT'!$A$3:$A$113,$A44,'S5_17-23_AOUT'!$U$3:$U$113),0)</f>
        <v>0</v>
      </c>
      <c r="K44" s="8">
        <f>IFERROR(SUMIF('S6_24-25_AOUT'!$A$3:$A$113,$A44,'S6_24-25_AOUT'!$P$3:$P$113),0)</f>
        <v>0</v>
      </c>
      <c r="L44" s="8">
        <f t="shared" si="2"/>
        <v>35.5</v>
      </c>
      <c r="M44" s="8">
        <f>IFERROR(SUMIF(S1_26_JUIL!$A$3:$A$113,$A44,S1_26_JUIL!$I$3:$I$113),0)+IFERROR(SUMIF('S2_27_JUIL-02_AOUT'!$A$3:$A$113,$A44,'S2_27_JUIL-02_AOUT'!$O$3:$O$113),0)+IFERROR(SUMIF('S3_03-09_AOUT'!$A$3:$A$113,$A44,'S3_03-09_AOUT'!$O$3:$O$113),0)+IFERROR(SUMIF('S4_10-16_AOUT'!$A$3:$A$113,$A44,'S4_10-16_AOUT'!$O$3:$O$113),0)+IFERROR(SUMIF('S5_17-23_AOUT'!$A$3:$A$113,$A44,'S5_17-23_AOUT'!$O$3:$O$113),0)+IFERROR(SUMIF('S6_24-25_AOUT'!$A$3:$A$113,$A44,'S6_24-25_AOUT'!$J$3:$J$113),0)</f>
        <v>35.5</v>
      </c>
      <c r="N44" s="9">
        <f>IFERROR(SUMIF(S1_26_JUIL!$A$3:$A$113,$A44,S1_26_JUIL!$J$3:$J$113),0)+IFERROR(SUMIF('S2_27_JUIL-02_AOUT'!$A$3:$A$113,$A44,'S2_27_JUIL-02_AOUT'!$P$3:$P$113),0)+IFERROR(SUMIF('S3_03-09_AOUT'!$A$3:$A$113,$A44,'S3_03-09_AOUT'!$P$3:$P$113),0)+IFERROR(SUMIF('S4_10-16_AOUT'!$A$3:$A$113,$A44,'S4_10-16_AOUT'!$P$3:$P$113),0)+IFERROR(SUMIF('S5_17-23_AOUT'!$A$3:$A$113,$A44,'S5_17-23_AOUT'!$P$3:$P$113),0)+IFERROR(SUMIF('S6_24-25_AOUT'!$A$3:$A$113,$A44,'S6_24-25_AOUT'!$K$3:$K$113),0)</f>
        <v>0</v>
      </c>
      <c r="O44" s="9">
        <f>IFERROR(SUMIF(S1_26_JUIL!$A$3:$A$113,$A44,S1_26_JUIL!$K$3:$K$113),0)+IFERROR(SUMIF('S2_27_JUIL-02_AOUT'!$A$3:$A$113,$A44,'S2_27_JUIL-02_AOUT'!$Q$3:$Q$113),0)+IFERROR(SUMIF('S3_03-09_AOUT'!$A$3:$A$113,$A44,'S3_03-09_AOUT'!$Q$3:$Q$113),0)+IFERROR(SUMIF('S4_10-16_AOUT'!$A$3:$A$113,$A44,'S4_10-16_AOUT'!$Q$3:$Q$113),0)+IFERROR(SUMIF('S5_17-23_AOUT'!$A$3:$A$113,$A44,'S5_17-23_AOUT'!$Q$3:$Q$113),0)+IFERROR(SUMIF('S6_24-25_AOUT'!$A$3:$A$113,$A44,'S6_24-25_AOUT'!$L$3:$L$113),0)</f>
        <v>0</v>
      </c>
      <c r="P44" s="8">
        <f>IFERROR(SUMIF(S1_26_JUIL!$A$3:$A$113,$A44,S1_26_JUIL!$L$3:$L$113),0)+IFERROR(SUMIF('S2_27_JUIL-02_AOUT'!$A$3:$A$113,$A44,'S2_27_JUIL-02_AOUT'!$R$3:$R$113),0)+IFERROR(SUMIF('S3_03-09_AOUT'!$A$3:$A$113,$A44,'S3_03-09_AOUT'!$R$3:$R$113),0)+IFERROR(SUMIF('S4_10-16_AOUT'!$A$3:$A$113,$A44,'S4_10-16_AOUT'!$R$3:$R$113),0)+IFERROR(SUMIF('S5_17-23_AOUT'!$A$3:$A$113,$A44,'S5_17-23_AOUT'!$R$3:$R$113),0)+IFERROR(SUMIF('S6_24-25_AOUT'!$A$3:$A$113,$A44,'S6_24-25_AOUT'!$M$3:$M$113),0)</f>
        <v>1</v>
      </c>
      <c r="Q44" s="8">
        <f>IFERROR(SUMIF(S1_26_JUIL!$A$3:$A$113,$A44,S1_26_JUIL!$M$3:$M$113),0)+IFERROR(SUMIF('S2_27_JUIL-02_AOUT'!$A$3:$A$113,$A44,'S2_27_JUIL-02_AOUT'!$S$3:$S$113),0)+IFERROR(SUMIF('S3_03-09_AOUT'!$A$3:$A$113,$A44,'S3_03-09_AOUT'!$S$3:$S$113),0)+IFERROR(SUMIF('S4_10-16_AOUT'!$A$3:$A$113,$A44,'S4_10-16_AOUT'!$S$3:$S$113),0)+IFERROR(SUMIF('S5_17-23_AOUT'!$A$3:$A$113,$A44,'S5_17-23_AOUT'!$S$3:$S$113),0)+IFERROR(SUMIF('S6_24-25_AOUT'!$A$3:$A$113,$A44,'S6_24-25_AOUT'!$N$3:$N$113),0)</f>
        <v>0</v>
      </c>
      <c r="R44" s="11">
        <f>IFERROR(SUMIF(S1_26_JUIL!$A$3:$A$113,$A44,S1_26_JUIL!$N$3:$N$113),0)+IFERROR(SUMIF('S2_27_JUIL-02_AOUT'!$A$3:$A$113,$A44,'S2_27_JUIL-02_AOUT'!$T$3:$T$113),0)+IFERROR(SUMIF('S3_03-09_AOUT'!$A$3:$A$113,$A44,'S3_03-09_AOUT'!$T$3:$T$113),0)+IFERROR(SUMIF('S4_10-16_AOUT'!$A$3:$A$113,$A44,'S4_10-16_AOUT'!$T$3:$T$113),0)+IFERROR(SUMIF('S5_17-23_AOUT'!$A$3:$A$113,$A44,'S5_17-23_AOUT'!$T$3:$T$113),0)+IFERROR(SUMIF('S6_24-25_AOUT'!$A$3:$A$113,$A44,'S6_24-25_AOUT'!$O$3:$O$113),0)</f>
        <v>0</v>
      </c>
      <c r="S44" s="8">
        <f>208</f>
        <v>208</v>
      </c>
      <c r="T44" s="8">
        <f t="shared" si="3"/>
        <v>35.5</v>
      </c>
      <c r="U44" s="10" t="str">
        <f>IF(OR(IFERROR(INDEX(S1_26_JUIL!$P$3:$P$113,MATCH($A44,S1_26_JUIL!$A$3:$A$113,0)),"")="STC",IFERROR(INDEX('S2_27_JUIL-02_AOUT'!$V$3:$V$113,MATCH($A44,'S2_27_JUIL-02_AOUT'!$A$3:$A$113,0)),"")="STC",IFERROR(INDEX('S3_03-09_AOUT'!$V$3:$V$113,MATCH($A44,'S3_03-09_AOUT'!$A$3:$A$113,0)),"")="STC",IFERROR(INDEX('S4_10-16_AOUT'!$V$3:$V$113,MATCH($A44,'S4_10-16_AOUT'!$A$3:$A$113,0)),"")="STC",IFERROR(INDEX('S5_17-23_AOUT'!$V$3:$V$113,MATCH($A44,'S5_17-23_AOUT'!$A$3:$A$113,0)),"")="STC",IFERROR(INDEX('S6_24-25_AOUT'!$Q$3:$Q$113,MATCH($A44,'S6_24-25_AOUT'!$A$3:$A$113,0)),"")="STC"),"STC",IF(OR(IFERROR(INDEX(S1_26_JUIL!$P$3:$P$113,MATCH($A44,S1_26_JUIL!$A$3:$A$113,0)),"")="À vérifier",IFERROR(INDEX('S2_27_JUIL-02_AOUT'!$V$3:$V$113,MATCH($A44,'S2_27_JUIL-02_AOUT'!$A$3:$A$113,0)),"")="À vérifier",IFERROR(INDEX('S3_03-09_AOUT'!$V$3:$V$113,MATCH($A44,'S3_03-09_AOUT'!$A$3:$A$113,0)),"")="À vérifier",IFERROR(INDEX('S4_10-16_AOUT'!$V$3:$V$113,MATCH($A44,'S4_10-16_AOUT'!$A$3:$A$113,0)),"")="À vérifier",IFERROR(INDEX('S5_17-23_AOUT'!$V$3:$V$113,MATCH($A44,'S5_17-23_AOUT'!$A$3:$A$113,0)),"")="À vérifier",IFERROR(INDEX('S6_24-25_AOUT'!$Q$3:$Q$113,MATCH($A44,'S6_24-25_AOUT'!$A$3:$A$113,0)),"")="À vérifier",ABS(L44-T44)&gt;=0.01),"À vérifier","OK"))</f>
        <v>OK</v>
      </c>
    </row>
    <row r="45" spans="1:21">
      <c r="A45" s="12" t="s">
        <v>131</v>
      </c>
      <c r="B45" s="12" t="s">
        <v>132</v>
      </c>
      <c r="C45" s="13" t="s">
        <v>133</v>
      </c>
      <c r="D45" s="12" t="s">
        <v>31</v>
      </c>
      <c r="E45" s="10" t="s">
        <v>123</v>
      </c>
      <c r="F45" s="8">
        <f>IFERROR(SUMIF(S1_26_JUIL!$A$3:$A$113,$A45,S1_26_JUIL!$O$3:$O$113),0)</f>
        <v>0</v>
      </c>
      <c r="G45" s="8">
        <f>IFERROR(SUMIF('S2_27_JUIL-02_AOUT'!$A$3:$A$113,$A45,'S2_27_JUIL-02_AOUT'!$U$3:$U$113),0)</f>
        <v>35.999999999999993</v>
      </c>
      <c r="H45" s="8">
        <f>IFERROR(SUMIF('S3_03-09_AOUT'!$A$3:$A$113,$A45,'S3_03-09_AOUT'!$U$3:$U$113),0)</f>
        <v>0</v>
      </c>
      <c r="I45" s="8">
        <f>IFERROR(SUMIF('S4_10-16_AOUT'!$A$3:$A$113,$A45,'S4_10-16_AOUT'!$U$3:$U$113),0)</f>
        <v>0</v>
      </c>
      <c r="J45" s="8">
        <f>IFERROR(SUMIF('S5_17-23_AOUT'!$A$3:$A$113,$A45,'S5_17-23_AOUT'!$U$3:$U$113),0)</f>
        <v>0</v>
      </c>
      <c r="K45" s="8">
        <f>IFERROR(SUMIF('S6_24-25_AOUT'!$A$3:$A$113,$A45,'S6_24-25_AOUT'!$P$3:$P$113),0)</f>
        <v>0</v>
      </c>
      <c r="L45" s="8">
        <f t="shared" si="2"/>
        <v>35.999999999999993</v>
      </c>
      <c r="M45" s="8">
        <f>IFERROR(SUMIF(S1_26_JUIL!$A$3:$A$113,$A45,S1_26_JUIL!$I$3:$I$113),0)+IFERROR(SUMIF('S2_27_JUIL-02_AOUT'!$A$3:$A$113,$A45,'S2_27_JUIL-02_AOUT'!$O$3:$O$113),0)+IFERROR(SUMIF('S3_03-09_AOUT'!$A$3:$A$113,$A45,'S3_03-09_AOUT'!$O$3:$O$113),0)+IFERROR(SUMIF('S4_10-16_AOUT'!$A$3:$A$113,$A45,'S4_10-16_AOUT'!$O$3:$O$113),0)+IFERROR(SUMIF('S5_17-23_AOUT'!$A$3:$A$113,$A45,'S5_17-23_AOUT'!$O$3:$O$113),0)+IFERROR(SUMIF('S6_24-25_AOUT'!$A$3:$A$113,$A45,'S6_24-25_AOUT'!$J$3:$J$113),0)</f>
        <v>35.999999999999993</v>
      </c>
      <c r="N45" s="9">
        <f>IFERROR(SUMIF(S1_26_JUIL!$A$3:$A$113,$A45,S1_26_JUIL!$J$3:$J$113),0)+IFERROR(SUMIF('S2_27_JUIL-02_AOUT'!$A$3:$A$113,$A45,'S2_27_JUIL-02_AOUT'!$P$3:$P$113),0)+IFERROR(SUMIF('S3_03-09_AOUT'!$A$3:$A$113,$A45,'S3_03-09_AOUT'!$P$3:$P$113),0)+IFERROR(SUMIF('S4_10-16_AOUT'!$A$3:$A$113,$A45,'S4_10-16_AOUT'!$P$3:$P$113),0)+IFERROR(SUMIF('S5_17-23_AOUT'!$A$3:$A$113,$A45,'S5_17-23_AOUT'!$P$3:$P$113),0)+IFERROR(SUMIF('S6_24-25_AOUT'!$A$3:$A$113,$A45,'S6_24-25_AOUT'!$K$3:$K$113),0)</f>
        <v>0</v>
      </c>
      <c r="O45" s="9">
        <f>IFERROR(SUMIF(S1_26_JUIL!$A$3:$A$113,$A45,S1_26_JUIL!$K$3:$K$113),0)+IFERROR(SUMIF('S2_27_JUIL-02_AOUT'!$A$3:$A$113,$A45,'S2_27_JUIL-02_AOUT'!$Q$3:$Q$113),0)+IFERROR(SUMIF('S3_03-09_AOUT'!$A$3:$A$113,$A45,'S3_03-09_AOUT'!$Q$3:$Q$113),0)+IFERROR(SUMIF('S4_10-16_AOUT'!$A$3:$A$113,$A45,'S4_10-16_AOUT'!$Q$3:$Q$113),0)+IFERROR(SUMIF('S5_17-23_AOUT'!$A$3:$A$113,$A45,'S5_17-23_AOUT'!$Q$3:$Q$113),0)+IFERROR(SUMIF('S6_24-25_AOUT'!$A$3:$A$113,$A45,'S6_24-25_AOUT'!$L$3:$L$113),0)</f>
        <v>0</v>
      </c>
      <c r="P45" s="8">
        <f>IFERROR(SUMIF(S1_26_JUIL!$A$3:$A$113,$A45,S1_26_JUIL!$L$3:$L$113),0)+IFERROR(SUMIF('S2_27_JUIL-02_AOUT'!$A$3:$A$113,$A45,'S2_27_JUIL-02_AOUT'!$R$3:$R$113),0)+IFERROR(SUMIF('S3_03-09_AOUT'!$A$3:$A$113,$A45,'S3_03-09_AOUT'!$R$3:$R$113),0)+IFERROR(SUMIF('S4_10-16_AOUT'!$A$3:$A$113,$A45,'S4_10-16_AOUT'!$R$3:$R$113),0)+IFERROR(SUMIF('S5_17-23_AOUT'!$A$3:$A$113,$A45,'S5_17-23_AOUT'!$R$3:$R$113),0)+IFERROR(SUMIF('S6_24-25_AOUT'!$A$3:$A$113,$A45,'S6_24-25_AOUT'!$M$3:$M$113),0)</f>
        <v>1</v>
      </c>
      <c r="Q45" s="8">
        <f>IFERROR(SUMIF(S1_26_JUIL!$A$3:$A$113,$A45,S1_26_JUIL!$M$3:$M$113),0)+IFERROR(SUMIF('S2_27_JUIL-02_AOUT'!$A$3:$A$113,$A45,'S2_27_JUIL-02_AOUT'!$S$3:$S$113),0)+IFERROR(SUMIF('S3_03-09_AOUT'!$A$3:$A$113,$A45,'S3_03-09_AOUT'!$S$3:$S$113),0)+IFERROR(SUMIF('S4_10-16_AOUT'!$A$3:$A$113,$A45,'S4_10-16_AOUT'!$S$3:$S$113),0)+IFERROR(SUMIF('S5_17-23_AOUT'!$A$3:$A$113,$A45,'S5_17-23_AOUT'!$S$3:$S$113),0)+IFERROR(SUMIF('S6_24-25_AOUT'!$A$3:$A$113,$A45,'S6_24-25_AOUT'!$N$3:$N$113),0)</f>
        <v>0</v>
      </c>
      <c r="R45" s="11">
        <f>IFERROR(SUMIF(S1_26_JUIL!$A$3:$A$113,$A45,S1_26_JUIL!$N$3:$N$113),0)+IFERROR(SUMIF('S2_27_JUIL-02_AOUT'!$A$3:$A$113,$A45,'S2_27_JUIL-02_AOUT'!$T$3:$T$113),0)+IFERROR(SUMIF('S3_03-09_AOUT'!$A$3:$A$113,$A45,'S3_03-09_AOUT'!$T$3:$T$113),0)+IFERROR(SUMIF('S4_10-16_AOUT'!$A$3:$A$113,$A45,'S4_10-16_AOUT'!$T$3:$T$113),0)+IFERROR(SUMIF('S5_17-23_AOUT'!$A$3:$A$113,$A45,'S5_17-23_AOUT'!$T$3:$T$113),0)+IFERROR(SUMIF('S6_24-25_AOUT'!$A$3:$A$113,$A45,'S6_24-25_AOUT'!$O$3:$O$113),0)</f>
        <v>0</v>
      </c>
      <c r="S45" s="8">
        <f>208</f>
        <v>208</v>
      </c>
      <c r="T45" s="8">
        <f t="shared" si="3"/>
        <v>35.999999999999993</v>
      </c>
      <c r="U45" s="10" t="str">
        <f>IF(OR(IFERROR(INDEX(S1_26_JUIL!$P$3:$P$113,MATCH($A45,S1_26_JUIL!$A$3:$A$113,0)),"")="STC",IFERROR(INDEX('S2_27_JUIL-02_AOUT'!$V$3:$V$113,MATCH($A45,'S2_27_JUIL-02_AOUT'!$A$3:$A$113,0)),"")="STC",IFERROR(INDEX('S3_03-09_AOUT'!$V$3:$V$113,MATCH($A45,'S3_03-09_AOUT'!$A$3:$A$113,0)),"")="STC",IFERROR(INDEX('S4_10-16_AOUT'!$V$3:$V$113,MATCH($A45,'S4_10-16_AOUT'!$A$3:$A$113,0)),"")="STC",IFERROR(INDEX('S5_17-23_AOUT'!$V$3:$V$113,MATCH($A45,'S5_17-23_AOUT'!$A$3:$A$113,0)),"")="STC",IFERROR(INDEX('S6_24-25_AOUT'!$Q$3:$Q$113,MATCH($A45,'S6_24-25_AOUT'!$A$3:$A$113,0)),"")="STC"),"STC",IF(OR(IFERROR(INDEX(S1_26_JUIL!$P$3:$P$113,MATCH($A45,S1_26_JUIL!$A$3:$A$113,0)),"")="À vérifier",IFERROR(INDEX('S2_27_JUIL-02_AOUT'!$V$3:$V$113,MATCH($A45,'S2_27_JUIL-02_AOUT'!$A$3:$A$113,0)),"")="À vérifier",IFERROR(INDEX('S3_03-09_AOUT'!$V$3:$V$113,MATCH($A45,'S3_03-09_AOUT'!$A$3:$A$113,0)),"")="À vérifier",IFERROR(INDEX('S4_10-16_AOUT'!$V$3:$V$113,MATCH($A45,'S4_10-16_AOUT'!$A$3:$A$113,0)),"")="À vérifier",IFERROR(INDEX('S5_17-23_AOUT'!$V$3:$V$113,MATCH($A45,'S5_17-23_AOUT'!$A$3:$A$113,0)),"")="À vérifier",IFERROR(INDEX('S6_24-25_AOUT'!$Q$3:$Q$113,MATCH($A45,'S6_24-25_AOUT'!$A$3:$A$113,0)),"")="À vérifier",ABS(L45-T45)&gt;=0.01),"À vérifier","OK"))</f>
        <v>OK</v>
      </c>
    </row>
    <row r="46" spans="1:21">
      <c r="A46" s="12" t="s">
        <v>134</v>
      </c>
      <c r="B46" s="12" t="s">
        <v>135</v>
      </c>
      <c r="C46" s="13" t="s">
        <v>136</v>
      </c>
      <c r="D46" s="12" t="s">
        <v>31</v>
      </c>
      <c r="E46" s="10" t="s">
        <v>123</v>
      </c>
      <c r="F46" s="8">
        <f>IFERROR(SUMIF(S1_26_JUIL!$A$3:$A$113,$A46,S1_26_JUIL!$O$3:$O$113),0)</f>
        <v>0</v>
      </c>
      <c r="G46" s="8">
        <f>IFERROR(SUMIF('S2_27_JUIL-02_AOUT'!$A$3:$A$113,$A46,'S2_27_JUIL-02_AOUT'!$U$3:$U$113),0)</f>
        <v>38</v>
      </c>
      <c r="H46" s="8">
        <f>IFERROR(SUMIF('S3_03-09_AOUT'!$A$3:$A$113,$A46,'S3_03-09_AOUT'!$U$3:$U$113),0)</f>
        <v>0</v>
      </c>
      <c r="I46" s="8">
        <f>IFERROR(SUMIF('S4_10-16_AOUT'!$A$3:$A$113,$A46,'S4_10-16_AOUT'!$U$3:$U$113),0)</f>
        <v>0</v>
      </c>
      <c r="J46" s="8">
        <f>IFERROR(SUMIF('S5_17-23_AOUT'!$A$3:$A$113,$A46,'S5_17-23_AOUT'!$U$3:$U$113),0)</f>
        <v>0</v>
      </c>
      <c r="K46" s="8">
        <f>IFERROR(SUMIF('S6_24-25_AOUT'!$A$3:$A$113,$A46,'S6_24-25_AOUT'!$P$3:$P$113),0)</f>
        <v>0</v>
      </c>
      <c r="L46" s="8">
        <f t="shared" si="2"/>
        <v>38</v>
      </c>
      <c r="M46" s="8">
        <f>IFERROR(SUMIF(S1_26_JUIL!$A$3:$A$113,$A46,S1_26_JUIL!$I$3:$I$113),0)+IFERROR(SUMIF('S2_27_JUIL-02_AOUT'!$A$3:$A$113,$A46,'S2_27_JUIL-02_AOUT'!$O$3:$O$113),0)+IFERROR(SUMIF('S3_03-09_AOUT'!$A$3:$A$113,$A46,'S3_03-09_AOUT'!$O$3:$O$113),0)+IFERROR(SUMIF('S4_10-16_AOUT'!$A$3:$A$113,$A46,'S4_10-16_AOUT'!$O$3:$O$113),0)+IFERROR(SUMIF('S5_17-23_AOUT'!$A$3:$A$113,$A46,'S5_17-23_AOUT'!$O$3:$O$113),0)+IFERROR(SUMIF('S6_24-25_AOUT'!$A$3:$A$113,$A46,'S6_24-25_AOUT'!$J$3:$J$113),0)</f>
        <v>38</v>
      </c>
      <c r="N46" s="9">
        <f>IFERROR(SUMIF(S1_26_JUIL!$A$3:$A$113,$A46,S1_26_JUIL!$J$3:$J$113),0)+IFERROR(SUMIF('S2_27_JUIL-02_AOUT'!$A$3:$A$113,$A46,'S2_27_JUIL-02_AOUT'!$P$3:$P$113),0)+IFERROR(SUMIF('S3_03-09_AOUT'!$A$3:$A$113,$A46,'S3_03-09_AOUT'!$P$3:$P$113),0)+IFERROR(SUMIF('S4_10-16_AOUT'!$A$3:$A$113,$A46,'S4_10-16_AOUT'!$P$3:$P$113),0)+IFERROR(SUMIF('S5_17-23_AOUT'!$A$3:$A$113,$A46,'S5_17-23_AOUT'!$P$3:$P$113),0)+IFERROR(SUMIF('S6_24-25_AOUT'!$A$3:$A$113,$A46,'S6_24-25_AOUT'!$K$3:$K$113),0)</f>
        <v>0</v>
      </c>
      <c r="O46" s="9">
        <f>IFERROR(SUMIF(S1_26_JUIL!$A$3:$A$113,$A46,S1_26_JUIL!$K$3:$K$113),0)+IFERROR(SUMIF('S2_27_JUIL-02_AOUT'!$A$3:$A$113,$A46,'S2_27_JUIL-02_AOUT'!$Q$3:$Q$113),0)+IFERROR(SUMIF('S3_03-09_AOUT'!$A$3:$A$113,$A46,'S3_03-09_AOUT'!$Q$3:$Q$113),0)+IFERROR(SUMIF('S4_10-16_AOUT'!$A$3:$A$113,$A46,'S4_10-16_AOUT'!$Q$3:$Q$113),0)+IFERROR(SUMIF('S5_17-23_AOUT'!$A$3:$A$113,$A46,'S5_17-23_AOUT'!$Q$3:$Q$113),0)+IFERROR(SUMIF('S6_24-25_AOUT'!$A$3:$A$113,$A46,'S6_24-25_AOUT'!$L$3:$L$113),0)</f>
        <v>0</v>
      </c>
      <c r="P46" s="8">
        <f>IFERROR(SUMIF(S1_26_JUIL!$A$3:$A$113,$A46,S1_26_JUIL!$L$3:$L$113),0)+IFERROR(SUMIF('S2_27_JUIL-02_AOUT'!$A$3:$A$113,$A46,'S2_27_JUIL-02_AOUT'!$R$3:$R$113),0)+IFERROR(SUMIF('S3_03-09_AOUT'!$A$3:$A$113,$A46,'S3_03-09_AOUT'!$R$3:$R$113),0)+IFERROR(SUMIF('S4_10-16_AOUT'!$A$3:$A$113,$A46,'S4_10-16_AOUT'!$R$3:$R$113),0)+IFERROR(SUMIF('S5_17-23_AOUT'!$A$3:$A$113,$A46,'S5_17-23_AOUT'!$R$3:$R$113),0)+IFERROR(SUMIF('S6_24-25_AOUT'!$A$3:$A$113,$A46,'S6_24-25_AOUT'!$M$3:$M$113),0)</f>
        <v>0</v>
      </c>
      <c r="Q46" s="8">
        <f>IFERROR(SUMIF(S1_26_JUIL!$A$3:$A$113,$A46,S1_26_JUIL!$M$3:$M$113),0)+IFERROR(SUMIF('S2_27_JUIL-02_AOUT'!$A$3:$A$113,$A46,'S2_27_JUIL-02_AOUT'!$S$3:$S$113),0)+IFERROR(SUMIF('S3_03-09_AOUT'!$A$3:$A$113,$A46,'S3_03-09_AOUT'!$S$3:$S$113),0)+IFERROR(SUMIF('S4_10-16_AOUT'!$A$3:$A$113,$A46,'S4_10-16_AOUT'!$S$3:$S$113),0)+IFERROR(SUMIF('S5_17-23_AOUT'!$A$3:$A$113,$A46,'S5_17-23_AOUT'!$S$3:$S$113),0)+IFERROR(SUMIF('S6_24-25_AOUT'!$A$3:$A$113,$A46,'S6_24-25_AOUT'!$N$3:$N$113),0)</f>
        <v>0</v>
      </c>
      <c r="R46" s="11">
        <f>IFERROR(SUMIF(S1_26_JUIL!$A$3:$A$113,$A46,S1_26_JUIL!$N$3:$N$113),0)+IFERROR(SUMIF('S2_27_JUIL-02_AOUT'!$A$3:$A$113,$A46,'S2_27_JUIL-02_AOUT'!$T$3:$T$113),0)+IFERROR(SUMIF('S3_03-09_AOUT'!$A$3:$A$113,$A46,'S3_03-09_AOUT'!$T$3:$T$113),0)+IFERROR(SUMIF('S4_10-16_AOUT'!$A$3:$A$113,$A46,'S4_10-16_AOUT'!$T$3:$T$113),0)+IFERROR(SUMIF('S5_17-23_AOUT'!$A$3:$A$113,$A46,'S5_17-23_AOUT'!$T$3:$T$113),0)+IFERROR(SUMIF('S6_24-25_AOUT'!$A$3:$A$113,$A46,'S6_24-25_AOUT'!$O$3:$O$113),0)</f>
        <v>0</v>
      </c>
      <c r="S46" s="8">
        <f>208</f>
        <v>208</v>
      </c>
      <c r="T46" s="8">
        <f t="shared" si="3"/>
        <v>38</v>
      </c>
      <c r="U46" s="10" t="str">
        <f>IF(OR(IFERROR(INDEX(S1_26_JUIL!$P$3:$P$113,MATCH($A46,S1_26_JUIL!$A$3:$A$113,0)),"")="STC",IFERROR(INDEX('S2_27_JUIL-02_AOUT'!$V$3:$V$113,MATCH($A46,'S2_27_JUIL-02_AOUT'!$A$3:$A$113,0)),"")="STC",IFERROR(INDEX('S3_03-09_AOUT'!$V$3:$V$113,MATCH($A46,'S3_03-09_AOUT'!$A$3:$A$113,0)),"")="STC",IFERROR(INDEX('S4_10-16_AOUT'!$V$3:$V$113,MATCH($A46,'S4_10-16_AOUT'!$A$3:$A$113,0)),"")="STC",IFERROR(INDEX('S5_17-23_AOUT'!$V$3:$V$113,MATCH($A46,'S5_17-23_AOUT'!$A$3:$A$113,0)),"")="STC",IFERROR(INDEX('S6_24-25_AOUT'!$Q$3:$Q$113,MATCH($A46,'S6_24-25_AOUT'!$A$3:$A$113,0)),"")="STC"),"STC",IF(OR(IFERROR(INDEX(S1_26_JUIL!$P$3:$P$113,MATCH($A46,S1_26_JUIL!$A$3:$A$113,0)),"")="À vérifier",IFERROR(INDEX('S2_27_JUIL-02_AOUT'!$V$3:$V$113,MATCH($A46,'S2_27_JUIL-02_AOUT'!$A$3:$A$113,0)),"")="À vérifier",IFERROR(INDEX('S3_03-09_AOUT'!$V$3:$V$113,MATCH($A46,'S3_03-09_AOUT'!$A$3:$A$113,0)),"")="À vérifier",IFERROR(INDEX('S4_10-16_AOUT'!$V$3:$V$113,MATCH($A46,'S4_10-16_AOUT'!$A$3:$A$113,0)),"")="À vérifier",IFERROR(INDEX('S5_17-23_AOUT'!$V$3:$V$113,MATCH($A46,'S5_17-23_AOUT'!$A$3:$A$113,0)),"")="À vérifier",IFERROR(INDEX('S6_24-25_AOUT'!$Q$3:$Q$113,MATCH($A46,'S6_24-25_AOUT'!$A$3:$A$113,0)),"")="À vérifier",ABS(L46-T46)&gt;=0.01),"À vérifier","OK"))</f>
        <v>OK</v>
      </c>
    </row>
    <row r="47" spans="1:21">
      <c r="A47" s="12" t="s">
        <v>137</v>
      </c>
      <c r="B47" s="12" t="s">
        <v>138</v>
      </c>
      <c r="C47" s="13" t="s">
        <v>139</v>
      </c>
      <c r="D47" s="12" t="s">
        <v>31</v>
      </c>
      <c r="E47" s="10" t="s">
        <v>123</v>
      </c>
      <c r="F47" s="8">
        <f>IFERROR(SUMIF(S1_26_JUIL!$A$3:$A$113,$A47,S1_26_JUIL!$O$3:$O$113),0)</f>
        <v>0</v>
      </c>
      <c r="G47" s="8">
        <f>IFERROR(SUMIF('S2_27_JUIL-02_AOUT'!$A$3:$A$113,$A47,'S2_27_JUIL-02_AOUT'!$U$3:$U$113),0)</f>
        <v>33.5</v>
      </c>
      <c r="H47" s="8">
        <f>IFERROR(SUMIF('S3_03-09_AOUT'!$A$3:$A$113,$A47,'S3_03-09_AOUT'!$U$3:$U$113),0)</f>
        <v>0</v>
      </c>
      <c r="I47" s="8">
        <f>IFERROR(SUMIF('S4_10-16_AOUT'!$A$3:$A$113,$A47,'S4_10-16_AOUT'!$U$3:$U$113),0)</f>
        <v>0</v>
      </c>
      <c r="J47" s="8">
        <f>IFERROR(SUMIF('S5_17-23_AOUT'!$A$3:$A$113,$A47,'S5_17-23_AOUT'!$U$3:$U$113),0)</f>
        <v>0</v>
      </c>
      <c r="K47" s="8">
        <f>IFERROR(SUMIF('S6_24-25_AOUT'!$A$3:$A$113,$A47,'S6_24-25_AOUT'!$P$3:$P$113),0)</f>
        <v>0</v>
      </c>
      <c r="L47" s="8">
        <f t="shared" si="2"/>
        <v>33.5</v>
      </c>
      <c r="M47" s="8">
        <f>IFERROR(SUMIF(S1_26_JUIL!$A$3:$A$113,$A47,S1_26_JUIL!$I$3:$I$113),0)+IFERROR(SUMIF('S2_27_JUIL-02_AOUT'!$A$3:$A$113,$A47,'S2_27_JUIL-02_AOUT'!$O$3:$O$113),0)+IFERROR(SUMIF('S3_03-09_AOUT'!$A$3:$A$113,$A47,'S3_03-09_AOUT'!$O$3:$O$113),0)+IFERROR(SUMIF('S4_10-16_AOUT'!$A$3:$A$113,$A47,'S4_10-16_AOUT'!$O$3:$O$113),0)+IFERROR(SUMIF('S5_17-23_AOUT'!$A$3:$A$113,$A47,'S5_17-23_AOUT'!$O$3:$O$113),0)+IFERROR(SUMIF('S6_24-25_AOUT'!$A$3:$A$113,$A47,'S6_24-25_AOUT'!$J$3:$J$113),0)</f>
        <v>33.5</v>
      </c>
      <c r="N47" s="9">
        <f>IFERROR(SUMIF(S1_26_JUIL!$A$3:$A$113,$A47,S1_26_JUIL!$J$3:$J$113),0)+IFERROR(SUMIF('S2_27_JUIL-02_AOUT'!$A$3:$A$113,$A47,'S2_27_JUIL-02_AOUT'!$P$3:$P$113),0)+IFERROR(SUMIF('S3_03-09_AOUT'!$A$3:$A$113,$A47,'S3_03-09_AOUT'!$P$3:$P$113),0)+IFERROR(SUMIF('S4_10-16_AOUT'!$A$3:$A$113,$A47,'S4_10-16_AOUT'!$P$3:$P$113),0)+IFERROR(SUMIF('S5_17-23_AOUT'!$A$3:$A$113,$A47,'S5_17-23_AOUT'!$P$3:$P$113),0)+IFERROR(SUMIF('S6_24-25_AOUT'!$A$3:$A$113,$A47,'S6_24-25_AOUT'!$K$3:$K$113),0)</f>
        <v>0</v>
      </c>
      <c r="O47" s="9">
        <f>IFERROR(SUMIF(S1_26_JUIL!$A$3:$A$113,$A47,S1_26_JUIL!$K$3:$K$113),0)+IFERROR(SUMIF('S2_27_JUIL-02_AOUT'!$A$3:$A$113,$A47,'S2_27_JUIL-02_AOUT'!$Q$3:$Q$113),0)+IFERROR(SUMIF('S3_03-09_AOUT'!$A$3:$A$113,$A47,'S3_03-09_AOUT'!$Q$3:$Q$113),0)+IFERROR(SUMIF('S4_10-16_AOUT'!$A$3:$A$113,$A47,'S4_10-16_AOUT'!$Q$3:$Q$113),0)+IFERROR(SUMIF('S5_17-23_AOUT'!$A$3:$A$113,$A47,'S5_17-23_AOUT'!$Q$3:$Q$113),0)+IFERROR(SUMIF('S6_24-25_AOUT'!$A$3:$A$113,$A47,'S6_24-25_AOUT'!$L$3:$L$113),0)</f>
        <v>0</v>
      </c>
      <c r="P47" s="8">
        <f>IFERROR(SUMIF(S1_26_JUIL!$A$3:$A$113,$A47,S1_26_JUIL!$L$3:$L$113),0)+IFERROR(SUMIF('S2_27_JUIL-02_AOUT'!$A$3:$A$113,$A47,'S2_27_JUIL-02_AOUT'!$R$3:$R$113),0)+IFERROR(SUMIF('S3_03-09_AOUT'!$A$3:$A$113,$A47,'S3_03-09_AOUT'!$R$3:$R$113),0)+IFERROR(SUMIF('S4_10-16_AOUT'!$A$3:$A$113,$A47,'S4_10-16_AOUT'!$R$3:$R$113),0)+IFERROR(SUMIF('S5_17-23_AOUT'!$A$3:$A$113,$A47,'S5_17-23_AOUT'!$R$3:$R$113),0)+IFERROR(SUMIF('S6_24-25_AOUT'!$A$3:$A$113,$A47,'S6_24-25_AOUT'!$M$3:$M$113),0)</f>
        <v>1</v>
      </c>
      <c r="Q47" s="8">
        <f>IFERROR(SUMIF(S1_26_JUIL!$A$3:$A$113,$A47,S1_26_JUIL!$M$3:$M$113),0)+IFERROR(SUMIF('S2_27_JUIL-02_AOUT'!$A$3:$A$113,$A47,'S2_27_JUIL-02_AOUT'!$S$3:$S$113),0)+IFERROR(SUMIF('S3_03-09_AOUT'!$A$3:$A$113,$A47,'S3_03-09_AOUT'!$S$3:$S$113),0)+IFERROR(SUMIF('S4_10-16_AOUT'!$A$3:$A$113,$A47,'S4_10-16_AOUT'!$S$3:$S$113),0)+IFERROR(SUMIF('S5_17-23_AOUT'!$A$3:$A$113,$A47,'S5_17-23_AOUT'!$S$3:$S$113),0)+IFERROR(SUMIF('S6_24-25_AOUT'!$A$3:$A$113,$A47,'S6_24-25_AOUT'!$N$3:$N$113),0)</f>
        <v>0</v>
      </c>
      <c r="R47" s="11">
        <f>IFERROR(SUMIF(S1_26_JUIL!$A$3:$A$113,$A47,S1_26_JUIL!$N$3:$N$113),0)+IFERROR(SUMIF('S2_27_JUIL-02_AOUT'!$A$3:$A$113,$A47,'S2_27_JUIL-02_AOUT'!$T$3:$T$113),0)+IFERROR(SUMIF('S3_03-09_AOUT'!$A$3:$A$113,$A47,'S3_03-09_AOUT'!$T$3:$T$113),0)+IFERROR(SUMIF('S4_10-16_AOUT'!$A$3:$A$113,$A47,'S4_10-16_AOUT'!$T$3:$T$113),0)+IFERROR(SUMIF('S5_17-23_AOUT'!$A$3:$A$113,$A47,'S5_17-23_AOUT'!$T$3:$T$113),0)+IFERROR(SUMIF('S6_24-25_AOUT'!$A$3:$A$113,$A47,'S6_24-25_AOUT'!$O$3:$O$113),0)</f>
        <v>0</v>
      </c>
      <c r="S47" s="8">
        <f>208</f>
        <v>208</v>
      </c>
      <c r="T47" s="8">
        <f t="shared" si="3"/>
        <v>33.5</v>
      </c>
      <c r="U47" s="10" t="str">
        <f>IF(OR(IFERROR(INDEX(S1_26_JUIL!$P$3:$P$113,MATCH($A47,S1_26_JUIL!$A$3:$A$113,0)),"")="STC",IFERROR(INDEX('S2_27_JUIL-02_AOUT'!$V$3:$V$113,MATCH($A47,'S2_27_JUIL-02_AOUT'!$A$3:$A$113,0)),"")="STC",IFERROR(INDEX('S3_03-09_AOUT'!$V$3:$V$113,MATCH($A47,'S3_03-09_AOUT'!$A$3:$A$113,0)),"")="STC",IFERROR(INDEX('S4_10-16_AOUT'!$V$3:$V$113,MATCH($A47,'S4_10-16_AOUT'!$A$3:$A$113,0)),"")="STC",IFERROR(INDEX('S5_17-23_AOUT'!$V$3:$V$113,MATCH($A47,'S5_17-23_AOUT'!$A$3:$A$113,0)),"")="STC",IFERROR(INDEX('S6_24-25_AOUT'!$Q$3:$Q$113,MATCH($A47,'S6_24-25_AOUT'!$A$3:$A$113,0)),"")="STC"),"STC",IF(OR(IFERROR(INDEX(S1_26_JUIL!$P$3:$P$113,MATCH($A47,S1_26_JUIL!$A$3:$A$113,0)),"")="À vérifier",IFERROR(INDEX('S2_27_JUIL-02_AOUT'!$V$3:$V$113,MATCH($A47,'S2_27_JUIL-02_AOUT'!$A$3:$A$113,0)),"")="À vérifier",IFERROR(INDEX('S3_03-09_AOUT'!$V$3:$V$113,MATCH($A47,'S3_03-09_AOUT'!$A$3:$A$113,0)),"")="À vérifier",IFERROR(INDEX('S4_10-16_AOUT'!$V$3:$V$113,MATCH($A47,'S4_10-16_AOUT'!$A$3:$A$113,0)),"")="À vérifier",IFERROR(INDEX('S5_17-23_AOUT'!$V$3:$V$113,MATCH($A47,'S5_17-23_AOUT'!$A$3:$A$113,0)),"")="À vérifier",IFERROR(INDEX('S6_24-25_AOUT'!$Q$3:$Q$113,MATCH($A47,'S6_24-25_AOUT'!$A$3:$A$113,0)),"")="À vérifier",ABS(L47-T47)&gt;=0.01),"À vérifier","OK"))</f>
        <v>OK</v>
      </c>
    </row>
    <row r="48" spans="1:21">
      <c r="A48" s="12" t="s">
        <v>140</v>
      </c>
      <c r="B48" s="12" t="s">
        <v>141</v>
      </c>
      <c r="C48" s="13" t="s">
        <v>142</v>
      </c>
      <c r="D48" s="12" t="s">
        <v>31</v>
      </c>
      <c r="E48" s="10" t="s">
        <v>123</v>
      </c>
      <c r="F48" s="8">
        <f>IFERROR(SUMIF(S1_26_JUIL!$A$3:$A$113,$A48,S1_26_JUIL!$O$3:$O$113),0)</f>
        <v>0</v>
      </c>
      <c r="G48" s="8">
        <f>IFERROR(SUMIF('S2_27_JUIL-02_AOUT'!$A$3:$A$113,$A48,'S2_27_JUIL-02_AOUT'!$U$3:$U$113),0)</f>
        <v>24</v>
      </c>
      <c r="H48" s="8">
        <f>IFERROR(SUMIF('S3_03-09_AOUT'!$A$3:$A$113,$A48,'S3_03-09_AOUT'!$U$3:$U$113),0)</f>
        <v>0</v>
      </c>
      <c r="I48" s="8">
        <f>IFERROR(SUMIF('S4_10-16_AOUT'!$A$3:$A$113,$A48,'S4_10-16_AOUT'!$U$3:$U$113),0)</f>
        <v>0</v>
      </c>
      <c r="J48" s="8">
        <f>IFERROR(SUMIF('S5_17-23_AOUT'!$A$3:$A$113,$A48,'S5_17-23_AOUT'!$U$3:$U$113),0)</f>
        <v>0</v>
      </c>
      <c r="K48" s="8">
        <f>IFERROR(SUMIF('S6_24-25_AOUT'!$A$3:$A$113,$A48,'S6_24-25_AOUT'!$P$3:$P$113),0)</f>
        <v>0</v>
      </c>
      <c r="L48" s="8">
        <f t="shared" si="2"/>
        <v>24</v>
      </c>
      <c r="M48" s="8">
        <f>IFERROR(SUMIF(S1_26_JUIL!$A$3:$A$113,$A48,S1_26_JUIL!$I$3:$I$113),0)+IFERROR(SUMIF('S2_27_JUIL-02_AOUT'!$A$3:$A$113,$A48,'S2_27_JUIL-02_AOUT'!$O$3:$O$113),0)+IFERROR(SUMIF('S3_03-09_AOUT'!$A$3:$A$113,$A48,'S3_03-09_AOUT'!$O$3:$O$113),0)+IFERROR(SUMIF('S4_10-16_AOUT'!$A$3:$A$113,$A48,'S4_10-16_AOUT'!$O$3:$O$113),0)+IFERROR(SUMIF('S5_17-23_AOUT'!$A$3:$A$113,$A48,'S5_17-23_AOUT'!$O$3:$O$113),0)+IFERROR(SUMIF('S6_24-25_AOUT'!$A$3:$A$113,$A48,'S6_24-25_AOUT'!$J$3:$J$113),0)</f>
        <v>24</v>
      </c>
      <c r="N48" s="9">
        <f>IFERROR(SUMIF(S1_26_JUIL!$A$3:$A$113,$A48,S1_26_JUIL!$J$3:$J$113),0)+IFERROR(SUMIF('S2_27_JUIL-02_AOUT'!$A$3:$A$113,$A48,'S2_27_JUIL-02_AOUT'!$P$3:$P$113),0)+IFERROR(SUMIF('S3_03-09_AOUT'!$A$3:$A$113,$A48,'S3_03-09_AOUT'!$P$3:$P$113),0)+IFERROR(SUMIF('S4_10-16_AOUT'!$A$3:$A$113,$A48,'S4_10-16_AOUT'!$P$3:$P$113),0)+IFERROR(SUMIF('S5_17-23_AOUT'!$A$3:$A$113,$A48,'S5_17-23_AOUT'!$P$3:$P$113),0)+IFERROR(SUMIF('S6_24-25_AOUT'!$A$3:$A$113,$A48,'S6_24-25_AOUT'!$K$3:$K$113),0)</f>
        <v>0</v>
      </c>
      <c r="O48" s="9">
        <f>IFERROR(SUMIF(S1_26_JUIL!$A$3:$A$113,$A48,S1_26_JUIL!$K$3:$K$113),0)+IFERROR(SUMIF('S2_27_JUIL-02_AOUT'!$A$3:$A$113,$A48,'S2_27_JUIL-02_AOUT'!$Q$3:$Q$113),0)+IFERROR(SUMIF('S3_03-09_AOUT'!$A$3:$A$113,$A48,'S3_03-09_AOUT'!$Q$3:$Q$113),0)+IFERROR(SUMIF('S4_10-16_AOUT'!$A$3:$A$113,$A48,'S4_10-16_AOUT'!$Q$3:$Q$113),0)+IFERROR(SUMIF('S5_17-23_AOUT'!$A$3:$A$113,$A48,'S5_17-23_AOUT'!$Q$3:$Q$113),0)+IFERROR(SUMIF('S6_24-25_AOUT'!$A$3:$A$113,$A48,'S6_24-25_AOUT'!$L$3:$L$113),0)</f>
        <v>0</v>
      </c>
      <c r="P48" s="8">
        <f>IFERROR(SUMIF(S1_26_JUIL!$A$3:$A$113,$A48,S1_26_JUIL!$L$3:$L$113),0)+IFERROR(SUMIF('S2_27_JUIL-02_AOUT'!$A$3:$A$113,$A48,'S2_27_JUIL-02_AOUT'!$R$3:$R$113),0)+IFERROR(SUMIF('S3_03-09_AOUT'!$A$3:$A$113,$A48,'S3_03-09_AOUT'!$R$3:$R$113),0)+IFERROR(SUMIF('S4_10-16_AOUT'!$A$3:$A$113,$A48,'S4_10-16_AOUT'!$R$3:$R$113),0)+IFERROR(SUMIF('S5_17-23_AOUT'!$A$3:$A$113,$A48,'S5_17-23_AOUT'!$R$3:$R$113),0)+IFERROR(SUMIF('S6_24-25_AOUT'!$A$3:$A$113,$A48,'S6_24-25_AOUT'!$M$3:$M$113),0)</f>
        <v>2</v>
      </c>
      <c r="Q48" s="8">
        <f>IFERROR(SUMIF(S1_26_JUIL!$A$3:$A$113,$A48,S1_26_JUIL!$M$3:$M$113),0)+IFERROR(SUMIF('S2_27_JUIL-02_AOUT'!$A$3:$A$113,$A48,'S2_27_JUIL-02_AOUT'!$S$3:$S$113),0)+IFERROR(SUMIF('S3_03-09_AOUT'!$A$3:$A$113,$A48,'S3_03-09_AOUT'!$S$3:$S$113),0)+IFERROR(SUMIF('S4_10-16_AOUT'!$A$3:$A$113,$A48,'S4_10-16_AOUT'!$S$3:$S$113),0)+IFERROR(SUMIF('S5_17-23_AOUT'!$A$3:$A$113,$A48,'S5_17-23_AOUT'!$S$3:$S$113),0)+IFERROR(SUMIF('S6_24-25_AOUT'!$A$3:$A$113,$A48,'S6_24-25_AOUT'!$N$3:$N$113),0)</f>
        <v>0</v>
      </c>
      <c r="R48" s="11">
        <f>IFERROR(SUMIF(S1_26_JUIL!$A$3:$A$113,$A48,S1_26_JUIL!$N$3:$N$113),0)+IFERROR(SUMIF('S2_27_JUIL-02_AOUT'!$A$3:$A$113,$A48,'S2_27_JUIL-02_AOUT'!$T$3:$T$113),0)+IFERROR(SUMIF('S3_03-09_AOUT'!$A$3:$A$113,$A48,'S3_03-09_AOUT'!$T$3:$T$113),0)+IFERROR(SUMIF('S4_10-16_AOUT'!$A$3:$A$113,$A48,'S4_10-16_AOUT'!$T$3:$T$113),0)+IFERROR(SUMIF('S5_17-23_AOUT'!$A$3:$A$113,$A48,'S5_17-23_AOUT'!$T$3:$T$113),0)+IFERROR(SUMIF('S6_24-25_AOUT'!$A$3:$A$113,$A48,'S6_24-25_AOUT'!$O$3:$O$113),0)</f>
        <v>0</v>
      </c>
      <c r="S48" s="8">
        <f>208</f>
        <v>208</v>
      </c>
      <c r="T48" s="8">
        <f t="shared" si="3"/>
        <v>24</v>
      </c>
      <c r="U48" s="10" t="str">
        <f>IF(OR(IFERROR(INDEX(S1_26_JUIL!$P$3:$P$113,MATCH($A48,S1_26_JUIL!$A$3:$A$113,0)),"")="STC",IFERROR(INDEX('S2_27_JUIL-02_AOUT'!$V$3:$V$113,MATCH($A48,'S2_27_JUIL-02_AOUT'!$A$3:$A$113,0)),"")="STC",IFERROR(INDEX('S3_03-09_AOUT'!$V$3:$V$113,MATCH($A48,'S3_03-09_AOUT'!$A$3:$A$113,0)),"")="STC",IFERROR(INDEX('S4_10-16_AOUT'!$V$3:$V$113,MATCH($A48,'S4_10-16_AOUT'!$A$3:$A$113,0)),"")="STC",IFERROR(INDEX('S5_17-23_AOUT'!$V$3:$V$113,MATCH($A48,'S5_17-23_AOUT'!$A$3:$A$113,0)),"")="STC",IFERROR(INDEX('S6_24-25_AOUT'!$Q$3:$Q$113,MATCH($A48,'S6_24-25_AOUT'!$A$3:$A$113,0)),"")="STC"),"STC",IF(OR(IFERROR(INDEX(S1_26_JUIL!$P$3:$P$113,MATCH($A48,S1_26_JUIL!$A$3:$A$113,0)),"")="À vérifier",IFERROR(INDEX('S2_27_JUIL-02_AOUT'!$V$3:$V$113,MATCH($A48,'S2_27_JUIL-02_AOUT'!$A$3:$A$113,0)),"")="À vérifier",IFERROR(INDEX('S3_03-09_AOUT'!$V$3:$V$113,MATCH($A48,'S3_03-09_AOUT'!$A$3:$A$113,0)),"")="À vérifier",IFERROR(INDEX('S4_10-16_AOUT'!$V$3:$V$113,MATCH($A48,'S4_10-16_AOUT'!$A$3:$A$113,0)),"")="À vérifier",IFERROR(INDEX('S5_17-23_AOUT'!$V$3:$V$113,MATCH($A48,'S5_17-23_AOUT'!$A$3:$A$113,0)),"")="À vérifier",IFERROR(INDEX('S6_24-25_AOUT'!$Q$3:$Q$113,MATCH($A48,'S6_24-25_AOUT'!$A$3:$A$113,0)),"")="À vérifier",ABS(L48-T48)&gt;=0.01),"À vérifier","OK"))</f>
        <v>OK</v>
      </c>
    </row>
    <row r="49" spans="1:21">
      <c r="A49" s="12" t="s">
        <v>143</v>
      </c>
      <c r="B49" s="12" t="s">
        <v>144</v>
      </c>
      <c r="C49" s="13" t="s">
        <v>145</v>
      </c>
      <c r="D49" s="12" t="s">
        <v>31</v>
      </c>
      <c r="E49" s="10" t="s">
        <v>123</v>
      </c>
      <c r="F49" s="8">
        <f>IFERROR(SUMIF(S1_26_JUIL!$A$3:$A$113,$A49,S1_26_JUIL!$O$3:$O$113),0)</f>
        <v>0</v>
      </c>
      <c r="G49" s="8">
        <f>IFERROR(SUMIF('S2_27_JUIL-02_AOUT'!$A$3:$A$113,$A49,'S2_27_JUIL-02_AOUT'!$U$3:$U$113),0)</f>
        <v>47.5</v>
      </c>
      <c r="H49" s="8">
        <f>IFERROR(SUMIF('S3_03-09_AOUT'!$A$3:$A$113,$A49,'S3_03-09_AOUT'!$U$3:$U$113),0)</f>
        <v>0</v>
      </c>
      <c r="I49" s="8">
        <f>IFERROR(SUMIF('S4_10-16_AOUT'!$A$3:$A$113,$A49,'S4_10-16_AOUT'!$U$3:$U$113),0)</f>
        <v>0</v>
      </c>
      <c r="J49" s="8">
        <f>IFERROR(SUMIF('S5_17-23_AOUT'!$A$3:$A$113,$A49,'S5_17-23_AOUT'!$U$3:$U$113),0)</f>
        <v>0</v>
      </c>
      <c r="K49" s="8">
        <f>IFERROR(SUMIF('S6_24-25_AOUT'!$A$3:$A$113,$A49,'S6_24-25_AOUT'!$P$3:$P$113),0)</f>
        <v>0</v>
      </c>
      <c r="L49" s="8">
        <f t="shared" si="2"/>
        <v>47.5</v>
      </c>
      <c r="M49" s="8">
        <f>IFERROR(SUMIF(S1_26_JUIL!$A$3:$A$113,$A49,S1_26_JUIL!$I$3:$I$113),0)+IFERROR(SUMIF('S2_27_JUIL-02_AOUT'!$A$3:$A$113,$A49,'S2_27_JUIL-02_AOUT'!$O$3:$O$113),0)+IFERROR(SUMIF('S3_03-09_AOUT'!$A$3:$A$113,$A49,'S3_03-09_AOUT'!$O$3:$O$113),0)+IFERROR(SUMIF('S4_10-16_AOUT'!$A$3:$A$113,$A49,'S4_10-16_AOUT'!$O$3:$O$113),0)+IFERROR(SUMIF('S5_17-23_AOUT'!$A$3:$A$113,$A49,'S5_17-23_AOUT'!$O$3:$O$113),0)+IFERROR(SUMIF('S6_24-25_AOUT'!$A$3:$A$113,$A49,'S6_24-25_AOUT'!$J$3:$J$113),0)</f>
        <v>47.5</v>
      </c>
      <c r="N49" s="9">
        <f>IFERROR(SUMIF(S1_26_JUIL!$A$3:$A$113,$A49,S1_26_JUIL!$J$3:$J$113),0)+IFERROR(SUMIF('S2_27_JUIL-02_AOUT'!$A$3:$A$113,$A49,'S2_27_JUIL-02_AOUT'!$P$3:$P$113),0)+IFERROR(SUMIF('S3_03-09_AOUT'!$A$3:$A$113,$A49,'S3_03-09_AOUT'!$P$3:$P$113),0)+IFERROR(SUMIF('S4_10-16_AOUT'!$A$3:$A$113,$A49,'S4_10-16_AOUT'!$P$3:$P$113),0)+IFERROR(SUMIF('S5_17-23_AOUT'!$A$3:$A$113,$A49,'S5_17-23_AOUT'!$P$3:$P$113),0)+IFERROR(SUMIF('S6_24-25_AOUT'!$A$3:$A$113,$A49,'S6_24-25_AOUT'!$K$3:$K$113),0)</f>
        <v>0</v>
      </c>
      <c r="O49" s="9">
        <f>IFERROR(SUMIF(S1_26_JUIL!$A$3:$A$113,$A49,S1_26_JUIL!$K$3:$K$113),0)+IFERROR(SUMIF('S2_27_JUIL-02_AOUT'!$A$3:$A$113,$A49,'S2_27_JUIL-02_AOUT'!$Q$3:$Q$113),0)+IFERROR(SUMIF('S3_03-09_AOUT'!$A$3:$A$113,$A49,'S3_03-09_AOUT'!$Q$3:$Q$113),0)+IFERROR(SUMIF('S4_10-16_AOUT'!$A$3:$A$113,$A49,'S4_10-16_AOUT'!$Q$3:$Q$113),0)+IFERROR(SUMIF('S5_17-23_AOUT'!$A$3:$A$113,$A49,'S5_17-23_AOUT'!$Q$3:$Q$113),0)+IFERROR(SUMIF('S6_24-25_AOUT'!$A$3:$A$113,$A49,'S6_24-25_AOUT'!$L$3:$L$113),0)</f>
        <v>0</v>
      </c>
      <c r="P49" s="8">
        <f>IFERROR(SUMIF(S1_26_JUIL!$A$3:$A$113,$A49,S1_26_JUIL!$L$3:$L$113),0)+IFERROR(SUMIF('S2_27_JUIL-02_AOUT'!$A$3:$A$113,$A49,'S2_27_JUIL-02_AOUT'!$R$3:$R$113),0)+IFERROR(SUMIF('S3_03-09_AOUT'!$A$3:$A$113,$A49,'S3_03-09_AOUT'!$R$3:$R$113),0)+IFERROR(SUMIF('S4_10-16_AOUT'!$A$3:$A$113,$A49,'S4_10-16_AOUT'!$R$3:$R$113),0)+IFERROR(SUMIF('S5_17-23_AOUT'!$A$3:$A$113,$A49,'S5_17-23_AOUT'!$R$3:$R$113),0)+IFERROR(SUMIF('S6_24-25_AOUT'!$A$3:$A$113,$A49,'S6_24-25_AOUT'!$M$3:$M$113),0)</f>
        <v>0</v>
      </c>
      <c r="Q49" s="8">
        <f>IFERROR(SUMIF(S1_26_JUIL!$A$3:$A$113,$A49,S1_26_JUIL!$M$3:$M$113),0)+IFERROR(SUMIF('S2_27_JUIL-02_AOUT'!$A$3:$A$113,$A49,'S2_27_JUIL-02_AOUT'!$S$3:$S$113),0)+IFERROR(SUMIF('S3_03-09_AOUT'!$A$3:$A$113,$A49,'S3_03-09_AOUT'!$S$3:$S$113),0)+IFERROR(SUMIF('S4_10-16_AOUT'!$A$3:$A$113,$A49,'S4_10-16_AOUT'!$S$3:$S$113),0)+IFERROR(SUMIF('S5_17-23_AOUT'!$A$3:$A$113,$A49,'S5_17-23_AOUT'!$S$3:$S$113),0)+IFERROR(SUMIF('S6_24-25_AOUT'!$A$3:$A$113,$A49,'S6_24-25_AOUT'!$N$3:$N$113),0)</f>
        <v>0</v>
      </c>
      <c r="R49" s="11">
        <f>IFERROR(SUMIF(S1_26_JUIL!$A$3:$A$113,$A49,S1_26_JUIL!$N$3:$N$113),0)+IFERROR(SUMIF('S2_27_JUIL-02_AOUT'!$A$3:$A$113,$A49,'S2_27_JUIL-02_AOUT'!$T$3:$T$113),0)+IFERROR(SUMIF('S3_03-09_AOUT'!$A$3:$A$113,$A49,'S3_03-09_AOUT'!$T$3:$T$113),0)+IFERROR(SUMIF('S4_10-16_AOUT'!$A$3:$A$113,$A49,'S4_10-16_AOUT'!$T$3:$T$113),0)+IFERROR(SUMIF('S5_17-23_AOUT'!$A$3:$A$113,$A49,'S5_17-23_AOUT'!$T$3:$T$113),0)+IFERROR(SUMIF('S6_24-25_AOUT'!$A$3:$A$113,$A49,'S6_24-25_AOUT'!$O$3:$O$113),0)</f>
        <v>0</v>
      </c>
      <c r="S49" s="8">
        <f>208</f>
        <v>208</v>
      </c>
      <c r="T49" s="8">
        <f t="shared" si="3"/>
        <v>47.5</v>
      </c>
      <c r="U49" s="10" t="str">
        <f>IF(OR(IFERROR(INDEX(S1_26_JUIL!$P$3:$P$113,MATCH($A49,S1_26_JUIL!$A$3:$A$113,0)),"")="STC",IFERROR(INDEX('S2_27_JUIL-02_AOUT'!$V$3:$V$113,MATCH($A49,'S2_27_JUIL-02_AOUT'!$A$3:$A$113,0)),"")="STC",IFERROR(INDEX('S3_03-09_AOUT'!$V$3:$V$113,MATCH($A49,'S3_03-09_AOUT'!$A$3:$A$113,0)),"")="STC",IFERROR(INDEX('S4_10-16_AOUT'!$V$3:$V$113,MATCH($A49,'S4_10-16_AOUT'!$A$3:$A$113,0)),"")="STC",IFERROR(INDEX('S5_17-23_AOUT'!$V$3:$V$113,MATCH($A49,'S5_17-23_AOUT'!$A$3:$A$113,0)),"")="STC",IFERROR(INDEX('S6_24-25_AOUT'!$Q$3:$Q$113,MATCH($A49,'S6_24-25_AOUT'!$A$3:$A$113,0)),"")="STC"),"STC",IF(OR(IFERROR(INDEX(S1_26_JUIL!$P$3:$P$113,MATCH($A49,S1_26_JUIL!$A$3:$A$113,0)),"")="À vérifier",IFERROR(INDEX('S2_27_JUIL-02_AOUT'!$V$3:$V$113,MATCH($A49,'S2_27_JUIL-02_AOUT'!$A$3:$A$113,0)),"")="À vérifier",IFERROR(INDEX('S3_03-09_AOUT'!$V$3:$V$113,MATCH($A49,'S3_03-09_AOUT'!$A$3:$A$113,0)),"")="À vérifier",IFERROR(INDEX('S4_10-16_AOUT'!$V$3:$V$113,MATCH($A49,'S4_10-16_AOUT'!$A$3:$A$113,0)),"")="À vérifier",IFERROR(INDEX('S5_17-23_AOUT'!$V$3:$V$113,MATCH($A49,'S5_17-23_AOUT'!$A$3:$A$113,0)),"")="À vérifier",IFERROR(INDEX('S6_24-25_AOUT'!$Q$3:$Q$113,MATCH($A49,'S6_24-25_AOUT'!$A$3:$A$113,0)),"")="À vérifier",ABS(L49-T49)&gt;=0.01),"À vérifier","OK"))</f>
        <v>OK</v>
      </c>
    </row>
    <row r="50" spans="1:21">
      <c r="A50" s="12" t="s">
        <v>146</v>
      </c>
      <c r="B50" s="12" t="s">
        <v>147</v>
      </c>
      <c r="C50" s="13" t="s">
        <v>148</v>
      </c>
      <c r="D50" s="12" t="s">
        <v>31</v>
      </c>
      <c r="E50" s="10" t="s">
        <v>123</v>
      </c>
      <c r="F50" s="8">
        <f>IFERROR(SUMIF(S1_26_JUIL!$A$3:$A$113,$A50,S1_26_JUIL!$O$3:$O$113),0)</f>
        <v>0</v>
      </c>
      <c r="G50" s="8">
        <f>IFERROR(SUMIF('S2_27_JUIL-02_AOUT'!$A$3:$A$113,$A50,'S2_27_JUIL-02_AOUT'!$U$3:$U$113),0)</f>
        <v>46.999999999999993</v>
      </c>
      <c r="H50" s="8">
        <f>IFERROR(SUMIF('S3_03-09_AOUT'!$A$3:$A$113,$A50,'S3_03-09_AOUT'!$U$3:$U$113),0)</f>
        <v>0</v>
      </c>
      <c r="I50" s="8">
        <f>IFERROR(SUMIF('S4_10-16_AOUT'!$A$3:$A$113,$A50,'S4_10-16_AOUT'!$U$3:$U$113),0)</f>
        <v>0</v>
      </c>
      <c r="J50" s="8">
        <f>IFERROR(SUMIF('S5_17-23_AOUT'!$A$3:$A$113,$A50,'S5_17-23_AOUT'!$U$3:$U$113),0)</f>
        <v>0</v>
      </c>
      <c r="K50" s="8">
        <f>IFERROR(SUMIF('S6_24-25_AOUT'!$A$3:$A$113,$A50,'S6_24-25_AOUT'!$P$3:$P$113),0)</f>
        <v>0</v>
      </c>
      <c r="L50" s="8">
        <f t="shared" si="2"/>
        <v>46.999999999999993</v>
      </c>
      <c r="M50" s="8">
        <f>IFERROR(SUMIF(S1_26_JUIL!$A$3:$A$113,$A50,S1_26_JUIL!$I$3:$I$113),0)+IFERROR(SUMIF('S2_27_JUIL-02_AOUT'!$A$3:$A$113,$A50,'S2_27_JUIL-02_AOUT'!$O$3:$O$113),0)+IFERROR(SUMIF('S3_03-09_AOUT'!$A$3:$A$113,$A50,'S3_03-09_AOUT'!$O$3:$O$113),0)+IFERROR(SUMIF('S4_10-16_AOUT'!$A$3:$A$113,$A50,'S4_10-16_AOUT'!$O$3:$O$113),0)+IFERROR(SUMIF('S5_17-23_AOUT'!$A$3:$A$113,$A50,'S5_17-23_AOUT'!$O$3:$O$113),0)+IFERROR(SUMIF('S6_24-25_AOUT'!$A$3:$A$113,$A50,'S6_24-25_AOUT'!$J$3:$J$113),0)</f>
        <v>46.999999999999993</v>
      </c>
      <c r="N50" s="9">
        <f>IFERROR(SUMIF(S1_26_JUIL!$A$3:$A$113,$A50,S1_26_JUIL!$J$3:$J$113),0)+IFERROR(SUMIF('S2_27_JUIL-02_AOUT'!$A$3:$A$113,$A50,'S2_27_JUIL-02_AOUT'!$P$3:$P$113),0)+IFERROR(SUMIF('S3_03-09_AOUT'!$A$3:$A$113,$A50,'S3_03-09_AOUT'!$P$3:$P$113),0)+IFERROR(SUMIF('S4_10-16_AOUT'!$A$3:$A$113,$A50,'S4_10-16_AOUT'!$P$3:$P$113),0)+IFERROR(SUMIF('S5_17-23_AOUT'!$A$3:$A$113,$A50,'S5_17-23_AOUT'!$P$3:$P$113),0)+IFERROR(SUMIF('S6_24-25_AOUT'!$A$3:$A$113,$A50,'S6_24-25_AOUT'!$K$3:$K$113),0)</f>
        <v>0</v>
      </c>
      <c r="O50" s="9">
        <f>IFERROR(SUMIF(S1_26_JUIL!$A$3:$A$113,$A50,S1_26_JUIL!$K$3:$K$113),0)+IFERROR(SUMIF('S2_27_JUIL-02_AOUT'!$A$3:$A$113,$A50,'S2_27_JUIL-02_AOUT'!$Q$3:$Q$113),0)+IFERROR(SUMIF('S3_03-09_AOUT'!$A$3:$A$113,$A50,'S3_03-09_AOUT'!$Q$3:$Q$113),0)+IFERROR(SUMIF('S4_10-16_AOUT'!$A$3:$A$113,$A50,'S4_10-16_AOUT'!$Q$3:$Q$113),0)+IFERROR(SUMIF('S5_17-23_AOUT'!$A$3:$A$113,$A50,'S5_17-23_AOUT'!$Q$3:$Q$113),0)+IFERROR(SUMIF('S6_24-25_AOUT'!$A$3:$A$113,$A50,'S6_24-25_AOUT'!$L$3:$L$113),0)</f>
        <v>0</v>
      </c>
      <c r="P50" s="8">
        <f>IFERROR(SUMIF(S1_26_JUIL!$A$3:$A$113,$A50,S1_26_JUIL!$L$3:$L$113),0)+IFERROR(SUMIF('S2_27_JUIL-02_AOUT'!$A$3:$A$113,$A50,'S2_27_JUIL-02_AOUT'!$R$3:$R$113),0)+IFERROR(SUMIF('S3_03-09_AOUT'!$A$3:$A$113,$A50,'S3_03-09_AOUT'!$R$3:$R$113),0)+IFERROR(SUMIF('S4_10-16_AOUT'!$A$3:$A$113,$A50,'S4_10-16_AOUT'!$R$3:$R$113),0)+IFERROR(SUMIF('S5_17-23_AOUT'!$A$3:$A$113,$A50,'S5_17-23_AOUT'!$R$3:$R$113),0)+IFERROR(SUMIF('S6_24-25_AOUT'!$A$3:$A$113,$A50,'S6_24-25_AOUT'!$M$3:$M$113),0)</f>
        <v>0</v>
      </c>
      <c r="Q50" s="8">
        <f>IFERROR(SUMIF(S1_26_JUIL!$A$3:$A$113,$A50,S1_26_JUIL!$M$3:$M$113),0)+IFERROR(SUMIF('S2_27_JUIL-02_AOUT'!$A$3:$A$113,$A50,'S2_27_JUIL-02_AOUT'!$S$3:$S$113),0)+IFERROR(SUMIF('S3_03-09_AOUT'!$A$3:$A$113,$A50,'S3_03-09_AOUT'!$S$3:$S$113),0)+IFERROR(SUMIF('S4_10-16_AOUT'!$A$3:$A$113,$A50,'S4_10-16_AOUT'!$S$3:$S$113),0)+IFERROR(SUMIF('S5_17-23_AOUT'!$A$3:$A$113,$A50,'S5_17-23_AOUT'!$S$3:$S$113),0)+IFERROR(SUMIF('S6_24-25_AOUT'!$A$3:$A$113,$A50,'S6_24-25_AOUT'!$N$3:$N$113),0)</f>
        <v>0</v>
      </c>
      <c r="R50" s="11">
        <f>IFERROR(SUMIF(S1_26_JUIL!$A$3:$A$113,$A50,S1_26_JUIL!$N$3:$N$113),0)+IFERROR(SUMIF('S2_27_JUIL-02_AOUT'!$A$3:$A$113,$A50,'S2_27_JUIL-02_AOUT'!$T$3:$T$113),0)+IFERROR(SUMIF('S3_03-09_AOUT'!$A$3:$A$113,$A50,'S3_03-09_AOUT'!$T$3:$T$113),0)+IFERROR(SUMIF('S4_10-16_AOUT'!$A$3:$A$113,$A50,'S4_10-16_AOUT'!$T$3:$T$113),0)+IFERROR(SUMIF('S5_17-23_AOUT'!$A$3:$A$113,$A50,'S5_17-23_AOUT'!$T$3:$T$113),0)+IFERROR(SUMIF('S6_24-25_AOUT'!$A$3:$A$113,$A50,'S6_24-25_AOUT'!$O$3:$O$113),0)</f>
        <v>0</v>
      </c>
      <c r="S50" s="8">
        <f>208</f>
        <v>208</v>
      </c>
      <c r="T50" s="8">
        <f t="shared" si="3"/>
        <v>46.999999999999993</v>
      </c>
      <c r="U50" s="10" t="str">
        <f>IF(OR(IFERROR(INDEX(S1_26_JUIL!$P$3:$P$113,MATCH($A50,S1_26_JUIL!$A$3:$A$113,0)),"")="STC",IFERROR(INDEX('S2_27_JUIL-02_AOUT'!$V$3:$V$113,MATCH($A50,'S2_27_JUIL-02_AOUT'!$A$3:$A$113,0)),"")="STC",IFERROR(INDEX('S3_03-09_AOUT'!$V$3:$V$113,MATCH($A50,'S3_03-09_AOUT'!$A$3:$A$113,0)),"")="STC",IFERROR(INDEX('S4_10-16_AOUT'!$V$3:$V$113,MATCH($A50,'S4_10-16_AOUT'!$A$3:$A$113,0)),"")="STC",IFERROR(INDEX('S5_17-23_AOUT'!$V$3:$V$113,MATCH($A50,'S5_17-23_AOUT'!$A$3:$A$113,0)),"")="STC",IFERROR(INDEX('S6_24-25_AOUT'!$Q$3:$Q$113,MATCH($A50,'S6_24-25_AOUT'!$A$3:$A$113,0)),"")="STC"),"STC",IF(OR(IFERROR(INDEX(S1_26_JUIL!$P$3:$P$113,MATCH($A50,S1_26_JUIL!$A$3:$A$113,0)),"")="À vérifier",IFERROR(INDEX('S2_27_JUIL-02_AOUT'!$V$3:$V$113,MATCH($A50,'S2_27_JUIL-02_AOUT'!$A$3:$A$113,0)),"")="À vérifier",IFERROR(INDEX('S3_03-09_AOUT'!$V$3:$V$113,MATCH($A50,'S3_03-09_AOUT'!$A$3:$A$113,0)),"")="À vérifier",IFERROR(INDEX('S4_10-16_AOUT'!$V$3:$V$113,MATCH($A50,'S4_10-16_AOUT'!$A$3:$A$113,0)),"")="À vérifier",IFERROR(INDEX('S5_17-23_AOUT'!$V$3:$V$113,MATCH($A50,'S5_17-23_AOUT'!$A$3:$A$113,0)),"")="À vérifier",IFERROR(INDEX('S6_24-25_AOUT'!$Q$3:$Q$113,MATCH($A50,'S6_24-25_AOUT'!$A$3:$A$113,0)),"")="À vérifier",ABS(L50-T50)&gt;=0.01),"À vérifier","OK"))</f>
        <v>OK</v>
      </c>
    </row>
    <row r="51" spans="1:21">
      <c r="A51" s="12" t="s">
        <v>149</v>
      </c>
      <c r="B51" s="12" t="s">
        <v>150</v>
      </c>
      <c r="C51" s="13" t="s">
        <v>151</v>
      </c>
      <c r="D51" s="12" t="s">
        <v>31</v>
      </c>
      <c r="E51" s="10" t="s">
        <v>123</v>
      </c>
      <c r="F51" s="8">
        <f>IFERROR(SUMIF(S1_26_JUIL!$A$3:$A$113,$A51,S1_26_JUIL!$O$3:$O$113),0)</f>
        <v>0</v>
      </c>
      <c r="G51" s="8">
        <f>IFERROR(SUMIF('S2_27_JUIL-02_AOUT'!$A$3:$A$113,$A51,'S2_27_JUIL-02_AOUT'!$U$3:$U$113),0)</f>
        <v>47.5</v>
      </c>
      <c r="H51" s="8">
        <f>IFERROR(SUMIF('S3_03-09_AOUT'!$A$3:$A$113,$A51,'S3_03-09_AOUT'!$U$3:$U$113),0)</f>
        <v>0</v>
      </c>
      <c r="I51" s="8">
        <f>IFERROR(SUMIF('S4_10-16_AOUT'!$A$3:$A$113,$A51,'S4_10-16_AOUT'!$U$3:$U$113),0)</f>
        <v>0</v>
      </c>
      <c r="J51" s="8">
        <f>IFERROR(SUMIF('S5_17-23_AOUT'!$A$3:$A$113,$A51,'S5_17-23_AOUT'!$U$3:$U$113),0)</f>
        <v>0</v>
      </c>
      <c r="K51" s="8">
        <f>IFERROR(SUMIF('S6_24-25_AOUT'!$A$3:$A$113,$A51,'S6_24-25_AOUT'!$P$3:$P$113),0)</f>
        <v>0</v>
      </c>
      <c r="L51" s="8">
        <f t="shared" si="2"/>
        <v>47.5</v>
      </c>
      <c r="M51" s="8">
        <f>IFERROR(SUMIF(S1_26_JUIL!$A$3:$A$113,$A51,S1_26_JUIL!$I$3:$I$113),0)+IFERROR(SUMIF('S2_27_JUIL-02_AOUT'!$A$3:$A$113,$A51,'S2_27_JUIL-02_AOUT'!$O$3:$O$113),0)+IFERROR(SUMIF('S3_03-09_AOUT'!$A$3:$A$113,$A51,'S3_03-09_AOUT'!$O$3:$O$113),0)+IFERROR(SUMIF('S4_10-16_AOUT'!$A$3:$A$113,$A51,'S4_10-16_AOUT'!$O$3:$O$113),0)+IFERROR(SUMIF('S5_17-23_AOUT'!$A$3:$A$113,$A51,'S5_17-23_AOUT'!$O$3:$O$113),0)+IFERROR(SUMIF('S6_24-25_AOUT'!$A$3:$A$113,$A51,'S6_24-25_AOUT'!$J$3:$J$113),0)</f>
        <v>47.5</v>
      </c>
      <c r="N51" s="9">
        <f>IFERROR(SUMIF(S1_26_JUIL!$A$3:$A$113,$A51,S1_26_JUIL!$J$3:$J$113),0)+IFERROR(SUMIF('S2_27_JUIL-02_AOUT'!$A$3:$A$113,$A51,'S2_27_JUIL-02_AOUT'!$P$3:$P$113),0)+IFERROR(SUMIF('S3_03-09_AOUT'!$A$3:$A$113,$A51,'S3_03-09_AOUT'!$P$3:$P$113),0)+IFERROR(SUMIF('S4_10-16_AOUT'!$A$3:$A$113,$A51,'S4_10-16_AOUT'!$P$3:$P$113),0)+IFERROR(SUMIF('S5_17-23_AOUT'!$A$3:$A$113,$A51,'S5_17-23_AOUT'!$P$3:$P$113),0)+IFERROR(SUMIF('S6_24-25_AOUT'!$A$3:$A$113,$A51,'S6_24-25_AOUT'!$K$3:$K$113),0)</f>
        <v>0</v>
      </c>
      <c r="O51" s="9">
        <f>IFERROR(SUMIF(S1_26_JUIL!$A$3:$A$113,$A51,S1_26_JUIL!$K$3:$K$113),0)+IFERROR(SUMIF('S2_27_JUIL-02_AOUT'!$A$3:$A$113,$A51,'S2_27_JUIL-02_AOUT'!$Q$3:$Q$113),0)+IFERROR(SUMIF('S3_03-09_AOUT'!$A$3:$A$113,$A51,'S3_03-09_AOUT'!$Q$3:$Q$113),0)+IFERROR(SUMIF('S4_10-16_AOUT'!$A$3:$A$113,$A51,'S4_10-16_AOUT'!$Q$3:$Q$113),0)+IFERROR(SUMIF('S5_17-23_AOUT'!$A$3:$A$113,$A51,'S5_17-23_AOUT'!$Q$3:$Q$113),0)+IFERROR(SUMIF('S6_24-25_AOUT'!$A$3:$A$113,$A51,'S6_24-25_AOUT'!$L$3:$L$113),0)</f>
        <v>0</v>
      </c>
      <c r="P51" s="8">
        <f>IFERROR(SUMIF(S1_26_JUIL!$A$3:$A$113,$A51,S1_26_JUIL!$L$3:$L$113),0)+IFERROR(SUMIF('S2_27_JUIL-02_AOUT'!$A$3:$A$113,$A51,'S2_27_JUIL-02_AOUT'!$R$3:$R$113),0)+IFERROR(SUMIF('S3_03-09_AOUT'!$A$3:$A$113,$A51,'S3_03-09_AOUT'!$R$3:$R$113),0)+IFERROR(SUMIF('S4_10-16_AOUT'!$A$3:$A$113,$A51,'S4_10-16_AOUT'!$R$3:$R$113),0)+IFERROR(SUMIF('S5_17-23_AOUT'!$A$3:$A$113,$A51,'S5_17-23_AOUT'!$R$3:$R$113),0)+IFERROR(SUMIF('S6_24-25_AOUT'!$A$3:$A$113,$A51,'S6_24-25_AOUT'!$M$3:$M$113),0)</f>
        <v>0</v>
      </c>
      <c r="Q51" s="8">
        <f>IFERROR(SUMIF(S1_26_JUIL!$A$3:$A$113,$A51,S1_26_JUIL!$M$3:$M$113),0)+IFERROR(SUMIF('S2_27_JUIL-02_AOUT'!$A$3:$A$113,$A51,'S2_27_JUIL-02_AOUT'!$S$3:$S$113),0)+IFERROR(SUMIF('S3_03-09_AOUT'!$A$3:$A$113,$A51,'S3_03-09_AOUT'!$S$3:$S$113),0)+IFERROR(SUMIF('S4_10-16_AOUT'!$A$3:$A$113,$A51,'S4_10-16_AOUT'!$S$3:$S$113),0)+IFERROR(SUMIF('S5_17-23_AOUT'!$A$3:$A$113,$A51,'S5_17-23_AOUT'!$S$3:$S$113),0)+IFERROR(SUMIF('S6_24-25_AOUT'!$A$3:$A$113,$A51,'S6_24-25_AOUT'!$N$3:$N$113),0)</f>
        <v>0</v>
      </c>
      <c r="R51" s="11">
        <f>IFERROR(SUMIF(S1_26_JUIL!$A$3:$A$113,$A51,S1_26_JUIL!$N$3:$N$113),0)+IFERROR(SUMIF('S2_27_JUIL-02_AOUT'!$A$3:$A$113,$A51,'S2_27_JUIL-02_AOUT'!$T$3:$T$113),0)+IFERROR(SUMIF('S3_03-09_AOUT'!$A$3:$A$113,$A51,'S3_03-09_AOUT'!$T$3:$T$113),0)+IFERROR(SUMIF('S4_10-16_AOUT'!$A$3:$A$113,$A51,'S4_10-16_AOUT'!$T$3:$T$113),0)+IFERROR(SUMIF('S5_17-23_AOUT'!$A$3:$A$113,$A51,'S5_17-23_AOUT'!$T$3:$T$113),0)+IFERROR(SUMIF('S6_24-25_AOUT'!$A$3:$A$113,$A51,'S6_24-25_AOUT'!$O$3:$O$113),0)</f>
        <v>0</v>
      </c>
      <c r="S51" s="8">
        <f>208</f>
        <v>208</v>
      </c>
      <c r="T51" s="8">
        <f t="shared" si="3"/>
        <v>47.5</v>
      </c>
      <c r="U51" s="10" t="str">
        <f>IF(OR(IFERROR(INDEX(S1_26_JUIL!$P$3:$P$113,MATCH($A51,S1_26_JUIL!$A$3:$A$113,0)),"")="STC",IFERROR(INDEX('S2_27_JUIL-02_AOUT'!$V$3:$V$113,MATCH($A51,'S2_27_JUIL-02_AOUT'!$A$3:$A$113,0)),"")="STC",IFERROR(INDEX('S3_03-09_AOUT'!$V$3:$V$113,MATCH($A51,'S3_03-09_AOUT'!$A$3:$A$113,0)),"")="STC",IFERROR(INDEX('S4_10-16_AOUT'!$V$3:$V$113,MATCH($A51,'S4_10-16_AOUT'!$A$3:$A$113,0)),"")="STC",IFERROR(INDEX('S5_17-23_AOUT'!$V$3:$V$113,MATCH($A51,'S5_17-23_AOUT'!$A$3:$A$113,0)),"")="STC",IFERROR(INDEX('S6_24-25_AOUT'!$Q$3:$Q$113,MATCH($A51,'S6_24-25_AOUT'!$A$3:$A$113,0)),"")="STC"),"STC",IF(OR(IFERROR(INDEX(S1_26_JUIL!$P$3:$P$113,MATCH($A51,S1_26_JUIL!$A$3:$A$113,0)),"")="À vérifier",IFERROR(INDEX('S2_27_JUIL-02_AOUT'!$V$3:$V$113,MATCH($A51,'S2_27_JUIL-02_AOUT'!$A$3:$A$113,0)),"")="À vérifier",IFERROR(INDEX('S3_03-09_AOUT'!$V$3:$V$113,MATCH($A51,'S3_03-09_AOUT'!$A$3:$A$113,0)),"")="À vérifier",IFERROR(INDEX('S4_10-16_AOUT'!$V$3:$V$113,MATCH($A51,'S4_10-16_AOUT'!$A$3:$A$113,0)),"")="À vérifier",IFERROR(INDEX('S5_17-23_AOUT'!$V$3:$V$113,MATCH($A51,'S5_17-23_AOUT'!$A$3:$A$113,0)),"")="À vérifier",IFERROR(INDEX('S6_24-25_AOUT'!$Q$3:$Q$113,MATCH($A51,'S6_24-25_AOUT'!$A$3:$A$113,0)),"")="À vérifier",ABS(L51-T51)&gt;=0.01),"À vérifier","OK"))</f>
        <v>OK</v>
      </c>
    </row>
    <row r="52" spans="1:21">
      <c r="A52" s="12" t="s">
        <v>114</v>
      </c>
      <c r="B52" s="12" t="s">
        <v>150</v>
      </c>
      <c r="C52" s="13" t="s">
        <v>152</v>
      </c>
      <c r="D52" s="12" t="s">
        <v>31</v>
      </c>
      <c r="E52" s="10" t="s">
        <v>123</v>
      </c>
      <c r="F52" s="8">
        <f>IFERROR(SUMIF(S1_26_JUIL!$A$3:$A$113,$A52,S1_26_JUIL!$O$3:$O$113),0)</f>
        <v>0</v>
      </c>
      <c r="G52" s="8">
        <f>IFERROR(SUMIF('S2_27_JUIL-02_AOUT'!$A$3:$A$113,$A52,'S2_27_JUIL-02_AOUT'!$U$3:$U$113),0)</f>
        <v>85.5</v>
      </c>
      <c r="H52" s="8">
        <f>IFERROR(SUMIF('S3_03-09_AOUT'!$A$3:$A$113,$A52,'S3_03-09_AOUT'!$U$3:$U$113),0)</f>
        <v>0</v>
      </c>
      <c r="I52" s="8">
        <f>IFERROR(SUMIF('S4_10-16_AOUT'!$A$3:$A$113,$A52,'S4_10-16_AOUT'!$U$3:$U$113),0)</f>
        <v>0</v>
      </c>
      <c r="J52" s="8">
        <f>IFERROR(SUMIF('S5_17-23_AOUT'!$A$3:$A$113,$A52,'S5_17-23_AOUT'!$U$3:$U$113),0)</f>
        <v>0</v>
      </c>
      <c r="K52" s="8">
        <f>IFERROR(SUMIF('S6_24-25_AOUT'!$A$3:$A$113,$A52,'S6_24-25_AOUT'!$P$3:$P$113),0)</f>
        <v>0</v>
      </c>
      <c r="L52" s="8">
        <f t="shared" si="2"/>
        <v>85.5</v>
      </c>
      <c r="M52" s="8">
        <f>IFERROR(SUMIF(S1_26_JUIL!$A$3:$A$113,$A52,S1_26_JUIL!$I$3:$I$113),0)+IFERROR(SUMIF('S2_27_JUIL-02_AOUT'!$A$3:$A$113,$A52,'S2_27_JUIL-02_AOUT'!$O$3:$O$113),0)+IFERROR(SUMIF('S3_03-09_AOUT'!$A$3:$A$113,$A52,'S3_03-09_AOUT'!$O$3:$O$113),0)+IFERROR(SUMIF('S4_10-16_AOUT'!$A$3:$A$113,$A52,'S4_10-16_AOUT'!$O$3:$O$113),0)+IFERROR(SUMIF('S5_17-23_AOUT'!$A$3:$A$113,$A52,'S5_17-23_AOUT'!$O$3:$O$113),0)+IFERROR(SUMIF('S6_24-25_AOUT'!$A$3:$A$113,$A52,'S6_24-25_AOUT'!$J$3:$J$113),0)</f>
        <v>85.5</v>
      </c>
      <c r="N52" s="9">
        <f>IFERROR(SUMIF(S1_26_JUIL!$A$3:$A$113,$A52,S1_26_JUIL!$J$3:$J$113),0)+IFERROR(SUMIF('S2_27_JUIL-02_AOUT'!$A$3:$A$113,$A52,'S2_27_JUIL-02_AOUT'!$P$3:$P$113),0)+IFERROR(SUMIF('S3_03-09_AOUT'!$A$3:$A$113,$A52,'S3_03-09_AOUT'!$P$3:$P$113),0)+IFERROR(SUMIF('S4_10-16_AOUT'!$A$3:$A$113,$A52,'S4_10-16_AOUT'!$P$3:$P$113),0)+IFERROR(SUMIF('S5_17-23_AOUT'!$A$3:$A$113,$A52,'S5_17-23_AOUT'!$P$3:$P$113),0)+IFERROR(SUMIF('S6_24-25_AOUT'!$A$3:$A$113,$A52,'S6_24-25_AOUT'!$K$3:$K$113),0)</f>
        <v>0</v>
      </c>
      <c r="O52" s="9">
        <f>IFERROR(SUMIF(S1_26_JUIL!$A$3:$A$113,$A52,S1_26_JUIL!$K$3:$K$113),0)+IFERROR(SUMIF('S2_27_JUIL-02_AOUT'!$A$3:$A$113,$A52,'S2_27_JUIL-02_AOUT'!$Q$3:$Q$113),0)+IFERROR(SUMIF('S3_03-09_AOUT'!$A$3:$A$113,$A52,'S3_03-09_AOUT'!$Q$3:$Q$113),0)+IFERROR(SUMIF('S4_10-16_AOUT'!$A$3:$A$113,$A52,'S4_10-16_AOUT'!$Q$3:$Q$113),0)+IFERROR(SUMIF('S5_17-23_AOUT'!$A$3:$A$113,$A52,'S5_17-23_AOUT'!$Q$3:$Q$113),0)+IFERROR(SUMIF('S6_24-25_AOUT'!$A$3:$A$113,$A52,'S6_24-25_AOUT'!$L$3:$L$113),0)</f>
        <v>0</v>
      </c>
      <c r="P52" s="8">
        <f>IFERROR(SUMIF(S1_26_JUIL!$A$3:$A$113,$A52,S1_26_JUIL!$L$3:$L$113),0)+IFERROR(SUMIF('S2_27_JUIL-02_AOUT'!$A$3:$A$113,$A52,'S2_27_JUIL-02_AOUT'!$R$3:$R$113),0)+IFERROR(SUMIF('S3_03-09_AOUT'!$A$3:$A$113,$A52,'S3_03-09_AOUT'!$R$3:$R$113),0)+IFERROR(SUMIF('S4_10-16_AOUT'!$A$3:$A$113,$A52,'S4_10-16_AOUT'!$R$3:$R$113),0)+IFERROR(SUMIF('S5_17-23_AOUT'!$A$3:$A$113,$A52,'S5_17-23_AOUT'!$R$3:$R$113),0)+IFERROR(SUMIF('S6_24-25_AOUT'!$A$3:$A$113,$A52,'S6_24-25_AOUT'!$M$3:$M$113),0)</f>
        <v>0</v>
      </c>
      <c r="Q52" s="8">
        <f>IFERROR(SUMIF(S1_26_JUIL!$A$3:$A$113,$A52,S1_26_JUIL!$M$3:$M$113),0)+IFERROR(SUMIF('S2_27_JUIL-02_AOUT'!$A$3:$A$113,$A52,'S2_27_JUIL-02_AOUT'!$S$3:$S$113),0)+IFERROR(SUMIF('S3_03-09_AOUT'!$A$3:$A$113,$A52,'S3_03-09_AOUT'!$S$3:$S$113),0)+IFERROR(SUMIF('S4_10-16_AOUT'!$A$3:$A$113,$A52,'S4_10-16_AOUT'!$S$3:$S$113),0)+IFERROR(SUMIF('S5_17-23_AOUT'!$A$3:$A$113,$A52,'S5_17-23_AOUT'!$S$3:$S$113),0)+IFERROR(SUMIF('S6_24-25_AOUT'!$A$3:$A$113,$A52,'S6_24-25_AOUT'!$N$3:$N$113),0)</f>
        <v>1</v>
      </c>
      <c r="R52" s="11">
        <f>IFERROR(SUMIF(S1_26_JUIL!$A$3:$A$113,$A52,S1_26_JUIL!$N$3:$N$113),0)+IFERROR(SUMIF('S2_27_JUIL-02_AOUT'!$A$3:$A$113,$A52,'S2_27_JUIL-02_AOUT'!$T$3:$T$113),0)+IFERROR(SUMIF('S3_03-09_AOUT'!$A$3:$A$113,$A52,'S3_03-09_AOUT'!$T$3:$T$113),0)+IFERROR(SUMIF('S4_10-16_AOUT'!$A$3:$A$113,$A52,'S4_10-16_AOUT'!$T$3:$T$113),0)+IFERROR(SUMIF('S5_17-23_AOUT'!$A$3:$A$113,$A52,'S5_17-23_AOUT'!$T$3:$T$113),0)+IFERROR(SUMIF('S6_24-25_AOUT'!$A$3:$A$113,$A52,'S6_24-25_AOUT'!$O$3:$O$113),0)</f>
        <v>0</v>
      </c>
      <c r="S52" s="8">
        <f>208</f>
        <v>208</v>
      </c>
      <c r="T52" s="8">
        <f t="shared" si="3"/>
        <v>85.5</v>
      </c>
      <c r="U52" s="10" t="str">
        <f>IF(OR(IFERROR(INDEX(S1_26_JUIL!$P$3:$P$113,MATCH($A52,S1_26_JUIL!$A$3:$A$113,0)),"")="STC",IFERROR(INDEX('S2_27_JUIL-02_AOUT'!$V$3:$V$113,MATCH($A52,'S2_27_JUIL-02_AOUT'!$A$3:$A$113,0)),"")="STC",IFERROR(INDEX('S3_03-09_AOUT'!$V$3:$V$113,MATCH($A52,'S3_03-09_AOUT'!$A$3:$A$113,0)),"")="STC",IFERROR(INDEX('S4_10-16_AOUT'!$V$3:$V$113,MATCH($A52,'S4_10-16_AOUT'!$A$3:$A$113,0)),"")="STC",IFERROR(INDEX('S5_17-23_AOUT'!$V$3:$V$113,MATCH($A52,'S5_17-23_AOUT'!$A$3:$A$113,0)),"")="STC",IFERROR(INDEX('S6_24-25_AOUT'!$Q$3:$Q$113,MATCH($A52,'S6_24-25_AOUT'!$A$3:$A$113,0)),"")="STC"),"STC",IF(OR(IFERROR(INDEX(S1_26_JUIL!$P$3:$P$113,MATCH($A52,S1_26_JUIL!$A$3:$A$113,0)),"")="À vérifier",IFERROR(INDEX('S2_27_JUIL-02_AOUT'!$V$3:$V$113,MATCH($A52,'S2_27_JUIL-02_AOUT'!$A$3:$A$113,0)),"")="À vérifier",IFERROR(INDEX('S3_03-09_AOUT'!$V$3:$V$113,MATCH($A52,'S3_03-09_AOUT'!$A$3:$A$113,0)),"")="À vérifier",IFERROR(INDEX('S4_10-16_AOUT'!$V$3:$V$113,MATCH($A52,'S4_10-16_AOUT'!$A$3:$A$113,0)),"")="À vérifier",IFERROR(INDEX('S5_17-23_AOUT'!$V$3:$V$113,MATCH($A52,'S5_17-23_AOUT'!$A$3:$A$113,0)),"")="À vérifier",IFERROR(INDEX('S6_24-25_AOUT'!$Q$3:$Q$113,MATCH($A52,'S6_24-25_AOUT'!$A$3:$A$113,0)),"")="À vérifier",ABS(L52-T52)&gt;=0.01),"À vérifier","OK"))</f>
        <v>OK</v>
      </c>
    </row>
    <row r="53" spans="1:21">
      <c r="A53" s="12">
        <v>177</v>
      </c>
      <c r="B53" s="12" t="s">
        <v>153</v>
      </c>
      <c r="C53" s="13" t="s">
        <v>154</v>
      </c>
      <c r="D53" s="12" t="s">
        <v>31</v>
      </c>
      <c r="E53" s="10" t="s">
        <v>123</v>
      </c>
      <c r="F53" s="8">
        <f>IFERROR(SUMIF(S1_26_JUIL!$A$3:$A$113,$A53,S1_26_JUIL!$O$3:$O$113),0)</f>
        <v>0</v>
      </c>
      <c r="G53" s="8">
        <f>IFERROR(SUMIF('S2_27_JUIL-02_AOUT'!$A$3:$A$113,$A53,'S2_27_JUIL-02_AOUT'!$U$3:$U$113),0)</f>
        <v>26.499999999999996</v>
      </c>
      <c r="H53" s="8">
        <f>IFERROR(SUMIF('S3_03-09_AOUT'!$A$3:$A$113,$A53,'S3_03-09_AOUT'!$U$3:$U$113),0)</f>
        <v>0</v>
      </c>
      <c r="I53" s="8">
        <f>IFERROR(SUMIF('S4_10-16_AOUT'!$A$3:$A$113,$A53,'S4_10-16_AOUT'!$U$3:$U$113),0)</f>
        <v>0</v>
      </c>
      <c r="J53" s="8">
        <f>IFERROR(SUMIF('S5_17-23_AOUT'!$A$3:$A$113,$A53,'S5_17-23_AOUT'!$U$3:$U$113),0)</f>
        <v>0</v>
      </c>
      <c r="K53" s="8">
        <f>IFERROR(SUMIF('S6_24-25_AOUT'!$A$3:$A$113,$A53,'S6_24-25_AOUT'!$P$3:$P$113),0)</f>
        <v>0</v>
      </c>
      <c r="L53" s="8">
        <f t="shared" si="2"/>
        <v>26.499999999999996</v>
      </c>
      <c r="M53" s="8">
        <f>IFERROR(SUMIF(S1_26_JUIL!$A$3:$A$113,$A53,S1_26_JUIL!$I$3:$I$113),0)+IFERROR(SUMIF('S2_27_JUIL-02_AOUT'!$A$3:$A$113,$A53,'S2_27_JUIL-02_AOUT'!$O$3:$O$113),0)+IFERROR(SUMIF('S3_03-09_AOUT'!$A$3:$A$113,$A53,'S3_03-09_AOUT'!$O$3:$O$113),0)+IFERROR(SUMIF('S4_10-16_AOUT'!$A$3:$A$113,$A53,'S4_10-16_AOUT'!$O$3:$O$113),0)+IFERROR(SUMIF('S5_17-23_AOUT'!$A$3:$A$113,$A53,'S5_17-23_AOUT'!$O$3:$O$113),0)+IFERROR(SUMIF('S6_24-25_AOUT'!$A$3:$A$113,$A53,'S6_24-25_AOUT'!$J$3:$J$113),0)</f>
        <v>26.499999999999996</v>
      </c>
      <c r="N53" s="9">
        <f>IFERROR(SUMIF(S1_26_JUIL!$A$3:$A$113,$A53,S1_26_JUIL!$J$3:$J$113),0)+IFERROR(SUMIF('S2_27_JUIL-02_AOUT'!$A$3:$A$113,$A53,'S2_27_JUIL-02_AOUT'!$P$3:$P$113),0)+IFERROR(SUMIF('S3_03-09_AOUT'!$A$3:$A$113,$A53,'S3_03-09_AOUT'!$P$3:$P$113),0)+IFERROR(SUMIF('S4_10-16_AOUT'!$A$3:$A$113,$A53,'S4_10-16_AOUT'!$P$3:$P$113),0)+IFERROR(SUMIF('S5_17-23_AOUT'!$A$3:$A$113,$A53,'S5_17-23_AOUT'!$P$3:$P$113),0)+IFERROR(SUMIF('S6_24-25_AOUT'!$A$3:$A$113,$A53,'S6_24-25_AOUT'!$K$3:$K$113),0)</f>
        <v>0</v>
      </c>
      <c r="O53" s="9">
        <f>IFERROR(SUMIF(S1_26_JUIL!$A$3:$A$113,$A53,S1_26_JUIL!$K$3:$K$113),0)+IFERROR(SUMIF('S2_27_JUIL-02_AOUT'!$A$3:$A$113,$A53,'S2_27_JUIL-02_AOUT'!$Q$3:$Q$113),0)+IFERROR(SUMIF('S3_03-09_AOUT'!$A$3:$A$113,$A53,'S3_03-09_AOUT'!$Q$3:$Q$113),0)+IFERROR(SUMIF('S4_10-16_AOUT'!$A$3:$A$113,$A53,'S4_10-16_AOUT'!$Q$3:$Q$113),0)+IFERROR(SUMIF('S5_17-23_AOUT'!$A$3:$A$113,$A53,'S5_17-23_AOUT'!$Q$3:$Q$113),0)+IFERROR(SUMIF('S6_24-25_AOUT'!$A$3:$A$113,$A53,'S6_24-25_AOUT'!$L$3:$L$113),0)</f>
        <v>0</v>
      </c>
      <c r="P53" s="8">
        <f>IFERROR(SUMIF(S1_26_JUIL!$A$3:$A$113,$A53,S1_26_JUIL!$L$3:$L$113),0)+IFERROR(SUMIF('S2_27_JUIL-02_AOUT'!$A$3:$A$113,$A53,'S2_27_JUIL-02_AOUT'!$R$3:$R$113),0)+IFERROR(SUMIF('S3_03-09_AOUT'!$A$3:$A$113,$A53,'S3_03-09_AOUT'!$R$3:$R$113),0)+IFERROR(SUMIF('S4_10-16_AOUT'!$A$3:$A$113,$A53,'S4_10-16_AOUT'!$R$3:$R$113),0)+IFERROR(SUMIF('S5_17-23_AOUT'!$A$3:$A$113,$A53,'S5_17-23_AOUT'!$R$3:$R$113),0)+IFERROR(SUMIF('S6_24-25_AOUT'!$A$3:$A$113,$A53,'S6_24-25_AOUT'!$M$3:$M$113),0)</f>
        <v>2</v>
      </c>
      <c r="Q53" s="8">
        <f>IFERROR(SUMIF(S1_26_JUIL!$A$3:$A$113,$A53,S1_26_JUIL!$M$3:$M$113),0)+IFERROR(SUMIF('S2_27_JUIL-02_AOUT'!$A$3:$A$113,$A53,'S2_27_JUIL-02_AOUT'!$S$3:$S$113),0)+IFERROR(SUMIF('S3_03-09_AOUT'!$A$3:$A$113,$A53,'S3_03-09_AOUT'!$S$3:$S$113),0)+IFERROR(SUMIF('S4_10-16_AOUT'!$A$3:$A$113,$A53,'S4_10-16_AOUT'!$S$3:$S$113),0)+IFERROR(SUMIF('S5_17-23_AOUT'!$A$3:$A$113,$A53,'S5_17-23_AOUT'!$S$3:$S$113),0)+IFERROR(SUMIF('S6_24-25_AOUT'!$A$3:$A$113,$A53,'S6_24-25_AOUT'!$N$3:$N$113),0)</f>
        <v>0</v>
      </c>
      <c r="R53" s="11">
        <f>IFERROR(SUMIF(S1_26_JUIL!$A$3:$A$113,$A53,S1_26_JUIL!$N$3:$N$113),0)+IFERROR(SUMIF('S2_27_JUIL-02_AOUT'!$A$3:$A$113,$A53,'S2_27_JUIL-02_AOUT'!$T$3:$T$113),0)+IFERROR(SUMIF('S3_03-09_AOUT'!$A$3:$A$113,$A53,'S3_03-09_AOUT'!$T$3:$T$113),0)+IFERROR(SUMIF('S4_10-16_AOUT'!$A$3:$A$113,$A53,'S4_10-16_AOUT'!$T$3:$T$113),0)+IFERROR(SUMIF('S5_17-23_AOUT'!$A$3:$A$113,$A53,'S5_17-23_AOUT'!$T$3:$T$113),0)+IFERROR(SUMIF('S6_24-25_AOUT'!$A$3:$A$113,$A53,'S6_24-25_AOUT'!$O$3:$O$113),0)</f>
        <v>0</v>
      </c>
      <c r="S53" s="8">
        <f>208</f>
        <v>208</v>
      </c>
      <c r="T53" s="8">
        <f t="shared" si="3"/>
        <v>26.499999999999996</v>
      </c>
      <c r="U53" s="10" t="str">
        <f>IF(OR(IFERROR(INDEX(S1_26_JUIL!$P$3:$P$113,MATCH($A53,S1_26_JUIL!$A$3:$A$113,0)),"")="STC",IFERROR(INDEX('S2_27_JUIL-02_AOUT'!$V$3:$V$113,MATCH($A53,'S2_27_JUIL-02_AOUT'!$A$3:$A$113,0)),"")="STC",IFERROR(INDEX('S3_03-09_AOUT'!$V$3:$V$113,MATCH($A53,'S3_03-09_AOUT'!$A$3:$A$113,0)),"")="STC",IFERROR(INDEX('S4_10-16_AOUT'!$V$3:$V$113,MATCH($A53,'S4_10-16_AOUT'!$A$3:$A$113,0)),"")="STC",IFERROR(INDEX('S5_17-23_AOUT'!$V$3:$V$113,MATCH($A53,'S5_17-23_AOUT'!$A$3:$A$113,0)),"")="STC",IFERROR(INDEX('S6_24-25_AOUT'!$Q$3:$Q$113,MATCH($A53,'S6_24-25_AOUT'!$A$3:$A$113,0)),"")="STC"),"STC",IF(OR(IFERROR(INDEX(S1_26_JUIL!$P$3:$P$113,MATCH($A53,S1_26_JUIL!$A$3:$A$113,0)),"")="À vérifier",IFERROR(INDEX('S2_27_JUIL-02_AOUT'!$V$3:$V$113,MATCH($A53,'S2_27_JUIL-02_AOUT'!$A$3:$A$113,0)),"")="À vérifier",IFERROR(INDEX('S3_03-09_AOUT'!$V$3:$V$113,MATCH($A53,'S3_03-09_AOUT'!$A$3:$A$113,0)),"")="À vérifier",IFERROR(INDEX('S4_10-16_AOUT'!$V$3:$V$113,MATCH($A53,'S4_10-16_AOUT'!$A$3:$A$113,0)),"")="À vérifier",IFERROR(INDEX('S5_17-23_AOUT'!$V$3:$V$113,MATCH($A53,'S5_17-23_AOUT'!$A$3:$A$113,0)),"")="À vérifier",IFERROR(INDEX('S6_24-25_AOUT'!$Q$3:$Q$113,MATCH($A53,'S6_24-25_AOUT'!$A$3:$A$113,0)),"")="À vérifier",ABS(L53-T53)&gt;=0.01),"À vérifier","OK"))</f>
        <v>OK</v>
      </c>
    </row>
    <row r="54" spans="1:21">
      <c r="A54" s="12" t="s">
        <v>155</v>
      </c>
      <c r="B54" s="12" t="s">
        <v>156</v>
      </c>
      <c r="C54" s="13" t="s">
        <v>154</v>
      </c>
      <c r="D54" s="12" t="s">
        <v>31</v>
      </c>
      <c r="E54" s="10" t="s">
        <v>123</v>
      </c>
      <c r="F54" s="8">
        <f>IFERROR(SUMIF(S1_26_JUIL!$A$3:$A$113,$A54,S1_26_JUIL!$O$3:$O$113),0)</f>
        <v>0</v>
      </c>
      <c r="G54" s="8">
        <f>IFERROR(SUMIF('S2_27_JUIL-02_AOUT'!$A$3:$A$113,$A54,'S2_27_JUIL-02_AOUT'!$U$3:$U$113),0)</f>
        <v>47.5</v>
      </c>
      <c r="H54" s="8">
        <f>IFERROR(SUMIF('S3_03-09_AOUT'!$A$3:$A$113,$A54,'S3_03-09_AOUT'!$U$3:$U$113),0)</f>
        <v>0</v>
      </c>
      <c r="I54" s="8">
        <f>IFERROR(SUMIF('S4_10-16_AOUT'!$A$3:$A$113,$A54,'S4_10-16_AOUT'!$U$3:$U$113),0)</f>
        <v>0</v>
      </c>
      <c r="J54" s="8">
        <f>IFERROR(SUMIF('S5_17-23_AOUT'!$A$3:$A$113,$A54,'S5_17-23_AOUT'!$U$3:$U$113),0)</f>
        <v>0</v>
      </c>
      <c r="K54" s="8">
        <f>IFERROR(SUMIF('S6_24-25_AOUT'!$A$3:$A$113,$A54,'S6_24-25_AOUT'!$P$3:$P$113),0)</f>
        <v>0</v>
      </c>
      <c r="L54" s="8">
        <f t="shared" si="2"/>
        <v>47.5</v>
      </c>
      <c r="M54" s="8">
        <f>IFERROR(SUMIF(S1_26_JUIL!$A$3:$A$113,$A54,S1_26_JUIL!$I$3:$I$113),0)+IFERROR(SUMIF('S2_27_JUIL-02_AOUT'!$A$3:$A$113,$A54,'S2_27_JUIL-02_AOUT'!$O$3:$O$113),0)+IFERROR(SUMIF('S3_03-09_AOUT'!$A$3:$A$113,$A54,'S3_03-09_AOUT'!$O$3:$O$113),0)+IFERROR(SUMIF('S4_10-16_AOUT'!$A$3:$A$113,$A54,'S4_10-16_AOUT'!$O$3:$O$113),0)+IFERROR(SUMIF('S5_17-23_AOUT'!$A$3:$A$113,$A54,'S5_17-23_AOUT'!$O$3:$O$113),0)+IFERROR(SUMIF('S6_24-25_AOUT'!$A$3:$A$113,$A54,'S6_24-25_AOUT'!$J$3:$J$113),0)</f>
        <v>47.5</v>
      </c>
      <c r="N54" s="9">
        <f>IFERROR(SUMIF(S1_26_JUIL!$A$3:$A$113,$A54,S1_26_JUIL!$J$3:$J$113),0)+IFERROR(SUMIF('S2_27_JUIL-02_AOUT'!$A$3:$A$113,$A54,'S2_27_JUIL-02_AOUT'!$P$3:$P$113),0)+IFERROR(SUMIF('S3_03-09_AOUT'!$A$3:$A$113,$A54,'S3_03-09_AOUT'!$P$3:$P$113),0)+IFERROR(SUMIF('S4_10-16_AOUT'!$A$3:$A$113,$A54,'S4_10-16_AOUT'!$P$3:$P$113),0)+IFERROR(SUMIF('S5_17-23_AOUT'!$A$3:$A$113,$A54,'S5_17-23_AOUT'!$P$3:$P$113),0)+IFERROR(SUMIF('S6_24-25_AOUT'!$A$3:$A$113,$A54,'S6_24-25_AOUT'!$K$3:$K$113),0)</f>
        <v>0</v>
      </c>
      <c r="O54" s="9">
        <f>IFERROR(SUMIF(S1_26_JUIL!$A$3:$A$113,$A54,S1_26_JUIL!$K$3:$K$113),0)+IFERROR(SUMIF('S2_27_JUIL-02_AOUT'!$A$3:$A$113,$A54,'S2_27_JUIL-02_AOUT'!$Q$3:$Q$113),0)+IFERROR(SUMIF('S3_03-09_AOUT'!$A$3:$A$113,$A54,'S3_03-09_AOUT'!$Q$3:$Q$113),0)+IFERROR(SUMIF('S4_10-16_AOUT'!$A$3:$A$113,$A54,'S4_10-16_AOUT'!$Q$3:$Q$113),0)+IFERROR(SUMIF('S5_17-23_AOUT'!$A$3:$A$113,$A54,'S5_17-23_AOUT'!$Q$3:$Q$113),0)+IFERROR(SUMIF('S6_24-25_AOUT'!$A$3:$A$113,$A54,'S6_24-25_AOUT'!$L$3:$L$113),0)</f>
        <v>0</v>
      </c>
      <c r="P54" s="8">
        <f>IFERROR(SUMIF(S1_26_JUIL!$A$3:$A$113,$A54,S1_26_JUIL!$L$3:$L$113),0)+IFERROR(SUMIF('S2_27_JUIL-02_AOUT'!$A$3:$A$113,$A54,'S2_27_JUIL-02_AOUT'!$R$3:$R$113),0)+IFERROR(SUMIF('S3_03-09_AOUT'!$A$3:$A$113,$A54,'S3_03-09_AOUT'!$R$3:$R$113),0)+IFERROR(SUMIF('S4_10-16_AOUT'!$A$3:$A$113,$A54,'S4_10-16_AOUT'!$R$3:$R$113),0)+IFERROR(SUMIF('S5_17-23_AOUT'!$A$3:$A$113,$A54,'S5_17-23_AOUT'!$R$3:$R$113),0)+IFERROR(SUMIF('S6_24-25_AOUT'!$A$3:$A$113,$A54,'S6_24-25_AOUT'!$M$3:$M$113),0)</f>
        <v>0</v>
      </c>
      <c r="Q54" s="8">
        <f>IFERROR(SUMIF(S1_26_JUIL!$A$3:$A$113,$A54,S1_26_JUIL!$M$3:$M$113),0)+IFERROR(SUMIF('S2_27_JUIL-02_AOUT'!$A$3:$A$113,$A54,'S2_27_JUIL-02_AOUT'!$S$3:$S$113),0)+IFERROR(SUMIF('S3_03-09_AOUT'!$A$3:$A$113,$A54,'S3_03-09_AOUT'!$S$3:$S$113),0)+IFERROR(SUMIF('S4_10-16_AOUT'!$A$3:$A$113,$A54,'S4_10-16_AOUT'!$S$3:$S$113),0)+IFERROR(SUMIF('S5_17-23_AOUT'!$A$3:$A$113,$A54,'S5_17-23_AOUT'!$S$3:$S$113),0)+IFERROR(SUMIF('S6_24-25_AOUT'!$A$3:$A$113,$A54,'S6_24-25_AOUT'!$N$3:$N$113),0)</f>
        <v>0</v>
      </c>
      <c r="R54" s="11">
        <f>IFERROR(SUMIF(S1_26_JUIL!$A$3:$A$113,$A54,S1_26_JUIL!$N$3:$N$113),0)+IFERROR(SUMIF('S2_27_JUIL-02_AOUT'!$A$3:$A$113,$A54,'S2_27_JUIL-02_AOUT'!$T$3:$T$113),0)+IFERROR(SUMIF('S3_03-09_AOUT'!$A$3:$A$113,$A54,'S3_03-09_AOUT'!$T$3:$T$113),0)+IFERROR(SUMIF('S4_10-16_AOUT'!$A$3:$A$113,$A54,'S4_10-16_AOUT'!$T$3:$T$113),0)+IFERROR(SUMIF('S5_17-23_AOUT'!$A$3:$A$113,$A54,'S5_17-23_AOUT'!$T$3:$T$113),0)+IFERROR(SUMIF('S6_24-25_AOUT'!$A$3:$A$113,$A54,'S6_24-25_AOUT'!$O$3:$O$113),0)</f>
        <v>0</v>
      </c>
      <c r="S54" s="8">
        <f>208</f>
        <v>208</v>
      </c>
      <c r="T54" s="8">
        <f t="shared" si="3"/>
        <v>47.5</v>
      </c>
      <c r="U54" s="10" t="str">
        <f>IF(OR(IFERROR(INDEX(S1_26_JUIL!$P$3:$P$113,MATCH($A54,S1_26_JUIL!$A$3:$A$113,0)),"")="STC",IFERROR(INDEX('S2_27_JUIL-02_AOUT'!$V$3:$V$113,MATCH($A54,'S2_27_JUIL-02_AOUT'!$A$3:$A$113,0)),"")="STC",IFERROR(INDEX('S3_03-09_AOUT'!$V$3:$V$113,MATCH($A54,'S3_03-09_AOUT'!$A$3:$A$113,0)),"")="STC",IFERROR(INDEX('S4_10-16_AOUT'!$V$3:$V$113,MATCH($A54,'S4_10-16_AOUT'!$A$3:$A$113,0)),"")="STC",IFERROR(INDEX('S5_17-23_AOUT'!$V$3:$V$113,MATCH($A54,'S5_17-23_AOUT'!$A$3:$A$113,0)),"")="STC",IFERROR(INDEX('S6_24-25_AOUT'!$Q$3:$Q$113,MATCH($A54,'S6_24-25_AOUT'!$A$3:$A$113,0)),"")="STC"),"STC",IF(OR(IFERROR(INDEX(S1_26_JUIL!$P$3:$P$113,MATCH($A54,S1_26_JUIL!$A$3:$A$113,0)),"")="À vérifier",IFERROR(INDEX('S2_27_JUIL-02_AOUT'!$V$3:$V$113,MATCH($A54,'S2_27_JUIL-02_AOUT'!$A$3:$A$113,0)),"")="À vérifier",IFERROR(INDEX('S3_03-09_AOUT'!$V$3:$V$113,MATCH($A54,'S3_03-09_AOUT'!$A$3:$A$113,0)),"")="À vérifier",IFERROR(INDEX('S4_10-16_AOUT'!$V$3:$V$113,MATCH($A54,'S4_10-16_AOUT'!$A$3:$A$113,0)),"")="À vérifier",IFERROR(INDEX('S5_17-23_AOUT'!$V$3:$V$113,MATCH($A54,'S5_17-23_AOUT'!$A$3:$A$113,0)),"")="À vérifier",IFERROR(INDEX('S6_24-25_AOUT'!$Q$3:$Q$113,MATCH($A54,'S6_24-25_AOUT'!$A$3:$A$113,0)),"")="À vérifier",ABS(L54-T54)&gt;=0.01),"À vérifier","OK"))</f>
        <v>OK</v>
      </c>
    </row>
    <row r="55" spans="1:21">
      <c r="A55" s="12" t="s">
        <v>157</v>
      </c>
      <c r="B55" s="12" t="s">
        <v>158</v>
      </c>
      <c r="C55" s="13" t="s">
        <v>159</v>
      </c>
      <c r="D55" s="12" t="s">
        <v>31</v>
      </c>
      <c r="E55" s="10" t="s">
        <v>123</v>
      </c>
      <c r="F55" s="8">
        <f>IFERROR(SUMIF(S1_26_JUIL!$A$3:$A$113,$A55,S1_26_JUIL!$O$3:$O$113),0)</f>
        <v>0</v>
      </c>
      <c r="G55" s="8">
        <f>IFERROR(SUMIF('S2_27_JUIL-02_AOUT'!$A$3:$A$113,$A55,'S2_27_JUIL-02_AOUT'!$U$3:$U$113),0)</f>
        <v>47.5</v>
      </c>
      <c r="H55" s="8">
        <f>IFERROR(SUMIF('S3_03-09_AOUT'!$A$3:$A$113,$A55,'S3_03-09_AOUT'!$U$3:$U$113),0)</f>
        <v>0</v>
      </c>
      <c r="I55" s="8">
        <f>IFERROR(SUMIF('S4_10-16_AOUT'!$A$3:$A$113,$A55,'S4_10-16_AOUT'!$U$3:$U$113),0)</f>
        <v>0</v>
      </c>
      <c r="J55" s="8">
        <f>IFERROR(SUMIF('S5_17-23_AOUT'!$A$3:$A$113,$A55,'S5_17-23_AOUT'!$U$3:$U$113),0)</f>
        <v>0</v>
      </c>
      <c r="K55" s="8">
        <f>IFERROR(SUMIF('S6_24-25_AOUT'!$A$3:$A$113,$A55,'S6_24-25_AOUT'!$P$3:$P$113),0)</f>
        <v>0</v>
      </c>
      <c r="L55" s="8">
        <f t="shared" si="2"/>
        <v>47.5</v>
      </c>
      <c r="M55" s="8">
        <f>IFERROR(SUMIF(S1_26_JUIL!$A$3:$A$113,$A55,S1_26_JUIL!$I$3:$I$113),0)+IFERROR(SUMIF('S2_27_JUIL-02_AOUT'!$A$3:$A$113,$A55,'S2_27_JUIL-02_AOUT'!$O$3:$O$113),0)+IFERROR(SUMIF('S3_03-09_AOUT'!$A$3:$A$113,$A55,'S3_03-09_AOUT'!$O$3:$O$113),0)+IFERROR(SUMIF('S4_10-16_AOUT'!$A$3:$A$113,$A55,'S4_10-16_AOUT'!$O$3:$O$113),0)+IFERROR(SUMIF('S5_17-23_AOUT'!$A$3:$A$113,$A55,'S5_17-23_AOUT'!$O$3:$O$113),0)+IFERROR(SUMIF('S6_24-25_AOUT'!$A$3:$A$113,$A55,'S6_24-25_AOUT'!$J$3:$J$113),0)</f>
        <v>47.5</v>
      </c>
      <c r="N55" s="9">
        <f>IFERROR(SUMIF(S1_26_JUIL!$A$3:$A$113,$A55,S1_26_JUIL!$J$3:$J$113),0)+IFERROR(SUMIF('S2_27_JUIL-02_AOUT'!$A$3:$A$113,$A55,'S2_27_JUIL-02_AOUT'!$P$3:$P$113),0)+IFERROR(SUMIF('S3_03-09_AOUT'!$A$3:$A$113,$A55,'S3_03-09_AOUT'!$P$3:$P$113),0)+IFERROR(SUMIF('S4_10-16_AOUT'!$A$3:$A$113,$A55,'S4_10-16_AOUT'!$P$3:$P$113),0)+IFERROR(SUMIF('S5_17-23_AOUT'!$A$3:$A$113,$A55,'S5_17-23_AOUT'!$P$3:$P$113),0)+IFERROR(SUMIF('S6_24-25_AOUT'!$A$3:$A$113,$A55,'S6_24-25_AOUT'!$K$3:$K$113),0)</f>
        <v>0</v>
      </c>
      <c r="O55" s="9">
        <f>IFERROR(SUMIF(S1_26_JUIL!$A$3:$A$113,$A55,S1_26_JUIL!$K$3:$K$113),0)+IFERROR(SUMIF('S2_27_JUIL-02_AOUT'!$A$3:$A$113,$A55,'S2_27_JUIL-02_AOUT'!$Q$3:$Q$113),0)+IFERROR(SUMIF('S3_03-09_AOUT'!$A$3:$A$113,$A55,'S3_03-09_AOUT'!$Q$3:$Q$113),0)+IFERROR(SUMIF('S4_10-16_AOUT'!$A$3:$A$113,$A55,'S4_10-16_AOUT'!$Q$3:$Q$113),0)+IFERROR(SUMIF('S5_17-23_AOUT'!$A$3:$A$113,$A55,'S5_17-23_AOUT'!$Q$3:$Q$113),0)+IFERROR(SUMIF('S6_24-25_AOUT'!$A$3:$A$113,$A55,'S6_24-25_AOUT'!$L$3:$L$113),0)</f>
        <v>0</v>
      </c>
      <c r="P55" s="8">
        <f>IFERROR(SUMIF(S1_26_JUIL!$A$3:$A$113,$A55,S1_26_JUIL!$L$3:$L$113),0)+IFERROR(SUMIF('S2_27_JUIL-02_AOUT'!$A$3:$A$113,$A55,'S2_27_JUIL-02_AOUT'!$R$3:$R$113),0)+IFERROR(SUMIF('S3_03-09_AOUT'!$A$3:$A$113,$A55,'S3_03-09_AOUT'!$R$3:$R$113),0)+IFERROR(SUMIF('S4_10-16_AOUT'!$A$3:$A$113,$A55,'S4_10-16_AOUT'!$R$3:$R$113),0)+IFERROR(SUMIF('S5_17-23_AOUT'!$A$3:$A$113,$A55,'S5_17-23_AOUT'!$R$3:$R$113),0)+IFERROR(SUMIF('S6_24-25_AOUT'!$A$3:$A$113,$A55,'S6_24-25_AOUT'!$M$3:$M$113),0)</f>
        <v>0</v>
      </c>
      <c r="Q55" s="8">
        <f>IFERROR(SUMIF(S1_26_JUIL!$A$3:$A$113,$A55,S1_26_JUIL!$M$3:$M$113),0)+IFERROR(SUMIF('S2_27_JUIL-02_AOUT'!$A$3:$A$113,$A55,'S2_27_JUIL-02_AOUT'!$S$3:$S$113),0)+IFERROR(SUMIF('S3_03-09_AOUT'!$A$3:$A$113,$A55,'S3_03-09_AOUT'!$S$3:$S$113),0)+IFERROR(SUMIF('S4_10-16_AOUT'!$A$3:$A$113,$A55,'S4_10-16_AOUT'!$S$3:$S$113),0)+IFERROR(SUMIF('S5_17-23_AOUT'!$A$3:$A$113,$A55,'S5_17-23_AOUT'!$S$3:$S$113),0)+IFERROR(SUMIF('S6_24-25_AOUT'!$A$3:$A$113,$A55,'S6_24-25_AOUT'!$N$3:$N$113),0)</f>
        <v>0</v>
      </c>
      <c r="R55" s="11">
        <f>IFERROR(SUMIF(S1_26_JUIL!$A$3:$A$113,$A55,S1_26_JUIL!$N$3:$N$113),0)+IFERROR(SUMIF('S2_27_JUIL-02_AOUT'!$A$3:$A$113,$A55,'S2_27_JUIL-02_AOUT'!$T$3:$T$113),0)+IFERROR(SUMIF('S3_03-09_AOUT'!$A$3:$A$113,$A55,'S3_03-09_AOUT'!$T$3:$T$113),0)+IFERROR(SUMIF('S4_10-16_AOUT'!$A$3:$A$113,$A55,'S4_10-16_AOUT'!$T$3:$T$113),0)+IFERROR(SUMIF('S5_17-23_AOUT'!$A$3:$A$113,$A55,'S5_17-23_AOUT'!$T$3:$T$113),0)+IFERROR(SUMIF('S6_24-25_AOUT'!$A$3:$A$113,$A55,'S6_24-25_AOUT'!$O$3:$O$113),0)</f>
        <v>0</v>
      </c>
      <c r="S55" s="8">
        <f>208</f>
        <v>208</v>
      </c>
      <c r="T55" s="8">
        <f t="shared" si="3"/>
        <v>47.5</v>
      </c>
      <c r="U55" s="10" t="str">
        <f>IF(OR(IFERROR(INDEX(S1_26_JUIL!$P$3:$P$113,MATCH($A55,S1_26_JUIL!$A$3:$A$113,0)),"")="STC",IFERROR(INDEX('S2_27_JUIL-02_AOUT'!$V$3:$V$113,MATCH($A55,'S2_27_JUIL-02_AOUT'!$A$3:$A$113,0)),"")="STC",IFERROR(INDEX('S3_03-09_AOUT'!$V$3:$V$113,MATCH($A55,'S3_03-09_AOUT'!$A$3:$A$113,0)),"")="STC",IFERROR(INDEX('S4_10-16_AOUT'!$V$3:$V$113,MATCH($A55,'S4_10-16_AOUT'!$A$3:$A$113,0)),"")="STC",IFERROR(INDEX('S5_17-23_AOUT'!$V$3:$V$113,MATCH($A55,'S5_17-23_AOUT'!$A$3:$A$113,0)),"")="STC",IFERROR(INDEX('S6_24-25_AOUT'!$Q$3:$Q$113,MATCH($A55,'S6_24-25_AOUT'!$A$3:$A$113,0)),"")="STC"),"STC",IF(OR(IFERROR(INDEX(S1_26_JUIL!$P$3:$P$113,MATCH($A55,S1_26_JUIL!$A$3:$A$113,0)),"")="À vérifier",IFERROR(INDEX('S2_27_JUIL-02_AOUT'!$V$3:$V$113,MATCH($A55,'S2_27_JUIL-02_AOUT'!$A$3:$A$113,0)),"")="À vérifier",IFERROR(INDEX('S3_03-09_AOUT'!$V$3:$V$113,MATCH($A55,'S3_03-09_AOUT'!$A$3:$A$113,0)),"")="À vérifier",IFERROR(INDEX('S4_10-16_AOUT'!$V$3:$V$113,MATCH($A55,'S4_10-16_AOUT'!$A$3:$A$113,0)),"")="À vérifier",IFERROR(INDEX('S5_17-23_AOUT'!$V$3:$V$113,MATCH($A55,'S5_17-23_AOUT'!$A$3:$A$113,0)),"")="À vérifier",IFERROR(INDEX('S6_24-25_AOUT'!$Q$3:$Q$113,MATCH($A55,'S6_24-25_AOUT'!$A$3:$A$113,0)),"")="À vérifier",ABS(L55-T55)&gt;=0.01),"À vérifier","OK"))</f>
        <v>OK</v>
      </c>
    </row>
    <row r="56" spans="1:21">
      <c r="A56" s="12">
        <v>163</v>
      </c>
      <c r="B56" s="12" t="s">
        <v>160</v>
      </c>
      <c r="C56" s="13" t="s">
        <v>161</v>
      </c>
      <c r="D56" s="12" t="s">
        <v>31</v>
      </c>
      <c r="E56" s="10" t="s">
        <v>123</v>
      </c>
      <c r="F56" s="8">
        <f>IFERROR(SUMIF(S1_26_JUIL!$A$3:$A$113,$A56,S1_26_JUIL!$O$3:$O$113),0)</f>
        <v>0</v>
      </c>
      <c r="G56" s="8">
        <f>IFERROR(SUMIF('S2_27_JUIL-02_AOUT'!$A$3:$A$113,$A56,'S2_27_JUIL-02_AOUT'!$U$3:$U$113),0)</f>
        <v>47.5</v>
      </c>
      <c r="H56" s="8">
        <f>IFERROR(SUMIF('S3_03-09_AOUT'!$A$3:$A$113,$A56,'S3_03-09_AOUT'!$U$3:$U$113),0)</f>
        <v>0</v>
      </c>
      <c r="I56" s="8">
        <f>IFERROR(SUMIF('S4_10-16_AOUT'!$A$3:$A$113,$A56,'S4_10-16_AOUT'!$U$3:$U$113),0)</f>
        <v>0</v>
      </c>
      <c r="J56" s="8">
        <f>IFERROR(SUMIF('S5_17-23_AOUT'!$A$3:$A$113,$A56,'S5_17-23_AOUT'!$U$3:$U$113),0)</f>
        <v>0</v>
      </c>
      <c r="K56" s="8">
        <f>IFERROR(SUMIF('S6_24-25_AOUT'!$A$3:$A$113,$A56,'S6_24-25_AOUT'!$P$3:$P$113),0)</f>
        <v>0</v>
      </c>
      <c r="L56" s="8">
        <f t="shared" si="2"/>
        <v>47.5</v>
      </c>
      <c r="M56" s="8">
        <f>IFERROR(SUMIF(S1_26_JUIL!$A$3:$A$113,$A56,S1_26_JUIL!$I$3:$I$113),0)+IFERROR(SUMIF('S2_27_JUIL-02_AOUT'!$A$3:$A$113,$A56,'S2_27_JUIL-02_AOUT'!$O$3:$O$113),0)+IFERROR(SUMIF('S3_03-09_AOUT'!$A$3:$A$113,$A56,'S3_03-09_AOUT'!$O$3:$O$113),0)+IFERROR(SUMIF('S4_10-16_AOUT'!$A$3:$A$113,$A56,'S4_10-16_AOUT'!$O$3:$O$113),0)+IFERROR(SUMIF('S5_17-23_AOUT'!$A$3:$A$113,$A56,'S5_17-23_AOUT'!$O$3:$O$113),0)+IFERROR(SUMIF('S6_24-25_AOUT'!$A$3:$A$113,$A56,'S6_24-25_AOUT'!$J$3:$J$113),0)</f>
        <v>47.5</v>
      </c>
      <c r="N56" s="9">
        <f>IFERROR(SUMIF(S1_26_JUIL!$A$3:$A$113,$A56,S1_26_JUIL!$J$3:$J$113),0)+IFERROR(SUMIF('S2_27_JUIL-02_AOUT'!$A$3:$A$113,$A56,'S2_27_JUIL-02_AOUT'!$P$3:$P$113),0)+IFERROR(SUMIF('S3_03-09_AOUT'!$A$3:$A$113,$A56,'S3_03-09_AOUT'!$P$3:$P$113),0)+IFERROR(SUMIF('S4_10-16_AOUT'!$A$3:$A$113,$A56,'S4_10-16_AOUT'!$P$3:$P$113),0)+IFERROR(SUMIF('S5_17-23_AOUT'!$A$3:$A$113,$A56,'S5_17-23_AOUT'!$P$3:$P$113),0)+IFERROR(SUMIF('S6_24-25_AOUT'!$A$3:$A$113,$A56,'S6_24-25_AOUT'!$K$3:$K$113),0)</f>
        <v>0</v>
      </c>
      <c r="O56" s="9">
        <f>IFERROR(SUMIF(S1_26_JUIL!$A$3:$A$113,$A56,S1_26_JUIL!$K$3:$K$113),0)+IFERROR(SUMIF('S2_27_JUIL-02_AOUT'!$A$3:$A$113,$A56,'S2_27_JUIL-02_AOUT'!$Q$3:$Q$113),0)+IFERROR(SUMIF('S3_03-09_AOUT'!$A$3:$A$113,$A56,'S3_03-09_AOUT'!$Q$3:$Q$113),0)+IFERROR(SUMIF('S4_10-16_AOUT'!$A$3:$A$113,$A56,'S4_10-16_AOUT'!$Q$3:$Q$113),0)+IFERROR(SUMIF('S5_17-23_AOUT'!$A$3:$A$113,$A56,'S5_17-23_AOUT'!$Q$3:$Q$113),0)+IFERROR(SUMIF('S6_24-25_AOUT'!$A$3:$A$113,$A56,'S6_24-25_AOUT'!$L$3:$L$113),0)</f>
        <v>0</v>
      </c>
      <c r="P56" s="8">
        <f>IFERROR(SUMIF(S1_26_JUIL!$A$3:$A$113,$A56,S1_26_JUIL!$L$3:$L$113),0)+IFERROR(SUMIF('S2_27_JUIL-02_AOUT'!$A$3:$A$113,$A56,'S2_27_JUIL-02_AOUT'!$R$3:$R$113),0)+IFERROR(SUMIF('S3_03-09_AOUT'!$A$3:$A$113,$A56,'S3_03-09_AOUT'!$R$3:$R$113),0)+IFERROR(SUMIF('S4_10-16_AOUT'!$A$3:$A$113,$A56,'S4_10-16_AOUT'!$R$3:$R$113),0)+IFERROR(SUMIF('S5_17-23_AOUT'!$A$3:$A$113,$A56,'S5_17-23_AOUT'!$R$3:$R$113),0)+IFERROR(SUMIF('S6_24-25_AOUT'!$A$3:$A$113,$A56,'S6_24-25_AOUT'!$M$3:$M$113),0)</f>
        <v>0</v>
      </c>
      <c r="Q56" s="8">
        <f>IFERROR(SUMIF(S1_26_JUIL!$A$3:$A$113,$A56,S1_26_JUIL!$M$3:$M$113),0)+IFERROR(SUMIF('S2_27_JUIL-02_AOUT'!$A$3:$A$113,$A56,'S2_27_JUIL-02_AOUT'!$S$3:$S$113),0)+IFERROR(SUMIF('S3_03-09_AOUT'!$A$3:$A$113,$A56,'S3_03-09_AOUT'!$S$3:$S$113),0)+IFERROR(SUMIF('S4_10-16_AOUT'!$A$3:$A$113,$A56,'S4_10-16_AOUT'!$S$3:$S$113),0)+IFERROR(SUMIF('S5_17-23_AOUT'!$A$3:$A$113,$A56,'S5_17-23_AOUT'!$S$3:$S$113),0)+IFERROR(SUMIF('S6_24-25_AOUT'!$A$3:$A$113,$A56,'S6_24-25_AOUT'!$N$3:$N$113),0)</f>
        <v>0</v>
      </c>
      <c r="R56" s="11">
        <f>IFERROR(SUMIF(S1_26_JUIL!$A$3:$A$113,$A56,S1_26_JUIL!$N$3:$N$113),0)+IFERROR(SUMIF('S2_27_JUIL-02_AOUT'!$A$3:$A$113,$A56,'S2_27_JUIL-02_AOUT'!$T$3:$T$113),0)+IFERROR(SUMIF('S3_03-09_AOUT'!$A$3:$A$113,$A56,'S3_03-09_AOUT'!$T$3:$T$113),0)+IFERROR(SUMIF('S4_10-16_AOUT'!$A$3:$A$113,$A56,'S4_10-16_AOUT'!$T$3:$T$113),0)+IFERROR(SUMIF('S5_17-23_AOUT'!$A$3:$A$113,$A56,'S5_17-23_AOUT'!$T$3:$T$113),0)+IFERROR(SUMIF('S6_24-25_AOUT'!$A$3:$A$113,$A56,'S6_24-25_AOUT'!$O$3:$O$113),0)</f>
        <v>0</v>
      </c>
      <c r="S56" s="8">
        <f>208</f>
        <v>208</v>
      </c>
      <c r="T56" s="8">
        <f t="shared" si="3"/>
        <v>47.5</v>
      </c>
      <c r="U56" s="10" t="str">
        <f>IF(OR(IFERROR(INDEX(S1_26_JUIL!$P$3:$P$113,MATCH($A56,S1_26_JUIL!$A$3:$A$113,0)),"")="STC",IFERROR(INDEX('S2_27_JUIL-02_AOUT'!$V$3:$V$113,MATCH($A56,'S2_27_JUIL-02_AOUT'!$A$3:$A$113,0)),"")="STC",IFERROR(INDEX('S3_03-09_AOUT'!$V$3:$V$113,MATCH($A56,'S3_03-09_AOUT'!$A$3:$A$113,0)),"")="STC",IFERROR(INDEX('S4_10-16_AOUT'!$V$3:$V$113,MATCH($A56,'S4_10-16_AOUT'!$A$3:$A$113,0)),"")="STC",IFERROR(INDEX('S5_17-23_AOUT'!$V$3:$V$113,MATCH($A56,'S5_17-23_AOUT'!$A$3:$A$113,0)),"")="STC",IFERROR(INDEX('S6_24-25_AOUT'!$Q$3:$Q$113,MATCH($A56,'S6_24-25_AOUT'!$A$3:$A$113,0)),"")="STC"),"STC",IF(OR(IFERROR(INDEX(S1_26_JUIL!$P$3:$P$113,MATCH($A56,S1_26_JUIL!$A$3:$A$113,0)),"")="À vérifier",IFERROR(INDEX('S2_27_JUIL-02_AOUT'!$V$3:$V$113,MATCH($A56,'S2_27_JUIL-02_AOUT'!$A$3:$A$113,0)),"")="À vérifier",IFERROR(INDEX('S3_03-09_AOUT'!$V$3:$V$113,MATCH($A56,'S3_03-09_AOUT'!$A$3:$A$113,0)),"")="À vérifier",IFERROR(INDEX('S4_10-16_AOUT'!$V$3:$V$113,MATCH($A56,'S4_10-16_AOUT'!$A$3:$A$113,0)),"")="À vérifier",IFERROR(INDEX('S5_17-23_AOUT'!$V$3:$V$113,MATCH($A56,'S5_17-23_AOUT'!$A$3:$A$113,0)),"")="À vérifier",IFERROR(INDEX('S6_24-25_AOUT'!$Q$3:$Q$113,MATCH($A56,'S6_24-25_AOUT'!$A$3:$A$113,0)),"")="À vérifier",ABS(L56-T56)&gt;=0.01),"À vérifier","OK"))</f>
        <v>OK</v>
      </c>
    </row>
    <row r="57" spans="1:21">
      <c r="A57" s="12">
        <v>240</v>
      </c>
      <c r="B57" s="12" t="s">
        <v>162</v>
      </c>
      <c r="C57" s="13" t="s">
        <v>163</v>
      </c>
      <c r="D57" s="12" t="s">
        <v>31</v>
      </c>
      <c r="E57" s="10" t="s">
        <v>123</v>
      </c>
      <c r="F57" s="8">
        <f>IFERROR(SUMIF(S1_26_JUIL!$A$3:$A$113,$A57,S1_26_JUIL!$O$3:$O$113),0)</f>
        <v>0</v>
      </c>
      <c r="G57" s="8">
        <f>IFERROR(SUMIF('S2_27_JUIL-02_AOUT'!$A$3:$A$113,$A57,'S2_27_JUIL-02_AOUT'!$U$3:$U$113),0)</f>
        <v>35.999999999999993</v>
      </c>
      <c r="H57" s="8">
        <f>IFERROR(SUMIF('S3_03-09_AOUT'!$A$3:$A$113,$A57,'S3_03-09_AOUT'!$U$3:$U$113),0)</f>
        <v>0</v>
      </c>
      <c r="I57" s="8">
        <f>IFERROR(SUMIF('S4_10-16_AOUT'!$A$3:$A$113,$A57,'S4_10-16_AOUT'!$U$3:$U$113),0)</f>
        <v>0</v>
      </c>
      <c r="J57" s="8">
        <f>IFERROR(SUMIF('S5_17-23_AOUT'!$A$3:$A$113,$A57,'S5_17-23_AOUT'!$U$3:$U$113),0)</f>
        <v>0</v>
      </c>
      <c r="K57" s="8">
        <f>IFERROR(SUMIF('S6_24-25_AOUT'!$A$3:$A$113,$A57,'S6_24-25_AOUT'!$P$3:$P$113),0)</f>
        <v>0</v>
      </c>
      <c r="L57" s="8">
        <f t="shared" si="2"/>
        <v>35.999999999999993</v>
      </c>
      <c r="M57" s="8">
        <f>IFERROR(SUMIF(S1_26_JUIL!$A$3:$A$113,$A57,S1_26_JUIL!$I$3:$I$113),0)+IFERROR(SUMIF('S2_27_JUIL-02_AOUT'!$A$3:$A$113,$A57,'S2_27_JUIL-02_AOUT'!$O$3:$O$113),0)+IFERROR(SUMIF('S3_03-09_AOUT'!$A$3:$A$113,$A57,'S3_03-09_AOUT'!$O$3:$O$113),0)+IFERROR(SUMIF('S4_10-16_AOUT'!$A$3:$A$113,$A57,'S4_10-16_AOUT'!$O$3:$O$113),0)+IFERROR(SUMIF('S5_17-23_AOUT'!$A$3:$A$113,$A57,'S5_17-23_AOUT'!$O$3:$O$113),0)+IFERROR(SUMIF('S6_24-25_AOUT'!$A$3:$A$113,$A57,'S6_24-25_AOUT'!$J$3:$J$113),0)</f>
        <v>35.999999999999993</v>
      </c>
      <c r="N57" s="9">
        <f>IFERROR(SUMIF(S1_26_JUIL!$A$3:$A$113,$A57,S1_26_JUIL!$J$3:$J$113),0)+IFERROR(SUMIF('S2_27_JUIL-02_AOUT'!$A$3:$A$113,$A57,'S2_27_JUIL-02_AOUT'!$P$3:$P$113),0)+IFERROR(SUMIF('S3_03-09_AOUT'!$A$3:$A$113,$A57,'S3_03-09_AOUT'!$P$3:$P$113),0)+IFERROR(SUMIF('S4_10-16_AOUT'!$A$3:$A$113,$A57,'S4_10-16_AOUT'!$P$3:$P$113),0)+IFERROR(SUMIF('S5_17-23_AOUT'!$A$3:$A$113,$A57,'S5_17-23_AOUT'!$P$3:$P$113),0)+IFERROR(SUMIF('S6_24-25_AOUT'!$A$3:$A$113,$A57,'S6_24-25_AOUT'!$K$3:$K$113),0)</f>
        <v>0</v>
      </c>
      <c r="O57" s="9">
        <f>IFERROR(SUMIF(S1_26_JUIL!$A$3:$A$113,$A57,S1_26_JUIL!$K$3:$K$113),0)+IFERROR(SUMIF('S2_27_JUIL-02_AOUT'!$A$3:$A$113,$A57,'S2_27_JUIL-02_AOUT'!$Q$3:$Q$113),0)+IFERROR(SUMIF('S3_03-09_AOUT'!$A$3:$A$113,$A57,'S3_03-09_AOUT'!$Q$3:$Q$113),0)+IFERROR(SUMIF('S4_10-16_AOUT'!$A$3:$A$113,$A57,'S4_10-16_AOUT'!$Q$3:$Q$113),0)+IFERROR(SUMIF('S5_17-23_AOUT'!$A$3:$A$113,$A57,'S5_17-23_AOUT'!$Q$3:$Q$113),0)+IFERROR(SUMIF('S6_24-25_AOUT'!$A$3:$A$113,$A57,'S6_24-25_AOUT'!$L$3:$L$113),0)</f>
        <v>0</v>
      </c>
      <c r="P57" s="8">
        <f>IFERROR(SUMIF(S1_26_JUIL!$A$3:$A$113,$A57,S1_26_JUIL!$L$3:$L$113),0)+IFERROR(SUMIF('S2_27_JUIL-02_AOUT'!$A$3:$A$113,$A57,'S2_27_JUIL-02_AOUT'!$R$3:$R$113),0)+IFERROR(SUMIF('S3_03-09_AOUT'!$A$3:$A$113,$A57,'S3_03-09_AOUT'!$R$3:$R$113),0)+IFERROR(SUMIF('S4_10-16_AOUT'!$A$3:$A$113,$A57,'S4_10-16_AOUT'!$R$3:$R$113),0)+IFERROR(SUMIF('S5_17-23_AOUT'!$A$3:$A$113,$A57,'S5_17-23_AOUT'!$R$3:$R$113),0)+IFERROR(SUMIF('S6_24-25_AOUT'!$A$3:$A$113,$A57,'S6_24-25_AOUT'!$M$3:$M$113),0)</f>
        <v>1</v>
      </c>
      <c r="Q57" s="8">
        <f>IFERROR(SUMIF(S1_26_JUIL!$A$3:$A$113,$A57,S1_26_JUIL!$M$3:$M$113),0)+IFERROR(SUMIF('S2_27_JUIL-02_AOUT'!$A$3:$A$113,$A57,'S2_27_JUIL-02_AOUT'!$S$3:$S$113),0)+IFERROR(SUMIF('S3_03-09_AOUT'!$A$3:$A$113,$A57,'S3_03-09_AOUT'!$S$3:$S$113),0)+IFERROR(SUMIF('S4_10-16_AOUT'!$A$3:$A$113,$A57,'S4_10-16_AOUT'!$S$3:$S$113),0)+IFERROR(SUMIF('S5_17-23_AOUT'!$A$3:$A$113,$A57,'S5_17-23_AOUT'!$S$3:$S$113),0)+IFERROR(SUMIF('S6_24-25_AOUT'!$A$3:$A$113,$A57,'S6_24-25_AOUT'!$N$3:$N$113),0)</f>
        <v>0</v>
      </c>
      <c r="R57" s="11">
        <f>IFERROR(SUMIF(S1_26_JUIL!$A$3:$A$113,$A57,S1_26_JUIL!$N$3:$N$113),0)+IFERROR(SUMIF('S2_27_JUIL-02_AOUT'!$A$3:$A$113,$A57,'S2_27_JUIL-02_AOUT'!$T$3:$T$113),0)+IFERROR(SUMIF('S3_03-09_AOUT'!$A$3:$A$113,$A57,'S3_03-09_AOUT'!$T$3:$T$113),0)+IFERROR(SUMIF('S4_10-16_AOUT'!$A$3:$A$113,$A57,'S4_10-16_AOUT'!$T$3:$T$113),0)+IFERROR(SUMIF('S5_17-23_AOUT'!$A$3:$A$113,$A57,'S5_17-23_AOUT'!$T$3:$T$113),0)+IFERROR(SUMIF('S6_24-25_AOUT'!$A$3:$A$113,$A57,'S6_24-25_AOUT'!$O$3:$O$113),0)</f>
        <v>0</v>
      </c>
      <c r="S57" s="8">
        <f>208</f>
        <v>208</v>
      </c>
      <c r="T57" s="8">
        <f t="shared" si="3"/>
        <v>35.999999999999993</v>
      </c>
      <c r="U57" s="10" t="str">
        <f>IF(OR(IFERROR(INDEX(S1_26_JUIL!$P$3:$P$113,MATCH($A57,S1_26_JUIL!$A$3:$A$113,0)),"")="STC",IFERROR(INDEX('S2_27_JUIL-02_AOUT'!$V$3:$V$113,MATCH($A57,'S2_27_JUIL-02_AOUT'!$A$3:$A$113,0)),"")="STC",IFERROR(INDEX('S3_03-09_AOUT'!$V$3:$V$113,MATCH($A57,'S3_03-09_AOUT'!$A$3:$A$113,0)),"")="STC",IFERROR(INDEX('S4_10-16_AOUT'!$V$3:$V$113,MATCH($A57,'S4_10-16_AOUT'!$A$3:$A$113,0)),"")="STC",IFERROR(INDEX('S5_17-23_AOUT'!$V$3:$V$113,MATCH($A57,'S5_17-23_AOUT'!$A$3:$A$113,0)),"")="STC",IFERROR(INDEX('S6_24-25_AOUT'!$Q$3:$Q$113,MATCH($A57,'S6_24-25_AOUT'!$A$3:$A$113,0)),"")="STC"),"STC",IF(OR(IFERROR(INDEX(S1_26_JUIL!$P$3:$P$113,MATCH($A57,S1_26_JUIL!$A$3:$A$113,0)),"")="À vérifier",IFERROR(INDEX('S2_27_JUIL-02_AOUT'!$V$3:$V$113,MATCH($A57,'S2_27_JUIL-02_AOUT'!$A$3:$A$113,0)),"")="À vérifier",IFERROR(INDEX('S3_03-09_AOUT'!$V$3:$V$113,MATCH($A57,'S3_03-09_AOUT'!$A$3:$A$113,0)),"")="À vérifier",IFERROR(INDEX('S4_10-16_AOUT'!$V$3:$V$113,MATCH($A57,'S4_10-16_AOUT'!$A$3:$A$113,0)),"")="À vérifier",IFERROR(INDEX('S5_17-23_AOUT'!$V$3:$V$113,MATCH($A57,'S5_17-23_AOUT'!$A$3:$A$113,0)),"")="À vérifier",IFERROR(INDEX('S6_24-25_AOUT'!$Q$3:$Q$113,MATCH($A57,'S6_24-25_AOUT'!$A$3:$A$113,0)),"")="À vérifier",ABS(L57-T57)&gt;=0.01),"À vérifier","OK"))</f>
        <v>OK</v>
      </c>
    </row>
    <row r="58" spans="1:21">
      <c r="A58" s="12" t="s">
        <v>164</v>
      </c>
      <c r="B58" s="12" t="s">
        <v>165</v>
      </c>
      <c r="C58" s="13" t="s">
        <v>166</v>
      </c>
      <c r="D58" s="12" t="s">
        <v>31</v>
      </c>
      <c r="E58" s="10" t="s">
        <v>123</v>
      </c>
      <c r="F58" s="8">
        <f>IFERROR(SUMIF(S1_26_JUIL!$A$3:$A$113,$A58,S1_26_JUIL!$O$3:$O$113),0)</f>
        <v>0</v>
      </c>
      <c r="G58" s="8">
        <f>IFERROR(SUMIF('S2_27_JUIL-02_AOUT'!$A$3:$A$113,$A58,'S2_27_JUIL-02_AOUT'!$U$3:$U$113),0)</f>
        <v>0</v>
      </c>
      <c r="H58" s="8">
        <f>IFERROR(SUMIF('S3_03-09_AOUT'!$A$3:$A$113,$A58,'S3_03-09_AOUT'!$U$3:$U$113),0)</f>
        <v>0</v>
      </c>
      <c r="I58" s="8">
        <f>IFERROR(SUMIF('S4_10-16_AOUT'!$A$3:$A$113,$A58,'S4_10-16_AOUT'!$U$3:$U$113),0)</f>
        <v>0</v>
      </c>
      <c r="J58" s="8">
        <f>IFERROR(SUMIF('S5_17-23_AOUT'!$A$3:$A$113,$A58,'S5_17-23_AOUT'!$U$3:$U$113),0)</f>
        <v>0</v>
      </c>
      <c r="K58" s="8">
        <f>IFERROR(SUMIF('S6_24-25_AOUT'!$A$3:$A$113,$A58,'S6_24-25_AOUT'!$P$3:$P$113),0)</f>
        <v>0</v>
      </c>
      <c r="L58" s="8">
        <f t="shared" si="2"/>
        <v>0</v>
      </c>
      <c r="M58" s="8">
        <f>IFERROR(SUMIF(S1_26_JUIL!$A$3:$A$113,$A58,S1_26_JUIL!$I$3:$I$113),0)+IFERROR(SUMIF('S2_27_JUIL-02_AOUT'!$A$3:$A$113,$A58,'S2_27_JUIL-02_AOUT'!$O$3:$O$113),0)+IFERROR(SUMIF('S3_03-09_AOUT'!$A$3:$A$113,$A58,'S3_03-09_AOUT'!$O$3:$O$113),0)+IFERROR(SUMIF('S4_10-16_AOUT'!$A$3:$A$113,$A58,'S4_10-16_AOUT'!$O$3:$O$113),0)+IFERROR(SUMIF('S5_17-23_AOUT'!$A$3:$A$113,$A58,'S5_17-23_AOUT'!$O$3:$O$113),0)+IFERROR(SUMIF('S6_24-25_AOUT'!$A$3:$A$113,$A58,'S6_24-25_AOUT'!$J$3:$J$113),0)</f>
        <v>0</v>
      </c>
      <c r="N58" s="9">
        <f>IFERROR(SUMIF(S1_26_JUIL!$A$3:$A$113,$A58,S1_26_JUIL!$J$3:$J$113),0)+IFERROR(SUMIF('S2_27_JUIL-02_AOUT'!$A$3:$A$113,$A58,'S2_27_JUIL-02_AOUT'!$P$3:$P$113),0)+IFERROR(SUMIF('S3_03-09_AOUT'!$A$3:$A$113,$A58,'S3_03-09_AOUT'!$P$3:$P$113),0)+IFERROR(SUMIF('S4_10-16_AOUT'!$A$3:$A$113,$A58,'S4_10-16_AOUT'!$P$3:$P$113),0)+IFERROR(SUMIF('S5_17-23_AOUT'!$A$3:$A$113,$A58,'S5_17-23_AOUT'!$P$3:$P$113),0)+IFERROR(SUMIF('S6_24-25_AOUT'!$A$3:$A$113,$A58,'S6_24-25_AOUT'!$K$3:$K$113),0)</f>
        <v>0</v>
      </c>
      <c r="O58" s="9">
        <f>IFERROR(SUMIF(S1_26_JUIL!$A$3:$A$113,$A58,S1_26_JUIL!$K$3:$K$113),0)+IFERROR(SUMIF('S2_27_JUIL-02_AOUT'!$A$3:$A$113,$A58,'S2_27_JUIL-02_AOUT'!$Q$3:$Q$113),0)+IFERROR(SUMIF('S3_03-09_AOUT'!$A$3:$A$113,$A58,'S3_03-09_AOUT'!$Q$3:$Q$113),0)+IFERROR(SUMIF('S4_10-16_AOUT'!$A$3:$A$113,$A58,'S4_10-16_AOUT'!$Q$3:$Q$113),0)+IFERROR(SUMIF('S5_17-23_AOUT'!$A$3:$A$113,$A58,'S5_17-23_AOUT'!$Q$3:$Q$113),0)+IFERROR(SUMIF('S6_24-25_AOUT'!$A$3:$A$113,$A58,'S6_24-25_AOUT'!$L$3:$L$113),0)</f>
        <v>0</v>
      </c>
      <c r="P58" s="8">
        <f>IFERROR(SUMIF(S1_26_JUIL!$A$3:$A$113,$A58,S1_26_JUIL!$L$3:$L$113),0)+IFERROR(SUMIF('S2_27_JUIL-02_AOUT'!$A$3:$A$113,$A58,'S2_27_JUIL-02_AOUT'!$R$3:$R$113),0)+IFERROR(SUMIF('S3_03-09_AOUT'!$A$3:$A$113,$A58,'S3_03-09_AOUT'!$R$3:$R$113),0)+IFERROR(SUMIF('S4_10-16_AOUT'!$A$3:$A$113,$A58,'S4_10-16_AOUT'!$R$3:$R$113),0)+IFERROR(SUMIF('S5_17-23_AOUT'!$A$3:$A$113,$A58,'S5_17-23_AOUT'!$R$3:$R$113),0)+IFERROR(SUMIF('S6_24-25_AOUT'!$A$3:$A$113,$A58,'S6_24-25_AOUT'!$M$3:$M$113),0)</f>
        <v>0</v>
      </c>
      <c r="Q58" s="8">
        <f>IFERROR(SUMIF(S1_26_JUIL!$A$3:$A$113,$A58,S1_26_JUIL!$M$3:$M$113),0)+IFERROR(SUMIF('S2_27_JUIL-02_AOUT'!$A$3:$A$113,$A58,'S2_27_JUIL-02_AOUT'!$S$3:$S$113),0)+IFERROR(SUMIF('S3_03-09_AOUT'!$A$3:$A$113,$A58,'S3_03-09_AOUT'!$S$3:$S$113),0)+IFERROR(SUMIF('S4_10-16_AOUT'!$A$3:$A$113,$A58,'S4_10-16_AOUT'!$S$3:$S$113),0)+IFERROR(SUMIF('S5_17-23_AOUT'!$A$3:$A$113,$A58,'S5_17-23_AOUT'!$S$3:$S$113),0)+IFERROR(SUMIF('S6_24-25_AOUT'!$A$3:$A$113,$A58,'S6_24-25_AOUT'!$N$3:$N$113),0)</f>
        <v>0</v>
      </c>
      <c r="R58" s="11">
        <f>IFERROR(SUMIF(S1_26_JUIL!$A$3:$A$113,$A58,S1_26_JUIL!$N$3:$N$113),0)+IFERROR(SUMIF('S2_27_JUIL-02_AOUT'!$A$3:$A$113,$A58,'S2_27_JUIL-02_AOUT'!$T$3:$T$113),0)+IFERROR(SUMIF('S3_03-09_AOUT'!$A$3:$A$113,$A58,'S3_03-09_AOUT'!$T$3:$T$113),0)+IFERROR(SUMIF('S4_10-16_AOUT'!$A$3:$A$113,$A58,'S4_10-16_AOUT'!$T$3:$T$113),0)+IFERROR(SUMIF('S5_17-23_AOUT'!$A$3:$A$113,$A58,'S5_17-23_AOUT'!$T$3:$T$113),0)+IFERROR(SUMIF('S6_24-25_AOUT'!$A$3:$A$113,$A58,'S6_24-25_AOUT'!$O$3:$O$113),0)</f>
        <v>0</v>
      </c>
      <c r="S58" s="8">
        <f>208</f>
        <v>208</v>
      </c>
      <c r="T58" s="8">
        <f t="shared" si="3"/>
        <v>0</v>
      </c>
      <c r="U58" s="10" t="str">
        <f>IF(OR(IFERROR(INDEX(S1_26_JUIL!$P$3:$P$113,MATCH($A58,S1_26_JUIL!$A$3:$A$113,0)),"")="STC",IFERROR(INDEX('S2_27_JUIL-02_AOUT'!$V$3:$V$113,MATCH($A58,'S2_27_JUIL-02_AOUT'!$A$3:$A$113,0)),"")="STC",IFERROR(INDEX('S3_03-09_AOUT'!$V$3:$V$113,MATCH($A58,'S3_03-09_AOUT'!$A$3:$A$113,0)),"")="STC",IFERROR(INDEX('S4_10-16_AOUT'!$V$3:$V$113,MATCH($A58,'S4_10-16_AOUT'!$A$3:$A$113,0)),"")="STC",IFERROR(INDEX('S5_17-23_AOUT'!$V$3:$V$113,MATCH($A58,'S5_17-23_AOUT'!$A$3:$A$113,0)),"")="STC",IFERROR(INDEX('S6_24-25_AOUT'!$Q$3:$Q$113,MATCH($A58,'S6_24-25_AOUT'!$A$3:$A$113,0)),"")="STC"),"STC",IF(OR(IFERROR(INDEX(S1_26_JUIL!$P$3:$P$113,MATCH($A58,S1_26_JUIL!$A$3:$A$113,0)),"")="À vérifier",IFERROR(INDEX('S2_27_JUIL-02_AOUT'!$V$3:$V$113,MATCH($A58,'S2_27_JUIL-02_AOUT'!$A$3:$A$113,0)),"")="À vérifier",IFERROR(INDEX('S3_03-09_AOUT'!$V$3:$V$113,MATCH($A58,'S3_03-09_AOUT'!$A$3:$A$113,0)),"")="À vérifier",IFERROR(INDEX('S4_10-16_AOUT'!$V$3:$V$113,MATCH($A58,'S4_10-16_AOUT'!$A$3:$A$113,0)),"")="À vérifier",IFERROR(INDEX('S5_17-23_AOUT'!$V$3:$V$113,MATCH($A58,'S5_17-23_AOUT'!$A$3:$A$113,0)),"")="À vérifier",IFERROR(INDEX('S6_24-25_AOUT'!$Q$3:$Q$113,MATCH($A58,'S6_24-25_AOUT'!$A$3:$A$113,0)),"")="À vérifier",ABS(L58-T58)&gt;=0.01),"À vérifier","OK"))</f>
        <v>STC</v>
      </c>
    </row>
    <row r="59" spans="1:21">
      <c r="A59" s="12" t="s">
        <v>167</v>
      </c>
      <c r="B59" s="12" t="s">
        <v>168</v>
      </c>
      <c r="C59" s="13" t="s">
        <v>169</v>
      </c>
      <c r="D59" s="12" t="s">
        <v>31</v>
      </c>
      <c r="E59" s="10" t="s">
        <v>123</v>
      </c>
      <c r="F59" s="8">
        <f>IFERROR(SUMIF(S1_26_JUIL!$A$3:$A$113,$A59,S1_26_JUIL!$O$3:$O$113),0)</f>
        <v>0</v>
      </c>
      <c r="G59" s="8">
        <f>IFERROR(SUMIF('S2_27_JUIL-02_AOUT'!$A$3:$A$113,$A59,'S2_27_JUIL-02_AOUT'!$U$3:$U$113),0)</f>
        <v>0</v>
      </c>
      <c r="H59" s="8">
        <f>IFERROR(SUMIF('S3_03-09_AOUT'!$A$3:$A$113,$A59,'S3_03-09_AOUT'!$U$3:$U$113),0)</f>
        <v>0</v>
      </c>
      <c r="I59" s="8">
        <f>IFERROR(SUMIF('S4_10-16_AOUT'!$A$3:$A$113,$A59,'S4_10-16_AOUT'!$U$3:$U$113),0)</f>
        <v>0</v>
      </c>
      <c r="J59" s="8">
        <f>IFERROR(SUMIF('S5_17-23_AOUT'!$A$3:$A$113,$A59,'S5_17-23_AOUT'!$U$3:$U$113),0)</f>
        <v>0</v>
      </c>
      <c r="K59" s="8">
        <f>IFERROR(SUMIF('S6_24-25_AOUT'!$A$3:$A$113,$A59,'S6_24-25_AOUT'!$P$3:$P$113),0)</f>
        <v>0</v>
      </c>
      <c r="L59" s="8">
        <f t="shared" si="2"/>
        <v>0</v>
      </c>
      <c r="M59" s="8">
        <f>IFERROR(SUMIF(S1_26_JUIL!$A$3:$A$113,$A59,S1_26_JUIL!$I$3:$I$113),0)+IFERROR(SUMIF('S2_27_JUIL-02_AOUT'!$A$3:$A$113,$A59,'S2_27_JUIL-02_AOUT'!$O$3:$O$113),0)+IFERROR(SUMIF('S3_03-09_AOUT'!$A$3:$A$113,$A59,'S3_03-09_AOUT'!$O$3:$O$113),0)+IFERROR(SUMIF('S4_10-16_AOUT'!$A$3:$A$113,$A59,'S4_10-16_AOUT'!$O$3:$O$113),0)+IFERROR(SUMIF('S5_17-23_AOUT'!$A$3:$A$113,$A59,'S5_17-23_AOUT'!$O$3:$O$113),0)+IFERROR(SUMIF('S6_24-25_AOUT'!$A$3:$A$113,$A59,'S6_24-25_AOUT'!$J$3:$J$113),0)</f>
        <v>0</v>
      </c>
      <c r="N59" s="9">
        <f>IFERROR(SUMIF(S1_26_JUIL!$A$3:$A$113,$A59,S1_26_JUIL!$J$3:$J$113),0)+IFERROR(SUMIF('S2_27_JUIL-02_AOUT'!$A$3:$A$113,$A59,'S2_27_JUIL-02_AOUT'!$P$3:$P$113),0)+IFERROR(SUMIF('S3_03-09_AOUT'!$A$3:$A$113,$A59,'S3_03-09_AOUT'!$P$3:$P$113),0)+IFERROR(SUMIF('S4_10-16_AOUT'!$A$3:$A$113,$A59,'S4_10-16_AOUT'!$P$3:$P$113),0)+IFERROR(SUMIF('S5_17-23_AOUT'!$A$3:$A$113,$A59,'S5_17-23_AOUT'!$P$3:$P$113),0)+IFERROR(SUMIF('S6_24-25_AOUT'!$A$3:$A$113,$A59,'S6_24-25_AOUT'!$K$3:$K$113),0)</f>
        <v>0</v>
      </c>
      <c r="O59" s="9">
        <f>IFERROR(SUMIF(S1_26_JUIL!$A$3:$A$113,$A59,S1_26_JUIL!$K$3:$K$113),0)+IFERROR(SUMIF('S2_27_JUIL-02_AOUT'!$A$3:$A$113,$A59,'S2_27_JUIL-02_AOUT'!$Q$3:$Q$113),0)+IFERROR(SUMIF('S3_03-09_AOUT'!$A$3:$A$113,$A59,'S3_03-09_AOUT'!$Q$3:$Q$113),0)+IFERROR(SUMIF('S4_10-16_AOUT'!$A$3:$A$113,$A59,'S4_10-16_AOUT'!$Q$3:$Q$113),0)+IFERROR(SUMIF('S5_17-23_AOUT'!$A$3:$A$113,$A59,'S5_17-23_AOUT'!$Q$3:$Q$113),0)+IFERROR(SUMIF('S6_24-25_AOUT'!$A$3:$A$113,$A59,'S6_24-25_AOUT'!$L$3:$L$113),0)</f>
        <v>0</v>
      </c>
      <c r="P59" s="8">
        <f>IFERROR(SUMIF(S1_26_JUIL!$A$3:$A$113,$A59,S1_26_JUIL!$L$3:$L$113),0)+IFERROR(SUMIF('S2_27_JUIL-02_AOUT'!$A$3:$A$113,$A59,'S2_27_JUIL-02_AOUT'!$R$3:$R$113),0)+IFERROR(SUMIF('S3_03-09_AOUT'!$A$3:$A$113,$A59,'S3_03-09_AOUT'!$R$3:$R$113),0)+IFERROR(SUMIF('S4_10-16_AOUT'!$A$3:$A$113,$A59,'S4_10-16_AOUT'!$R$3:$R$113),0)+IFERROR(SUMIF('S5_17-23_AOUT'!$A$3:$A$113,$A59,'S5_17-23_AOUT'!$R$3:$R$113),0)+IFERROR(SUMIF('S6_24-25_AOUT'!$A$3:$A$113,$A59,'S6_24-25_AOUT'!$M$3:$M$113),0)</f>
        <v>0</v>
      </c>
      <c r="Q59" s="8">
        <f>IFERROR(SUMIF(S1_26_JUIL!$A$3:$A$113,$A59,S1_26_JUIL!$M$3:$M$113),0)+IFERROR(SUMIF('S2_27_JUIL-02_AOUT'!$A$3:$A$113,$A59,'S2_27_JUIL-02_AOUT'!$S$3:$S$113),0)+IFERROR(SUMIF('S3_03-09_AOUT'!$A$3:$A$113,$A59,'S3_03-09_AOUT'!$S$3:$S$113),0)+IFERROR(SUMIF('S4_10-16_AOUT'!$A$3:$A$113,$A59,'S4_10-16_AOUT'!$S$3:$S$113),0)+IFERROR(SUMIF('S5_17-23_AOUT'!$A$3:$A$113,$A59,'S5_17-23_AOUT'!$S$3:$S$113),0)+IFERROR(SUMIF('S6_24-25_AOUT'!$A$3:$A$113,$A59,'S6_24-25_AOUT'!$N$3:$N$113),0)</f>
        <v>0</v>
      </c>
      <c r="R59" s="11">
        <f>IFERROR(SUMIF(S1_26_JUIL!$A$3:$A$113,$A59,S1_26_JUIL!$N$3:$N$113),0)+IFERROR(SUMIF('S2_27_JUIL-02_AOUT'!$A$3:$A$113,$A59,'S2_27_JUIL-02_AOUT'!$T$3:$T$113),0)+IFERROR(SUMIF('S3_03-09_AOUT'!$A$3:$A$113,$A59,'S3_03-09_AOUT'!$T$3:$T$113),0)+IFERROR(SUMIF('S4_10-16_AOUT'!$A$3:$A$113,$A59,'S4_10-16_AOUT'!$T$3:$T$113),0)+IFERROR(SUMIF('S5_17-23_AOUT'!$A$3:$A$113,$A59,'S5_17-23_AOUT'!$T$3:$T$113),0)+IFERROR(SUMIF('S6_24-25_AOUT'!$A$3:$A$113,$A59,'S6_24-25_AOUT'!$O$3:$O$113),0)</f>
        <v>0</v>
      </c>
      <c r="S59" s="8">
        <f>208</f>
        <v>208</v>
      </c>
      <c r="T59" s="8">
        <f t="shared" si="3"/>
        <v>0</v>
      </c>
      <c r="U59" s="10" t="str">
        <f>IF(OR(IFERROR(INDEX(S1_26_JUIL!$P$3:$P$113,MATCH($A59,S1_26_JUIL!$A$3:$A$113,0)),"")="STC",IFERROR(INDEX('S2_27_JUIL-02_AOUT'!$V$3:$V$113,MATCH($A59,'S2_27_JUIL-02_AOUT'!$A$3:$A$113,0)),"")="STC",IFERROR(INDEX('S3_03-09_AOUT'!$V$3:$V$113,MATCH($A59,'S3_03-09_AOUT'!$A$3:$A$113,0)),"")="STC",IFERROR(INDEX('S4_10-16_AOUT'!$V$3:$V$113,MATCH($A59,'S4_10-16_AOUT'!$A$3:$A$113,0)),"")="STC",IFERROR(INDEX('S5_17-23_AOUT'!$V$3:$V$113,MATCH($A59,'S5_17-23_AOUT'!$A$3:$A$113,0)),"")="STC",IFERROR(INDEX('S6_24-25_AOUT'!$Q$3:$Q$113,MATCH($A59,'S6_24-25_AOUT'!$A$3:$A$113,0)),"")="STC"),"STC",IF(OR(IFERROR(INDEX(S1_26_JUIL!$P$3:$P$113,MATCH($A59,S1_26_JUIL!$A$3:$A$113,0)),"")="À vérifier",IFERROR(INDEX('S2_27_JUIL-02_AOUT'!$V$3:$V$113,MATCH($A59,'S2_27_JUIL-02_AOUT'!$A$3:$A$113,0)),"")="À vérifier",IFERROR(INDEX('S3_03-09_AOUT'!$V$3:$V$113,MATCH($A59,'S3_03-09_AOUT'!$A$3:$A$113,0)),"")="À vérifier",IFERROR(INDEX('S4_10-16_AOUT'!$V$3:$V$113,MATCH($A59,'S4_10-16_AOUT'!$A$3:$A$113,0)),"")="À vérifier",IFERROR(INDEX('S5_17-23_AOUT'!$V$3:$V$113,MATCH($A59,'S5_17-23_AOUT'!$A$3:$A$113,0)),"")="À vérifier",IFERROR(INDEX('S6_24-25_AOUT'!$Q$3:$Q$113,MATCH($A59,'S6_24-25_AOUT'!$A$3:$A$113,0)),"")="À vérifier",ABS(L59-T59)&gt;=0.01),"À vérifier","OK"))</f>
        <v>STC</v>
      </c>
    </row>
    <row r="60" spans="1:21">
      <c r="A60" s="12">
        <v>192</v>
      </c>
      <c r="B60" s="12" t="s">
        <v>170</v>
      </c>
      <c r="C60" s="13" t="s">
        <v>171</v>
      </c>
      <c r="D60" s="12" t="s">
        <v>31</v>
      </c>
      <c r="E60" s="10" t="s">
        <v>123</v>
      </c>
      <c r="F60" s="8">
        <f>IFERROR(SUMIF(S1_26_JUIL!$A$3:$A$113,$A60,S1_26_JUIL!$O$3:$O$113),0)</f>
        <v>0</v>
      </c>
      <c r="G60" s="8">
        <f>IFERROR(SUMIF('S2_27_JUIL-02_AOUT'!$A$3:$A$113,$A60,'S2_27_JUIL-02_AOUT'!$U$3:$U$113),0)</f>
        <v>74</v>
      </c>
      <c r="H60" s="8">
        <f>IFERROR(SUMIF('S3_03-09_AOUT'!$A$3:$A$113,$A60,'S3_03-09_AOUT'!$U$3:$U$113),0)</f>
        <v>0</v>
      </c>
      <c r="I60" s="8">
        <f>IFERROR(SUMIF('S4_10-16_AOUT'!$A$3:$A$113,$A60,'S4_10-16_AOUT'!$U$3:$U$113),0)</f>
        <v>0</v>
      </c>
      <c r="J60" s="8">
        <f>IFERROR(SUMIF('S5_17-23_AOUT'!$A$3:$A$113,$A60,'S5_17-23_AOUT'!$U$3:$U$113),0)</f>
        <v>0</v>
      </c>
      <c r="K60" s="8">
        <f>IFERROR(SUMIF('S6_24-25_AOUT'!$A$3:$A$113,$A60,'S6_24-25_AOUT'!$P$3:$P$113),0)</f>
        <v>0</v>
      </c>
      <c r="L60" s="8">
        <f t="shared" si="2"/>
        <v>74</v>
      </c>
      <c r="M60" s="8">
        <f>IFERROR(SUMIF(S1_26_JUIL!$A$3:$A$113,$A60,S1_26_JUIL!$I$3:$I$113),0)+IFERROR(SUMIF('S2_27_JUIL-02_AOUT'!$A$3:$A$113,$A60,'S2_27_JUIL-02_AOUT'!$O$3:$O$113),0)+IFERROR(SUMIF('S3_03-09_AOUT'!$A$3:$A$113,$A60,'S3_03-09_AOUT'!$O$3:$O$113),0)+IFERROR(SUMIF('S4_10-16_AOUT'!$A$3:$A$113,$A60,'S4_10-16_AOUT'!$O$3:$O$113),0)+IFERROR(SUMIF('S5_17-23_AOUT'!$A$3:$A$113,$A60,'S5_17-23_AOUT'!$O$3:$O$113),0)+IFERROR(SUMIF('S6_24-25_AOUT'!$A$3:$A$113,$A60,'S6_24-25_AOUT'!$J$3:$J$113),0)</f>
        <v>74</v>
      </c>
      <c r="N60" s="9">
        <f>IFERROR(SUMIF(S1_26_JUIL!$A$3:$A$113,$A60,S1_26_JUIL!$J$3:$J$113),0)+IFERROR(SUMIF('S2_27_JUIL-02_AOUT'!$A$3:$A$113,$A60,'S2_27_JUIL-02_AOUT'!$P$3:$P$113),0)+IFERROR(SUMIF('S3_03-09_AOUT'!$A$3:$A$113,$A60,'S3_03-09_AOUT'!$P$3:$P$113),0)+IFERROR(SUMIF('S4_10-16_AOUT'!$A$3:$A$113,$A60,'S4_10-16_AOUT'!$P$3:$P$113),0)+IFERROR(SUMIF('S5_17-23_AOUT'!$A$3:$A$113,$A60,'S5_17-23_AOUT'!$P$3:$P$113),0)+IFERROR(SUMIF('S6_24-25_AOUT'!$A$3:$A$113,$A60,'S6_24-25_AOUT'!$K$3:$K$113),0)</f>
        <v>0</v>
      </c>
      <c r="O60" s="9">
        <f>IFERROR(SUMIF(S1_26_JUIL!$A$3:$A$113,$A60,S1_26_JUIL!$K$3:$K$113),0)+IFERROR(SUMIF('S2_27_JUIL-02_AOUT'!$A$3:$A$113,$A60,'S2_27_JUIL-02_AOUT'!$Q$3:$Q$113),0)+IFERROR(SUMIF('S3_03-09_AOUT'!$A$3:$A$113,$A60,'S3_03-09_AOUT'!$Q$3:$Q$113),0)+IFERROR(SUMIF('S4_10-16_AOUT'!$A$3:$A$113,$A60,'S4_10-16_AOUT'!$Q$3:$Q$113),0)+IFERROR(SUMIF('S5_17-23_AOUT'!$A$3:$A$113,$A60,'S5_17-23_AOUT'!$Q$3:$Q$113),0)+IFERROR(SUMIF('S6_24-25_AOUT'!$A$3:$A$113,$A60,'S6_24-25_AOUT'!$L$3:$L$113),0)</f>
        <v>0</v>
      </c>
      <c r="P60" s="8">
        <f>IFERROR(SUMIF(S1_26_JUIL!$A$3:$A$113,$A60,S1_26_JUIL!$L$3:$L$113),0)+IFERROR(SUMIF('S2_27_JUIL-02_AOUT'!$A$3:$A$113,$A60,'S2_27_JUIL-02_AOUT'!$R$3:$R$113),0)+IFERROR(SUMIF('S3_03-09_AOUT'!$A$3:$A$113,$A60,'S3_03-09_AOUT'!$R$3:$R$113),0)+IFERROR(SUMIF('S4_10-16_AOUT'!$A$3:$A$113,$A60,'S4_10-16_AOUT'!$R$3:$R$113),0)+IFERROR(SUMIF('S5_17-23_AOUT'!$A$3:$A$113,$A60,'S5_17-23_AOUT'!$R$3:$R$113),0)+IFERROR(SUMIF('S6_24-25_AOUT'!$A$3:$A$113,$A60,'S6_24-25_AOUT'!$M$3:$M$113),0)</f>
        <v>2</v>
      </c>
      <c r="Q60" s="8">
        <f>IFERROR(SUMIF(S1_26_JUIL!$A$3:$A$113,$A60,S1_26_JUIL!$M$3:$M$113),0)+IFERROR(SUMIF('S2_27_JUIL-02_AOUT'!$A$3:$A$113,$A60,'S2_27_JUIL-02_AOUT'!$S$3:$S$113),0)+IFERROR(SUMIF('S3_03-09_AOUT'!$A$3:$A$113,$A60,'S3_03-09_AOUT'!$S$3:$S$113),0)+IFERROR(SUMIF('S4_10-16_AOUT'!$A$3:$A$113,$A60,'S4_10-16_AOUT'!$S$3:$S$113),0)+IFERROR(SUMIF('S5_17-23_AOUT'!$A$3:$A$113,$A60,'S5_17-23_AOUT'!$S$3:$S$113),0)+IFERROR(SUMIF('S6_24-25_AOUT'!$A$3:$A$113,$A60,'S6_24-25_AOUT'!$N$3:$N$113),0)</f>
        <v>0</v>
      </c>
      <c r="R60" s="11">
        <f>IFERROR(SUMIF(S1_26_JUIL!$A$3:$A$113,$A60,S1_26_JUIL!$N$3:$N$113),0)+IFERROR(SUMIF('S2_27_JUIL-02_AOUT'!$A$3:$A$113,$A60,'S2_27_JUIL-02_AOUT'!$T$3:$T$113),0)+IFERROR(SUMIF('S3_03-09_AOUT'!$A$3:$A$113,$A60,'S3_03-09_AOUT'!$T$3:$T$113),0)+IFERROR(SUMIF('S4_10-16_AOUT'!$A$3:$A$113,$A60,'S4_10-16_AOUT'!$T$3:$T$113),0)+IFERROR(SUMIF('S5_17-23_AOUT'!$A$3:$A$113,$A60,'S5_17-23_AOUT'!$T$3:$T$113),0)+IFERROR(SUMIF('S6_24-25_AOUT'!$A$3:$A$113,$A60,'S6_24-25_AOUT'!$O$3:$O$113),0)</f>
        <v>0</v>
      </c>
      <c r="S60" s="8">
        <f>208</f>
        <v>208</v>
      </c>
      <c r="T60" s="8">
        <f t="shared" si="3"/>
        <v>74</v>
      </c>
      <c r="U60" s="10" t="str">
        <f>IF(OR(IFERROR(INDEX(S1_26_JUIL!$P$3:$P$113,MATCH($A60,S1_26_JUIL!$A$3:$A$113,0)),"")="STC",IFERROR(INDEX('S2_27_JUIL-02_AOUT'!$V$3:$V$113,MATCH($A60,'S2_27_JUIL-02_AOUT'!$A$3:$A$113,0)),"")="STC",IFERROR(INDEX('S3_03-09_AOUT'!$V$3:$V$113,MATCH($A60,'S3_03-09_AOUT'!$A$3:$A$113,0)),"")="STC",IFERROR(INDEX('S4_10-16_AOUT'!$V$3:$V$113,MATCH($A60,'S4_10-16_AOUT'!$A$3:$A$113,0)),"")="STC",IFERROR(INDEX('S5_17-23_AOUT'!$V$3:$V$113,MATCH($A60,'S5_17-23_AOUT'!$A$3:$A$113,0)),"")="STC",IFERROR(INDEX('S6_24-25_AOUT'!$Q$3:$Q$113,MATCH($A60,'S6_24-25_AOUT'!$A$3:$A$113,0)),"")="STC"),"STC",IF(OR(IFERROR(INDEX(S1_26_JUIL!$P$3:$P$113,MATCH($A60,S1_26_JUIL!$A$3:$A$113,0)),"")="À vérifier",IFERROR(INDEX('S2_27_JUIL-02_AOUT'!$V$3:$V$113,MATCH($A60,'S2_27_JUIL-02_AOUT'!$A$3:$A$113,0)),"")="À vérifier",IFERROR(INDEX('S3_03-09_AOUT'!$V$3:$V$113,MATCH($A60,'S3_03-09_AOUT'!$A$3:$A$113,0)),"")="À vérifier",IFERROR(INDEX('S4_10-16_AOUT'!$V$3:$V$113,MATCH($A60,'S4_10-16_AOUT'!$A$3:$A$113,0)),"")="À vérifier",IFERROR(INDEX('S5_17-23_AOUT'!$V$3:$V$113,MATCH($A60,'S5_17-23_AOUT'!$A$3:$A$113,0)),"")="À vérifier",IFERROR(INDEX('S6_24-25_AOUT'!$Q$3:$Q$113,MATCH($A60,'S6_24-25_AOUT'!$A$3:$A$113,0)),"")="À vérifier",ABS(L60-T60)&gt;=0.01),"À vérifier","OK"))</f>
        <v>OK</v>
      </c>
    </row>
    <row r="61" spans="1:21">
      <c r="A61" s="12" t="s">
        <v>172</v>
      </c>
      <c r="B61" s="12" t="s">
        <v>173</v>
      </c>
      <c r="C61" s="13" t="s">
        <v>174</v>
      </c>
      <c r="D61" s="12" t="s">
        <v>31</v>
      </c>
      <c r="E61" s="10" t="s">
        <v>123</v>
      </c>
      <c r="F61" s="8">
        <f>IFERROR(SUMIF(S1_26_JUIL!$A$3:$A$113,$A61,S1_26_JUIL!$O$3:$O$113),0)</f>
        <v>0</v>
      </c>
      <c r="G61" s="8">
        <f>IFERROR(SUMIF('S2_27_JUIL-02_AOUT'!$A$3:$A$113,$A61,'S2_27_JUIL-02_AOUT'!$U$3:$U$113),0)</f>
        <v>47.5</v>
      </c>
      <c r="H61" s="8">
        <f>IFERROR(SUMIF('S3_03-09_AOUT'!$A$3:$A$113,$A61,'S3_03-09_AOUT'!$U$3:$U$113),0)</f>
        <v>0</v>
      </c>
      <c r="I61" s="8">
        <f>IFERROR(SUMIF('S4_10-16_AOUT'!$A$3:$A$113,$A61,'S4_10-16_AOUT'!$U$3:$U$113),0)</f>
        <v>0</v>
      </c>
      <c r="J61" s="8">
        <f>IFERROR(SUMIF('S5_17-23_AOUT'!$A$3:$A$113,$A61,'S5_17-23_AOUT'!$U$3:$U$113),0)</f>
        <v>0</v>
      </c>
      <c r="K61" s="8">
        <f>IFERROR(SUMIF('S6_24-25_AOUT'!$A$3:$A$113,$A61,'S6_24-25_AOUT'!$P$3:$P$113),0)</f>
        <v>0</v>
      </c>
      <c r="L61" s="8">
        <f t="shared" si="2"/>
        <v>47.5</v>
      </c>
      <c r="M61" s="8">
        <f>IFERROR(SUMIF(S1_26_JUIL!$A$3:$A$113,$A61,S1_26_JUIL!$I$3:$I$113),0)+IFERROR(SUMIF('S2_27_JUIL-02_AOUT'!$A$3:$A$113,$A61,'S2_27_JUIL-02_AOUT'!$O$3:$O$113),0)+IFERROR(SUMIF('S3_03-09_AOUT'!$A$3:$A$113,$A61,'S3_03-09_AOUT'!$O$3:$O$113),0)+IFERROR(SUMIF('S4_10-16_AOUT'!$A$3:$A$113,$A61,'S4_10-16_AOUT'!$O$3:$O$113),0)+IFERROR(SUMIF('S5_17-23_AOUT'!$A$3:$A$113,$A61,'S5_17-23_AOUT'!$O$3:$O$113),0)+IFERROR(SUMIF('S6_24-25_AOUT'!$A$3:$A$113,$A61,'S6_24-25_AOUT'!$J$3:$J$113),0)</f>
        <v>47.5</v>
      </c>
      <c r="N61" s="9">
        <f>IFERROR(SUMIF(S1_26_JUIL!$A$3:$A$113,$A61,S1_26_JUIL!$J$3:$J$113),0)+IFERROR(SUMIF('S2_27_JUIL-02_AOUT'!$A$3:$A$113,$A61,'S2_27_JUIL-02_AOUT'!$P$3:$P$113),0)+IFERROR(SUMIF('S3_03-09_AOUT'!$A$3:$A$113,$A61,'S3_03-09_AOUT'!$P$3:$P$113),0)+IFERROR(SUMIF('S4_10-16_AOUT'!$A$3:$A$113,$A61,'S4_10-16_AOUT'!$P$3:$P$113),0)+IFERROR(SUMIF('S5_17-23_AOUT'!$A$3:$A$113,$A61,'S5_17-23_AOUT'!$P$3:$P$113),0)+IFERROR(SUMIF('S6_24-25_AOUT'!$A$3:$A$113,$A61,'S6_24-25_AOUT'!$K$3:$K$113),0)</f>
        <v>0</v>
      </c>
      <c r="O61" s="9">
        <f>IFERROR(SUMIF(S1_26_JUIL!$A$3:$A$113,$A61,S1_26_JUIL!$K$3:$K$113),0)+IFERROR(SUMIF('S2_27_JUIL-02_AOUT'!$A$3:$A$113,$A61,'S2_27_JUIL-02_AOUT'!$Q$3:$Q$113),0)+IFERROR(SUMIF('S3_03-09_AOUT'!$A$3:$A$113,$A61,'S3_03-09_AOUT'!$Q$3:$Q$113),0)+IFERROR(SUMIF('S4_10-16_AOUT'!$A$3:$A$113,$A61,'S4_10-16_AOUT'!$Q$3:$Q$113),0)+IFERROR(SUMIF('S5_17-23_AOUT'!$A$3:$A$113,$A61,'S5_17-23_AOUT'!$Q$3:$Q$113),0)+IFERROR(SUMIF('S6_24-25_AOUT'!$A$3:$A$113,$A61,'S6_24-25_AOUT'!$L$3:$L$113),0)</f>
        <v>0</v>
      </c>
      <c r="P61" s="8">
        <f>IFERROR(SUMIF(S1_26_JUIL!$A$3:$A$113,$A61,S1_26_JUIL!$L$3:$L$113),0)+IFERROR(SUMIF('S2_27_JUIL-02_AOUT'!$A$3:$A$113,$A61,'S2_27_JUIL-02_AOUT'!$R$3:$R$113),0)+IFERROR(SUMIF('S3_03-09_AOUT'!$A$3:$A$113,$A61,'S3_03-09_AOUT'!$R$3:$R$113),0)+IFERROR(SUMIF('S4_10-16_AOUT'!$A$3:$A$113,$A61,'S4_10-16_AOUT'!$R$3:$R$113),0)+IFERROR(SUMIF('S5_17-23_AOUT'!$A$3:$A$113,$A61,'S5_17-23_AOUT'!$R$3:$R$113),0)+IFERROR(SUMIF('S6_24-25_AOUT'!$A$3:$A$113,$A61,'S6_24-25_AOUT'!$M$3:$M$113),0)</f>
        <v>0</v>
      </c>
      <c r="Q61" s="8">
        <f>IFERROR(SUMIF(S1_26_JUIL!$A$3:$A$113,$A61,S1_26_JUIL!$M$3:$M$113),0)+IFERROR(SUMIF('S2_27_JUIL-02_AOUT'!$A$3:$A$113,$A61,'S2_27_JUIL-02_AOUT'!$S$3:$S$113),0)+IFERROR(SUMIF('S3_03-09_AOUT'!$A$3:$A$113,$A61,'S3_03-09_AOUT'!$S$3:$S$113),0)+IFERROR(SUMIF('S4_10-16_AOUT'!$A$3:$A$113,$A61,'S4_10-16_AOUT'!$S$3:$S$113),0)+IFERROR(SUMIF('S5_17-23_AOUT'!$A$3:$A$113,$A61,'S5_17-23_AOUT'!$S$3:$S$113),0)+IFERROR(SUMIF('S6_24-25_AOUT'!$A$3:$A$113,$A61,'S6_24-25_AOUT'!$N$3:$N$113),0)</f>
        <v>0</v>
      </c>
      <c r="R61" s="11">
        <f>IFERROR(SUMIF(S1_26_JUIL!$A$3:$A$113,$A61,S1_26_JUIL!$N$3:$N$113),0)+IFERROR(SUMIF('S2_27_JUIL-02_AOUT'!$A$3:$A$113,$A61,'S2_27_JUIL-02_AOUT'!$T$3:$T$113),0)+IFERROR(SUMIF('S3_03-09_AOUT'!$A$3:$A$113,$A61,'S3_03-09_AOUT'!$T$3:$T$113),0)+IFERROR(SUMIF('S4_10-16_AOUT'!$A$3:$A$113,$A61,'S4_10-16_AOUT'!$T$3:$T$113),0)+IFERROR(SUMIF('S5_17-23_AOUT'!$A$3:$A$113,$A61,'S5_17-23_AOUT'!$T$3:$T$113),0)+IFERROR(SUMIF('S6_24-25_AOUT'!$A$3:$A$113,$A61,'S6_24-25_AOUT'!$O$3:$O$113),0)</f>
        <v>0</v>
      </c>
      <c r="S61" s="8">
        <f>208</f>
        <v>208</v>
      </c>
      <c r="T61" s="8">
        <f t="shared" si="3"/>
        <v>47.5</v>
      </c>
      <c r="U61" s="10" t="str">
        <f>IF(OR(IFERROR(INDEX(S1_26_JUIL!$P$3:$P$113,MATCH($A61,S1_26_JUIL!$A$3:$A$113,0)),"")="STC",IFERROR(INDEX('S2_27_JUIL-02_AOUT'!$V$3:$V$113,MATCH($A61,'S2_27_JUIL-02_AOUT'!$A$3:$A$113,0)),"")="STC",IFERROR(INDEX('S3_03-09_AOUT'!$V$3:$V$113,MATCH($A61,'S3_03-09_AOUT'!$A$3:$A$113,0)),"")="STC",IFERROR(INDEX('S4_10-16_AOUT'!$V$3:$V$113,MATCH($A61,'S4_10-16_AOUT'!$A$3:$A$113,0)),"")="STC",IFERROR(INDEX('S5_17-23_AOUT'!$V$3:$V$113,MATCH($A61,'S5_17-23_AOUT'!$A$3:$A$113,0)),"")="STC",IFERROR(INDEX('S6_24-25_AOUT'!$Q$3:$Q$113,MATCH($A61,'S6_24-25_AOUT'!$A$3:$A$113,0)),"")="STC"),"STC",IF(OR(IFERROR(INDEX(S1_26_JUIL!$P$3:$P$113,MATCH($A61,S1_26_JUIL!$A$3:$A$113,0)),"")="À vérifier",IFERROR(INDEX('S2_27_JUIL-02_AOUT'!$V$3:$V$113,MATCH($A61,'S2_27_JUIL-02_AOUT'!$A$3:$A$113,0)),"")="À vérifier",IFERROR(INDEX('S3_03-09_AOUT'!$V$3:$V$113,MATCH($A61,'S3_03-09_AOUT'!$A$3:$A$113,0)),"")="À vérifier",IFERROR(INDEX('S4_10-16_AOUT'!$V$3:$V$113,MATCH($A61,'S4_10-16_AOUT'!$A$3:$A$113,0)),"")="À vérifier",IFERROR(INDEX('S5_17-23_AOUT'!$V$3:$V$113,MATCH($A61,'S5_17-23_AOUT'!$A$3:$A$113,0)),"")="À vérifier",IFERROR(INDEX('S6_24-25_AOUT'!$Q$3:$Q$113,MATCH($A61,'S6_24-25_AOUT'!$A$3:$A$113,0)),"")="À vérifier",ABS(L61-T61)&gt;=0.01),"À vérifier","OK"))</f>
        <v>OK</v>
      </c>
    </row>
    <row r="62" spans="1:21">
      <c r="A62" s="12" t="s">
        <v>175</v>
      </c>
      <c r="B62" s="12" t="s">
        <v>176</v>
      </c>
      <c r="C62" s="13" t="s">
        <v>177</v>
      </c>
      <c r="D62" s="12" t="s">
        <v>31</v>
      </c>
      <c r="E62" s="10" t="s">
        <v>123</v>
      </c>
      <c r="F62" s="8">
        <f>IFERROR(SUMIF(S1_26_JUIL!$A$3:$A$113,$A62,S1_26_JUIL!$O$3:$O$113),0)</f>
        <v>0</v>
      </c>
      <c r="G62" s="8">
        <f>IFERROR(SUMIF('S2_27_JUIL-02_AOUT'!$A$3:$A$113,$A62,'S2_27_JUIL-02_AOUT'!$U$3:$U$113),0)</f>
        <v>47.5</v>
      </c>
      <c r="H62" s="8">
        <f>IFERROR(SUMIF('S3_03-09_AOUT'!$A$3:$A$113,$A62,'S3_03-09_AOUT'!$U$3:$U$113),0)</f>
        <v>0</v>
      </c>
      <c r="I62" s="8">
        <f>IFERROR(SUMIF('S4_10-16_AOUT'!$A$3:$A$113,$A62,'S4_10-16_AOUT'!$U$3:$U$113),0)</f>
        <v>0</v>
      </c>
      <c r="J62" s="8">
        <f>IFERROR(SUMIF('S5_17-23_AOUT'!$A$3:$A$113,$A62,'S5_17-23_AOUT'!$U$3:$U$113),0)</f>
        <v>0</v>
      </c>
      <c r="K62" s="8">
        <f>IFERROR(SUMIF('S6_24-25_AOUT'!$A$3:$A$113,$A62,'S6_24-25_AOUT'!$P$3:$P$113),0)</f>
        <v>0</v>
      </c>
      <c r="L62" s="8">
        <f t="shared" si="2"/>
        <v>47.5</v>
      </c>
      <c r="M62" s="8">
        <f>IFERROR(SUMIF(S1_26_JUIL!$A$3:$A$113,$A62,S1_26_JUIL!$I$3:$I$113),0)+IFERROR(SUMIF('S2_27_JUIL-02_AOUT'!$A$3:$A$113,$A62,'S2_27_JUIL-02_AOUT'!$O$3:$O$113),0)+IFERROR(SUMIF('S3_03-09_AOUT'!$A$3:$A$113,$A62,'S3_03-09_AOUT'!$O$3:$O$113),0)+IFERROR(SUMIF('S4_10-16_AOUT'!$A$3:$A$113,$A62,'S4_10-16_AOUT'!$O$3:$O$113),0)+IFERROR(SUMIF('S5_17-23_AOUT'!$A$3:$A$113,$A62,'S5_17-23_AOUT'!$O$3:$O$113),0)+IFERROR(SUMIF('S6_24-25_AOUT'!$A$3:$A$113,$A62,'S6_24-25_AOUT'!$J$3:$J$113),0)</f>
        <v>47.5</v>
      </c>
      <c r="N62" s="9">
        <f>IFERROR(SUMIF(S1_26_JUIL!$A$3:$A$113,$A62,S1_26_JUIL!$J$3:$J$113),0)+IFERROR(SUMIF('S2_27_JUIL-02_AOUT'!$A$3:$A$113,$A62,'S2_27_JUIL-02_AOUT'!$P$3:$P$113),0)+IFERROR(SUMIF('S3_03-09_AOUT'!$A$3:$A$113,$A62,'S3_03-09_AOUT'!$P$3:$P$113),0)+IFERROR(SUMIF('S4_10-16_AOUT'!$A$3:$A$113,$A62,'S4_10-16_AOUT'!$P$3:$P$113),0)+IFERROR(SUMIF('S5_17-23_AOUT'!$A$3:$A$113,$A62,'S5_17-23_AOUT'!$P$3:$P$113),0)+IFERROR(SUMIF('S6_24-25_AOUT'!$A$3:$A$113,$A62,'S6_24-25_AOUT'!$K$3:$K$113),0)</f>
        <v>0</v>
      </c>
      <c r="O62" s="9">
        <f>IFERROR(SUMIF(S1_26_JUIL!$A$3:$A$113,$A62,S1_26_JUIL!$K$3:$K$113),0)+IFERROR(SUMIF('S2_27_JUIL-02_AOUT'!$A$3:$A$113,$A62,'S2_27_JUIL-02_AOUT'!$Q$3:$Q$113),0)+IFERROR(SUMIF('S3_03-09_AOUT'!$A$3:$A$113,$A62,'S3_03-09_AOUT'!$Q$3:$Q$113),0)+IFERROR(SUMIF('S4_10-16_AOUT'!$A$3:$A$113,$A62,'S4_10-16_AOUT'!$Q$3:$Q$113),0)+IFERROR(SUMIF('S5_17-23_AOUT'!$A$3:$A$113,$A62,'S5_17-23_AOUT'!$Q$3:$Q$113),0)+IFERROR(SUMIF('S6_24-25_AOUT'!$A$3:$A$113,$A62,'S6_24-25_AOUT'!$L$3:$L$113),0)</f>
        <v>0</v>
      </c>
      <c r="P62" s="8">
        <f>IFERROR(SUMIF(S1_26_JUIL!$A$3:$A$113,$A62,S1_26_JUIL!$L$3:$L$113),0)+IFERROR(SUMIF('S2_27_JUIL-02_AOUT'!$A$3:$A$113,$A62,'S2_27_JUIL-02_AOUT'!$R$3:$R$113),0)+IFERROR(SUMIF('S3_03-09_AOUT'!$A$3:$A$113,$A62,'S3_03-09_AOUT'!$R$3:$R$113),0)+IFERROR(SUMIF('S4_10-16_AOUT'!$A$3:$A$113,$A62,'S4_10-16_AOUT'!$R$3:$R$113),0)+IFERROR(SUMIF('S5_17-23_AOUT'!$A$3:$A$113,$A62,'S5_17-23_AOUT'!$R$3:$R$113),0)+IFERROR(SUMIF('S6_24-25_AOUT'!$A$3:$A$113,$A62,'S6_24-25_AOUT'!$M$3:$M$113),0)</f>
        <v>0</v>
      </c>
      <c r="Q62" s="8">
        <f>IFERROR(SUMIF(S1_26_JUIL!$A$3:$A$113,$A62,S1_26_JUIL!$M$3:$M$113),0)+IFERROR(SUMIF('S2_27_JUIL-02_AOUT'!$A$3:$A$113,$A62,'S2_27_JUIL-02_AOUT'!$S$3:$S$113),0)+IFERROR(SUMIF('S3_03-09_AOUT'!$A$3:$A$113,$A62,'S3_03-09_AOUT'!$S$3:$S$113),0)+IFERROR(SUMIF('S4_10-16_AOUT'!$A$3:$A$113,$A62,'S4_10-16_AOUT'!$S$3:$S$113),0)+IFERROR(SUMIF('S5_17-23_AOUT'!$A$3:$A$113,$A62,'S5_17-23_AOUT'!$S$3:$S$113),0)+IFERROR(SUMIF('S6_24-25_AOUT'!$A$3:$A$113,$A62,'S6_24-25_AOUT'!$N$3:$N$113),0)</f>
        <v>0</v>
      </c>
      <c r="R62" s="11">
        <f>IFERROR(SUMIF(S1_26_JUIL!$A$3:$A$113,$A62,S1_26_JUIL!$N$3:$N$113),0)+IFERROR(SUMIF('S2_27_JUIL-02_AOUT'!$A$3:$A$113,$A62,'S2_27_JUIL-02_AOUT'!$T$3:$T$113),0)+IFERROR(SUMIF('S3_03-09_AOUT'!$A$3:$A$113,$A62,'S3_03-09_AOUT'!$T$3:$T$113),0)+IFERROR(SUMIF('S4_10-16_AOUT'!$A$3:$A$113,$A62,'S4_10-16_AOUT'!$T$3:$T$113),0)+IFERROR(SUMIF('S5_17-23_AOUT'!$A$3:$A$113,$A62,'S5_17-23_AOUT'!$T$3:$T$113),0)+IFERROR(SUMIF('S6_24-25_AOUT'!$A$3:$A$113,$A62,'S6_24-25_AOUT'!$O$3:$O$113),0)</f>
        <v>0</v>
      </c>
      <c r="S62" s="8">
        <f>208</f>
        <v>208</v>
      </c>
      <c r="T62" s="8">
        <f t="shared" si="3"/>
        <v>47.5</v>
      </c>
      <c r="U62" s="10" t="str">
        <f>IF(OR(IFERROR(INDEX(S1_26_JUIL!$P$3:$P$113,MATCH($A62,S1_26_JUIL!$A$3:$A$113,0)),"")="STC",IFERROR(INDEX('S2_27_JUIL-02_AOUT'!$V$3:$V$113,MATCH($A62,'S2_27_JUIL-02_AOUT'!$A$3:$A$113,0)),"")="STC",IFERROR(INDEX('S3_03-09_AOUT'!$V$3:$V$113,MATCH($A62,'S3_03-09_AOUT'!$A$3:$A$113,0)),"")="STC",IFERROR(INDEX('S4_10-16_AOUT'!$V$3:$V$113,MATCH($A62,'S4_10-16_AOUT'!$A$3:$A$113,0)),"")="STC",IFERROR(INDEX('S5_17-23_AOUT'!$V$3:$V$113,MATCH($A62,'S5_17-23_AOUT'!$A$3:$A$113,0)),"")="STC",IFERROR(INDEX('S6_24-25_AOUT'!$Q$3:$Q$113,MATCH($A62,'S6_24-25_AOUT'!$A$3:$A$113,0)),"")="STC"),"STC",IF(OR(IFERROR(INDEX(S1_26_JUIL!$P$3:$P$113,MATCH($A62,S1_26_JUIL!$A$3:$A$113,0)),"")="À vérifier",IFERROR(INDEX('S2_27_JUIL-02_AOUT'!$V$3:$V$113,MATCH($A62,'S2_27_JUIL-02_AOUT'!$A$3:$A$113,0)),"")="À vérifier",IFERROR(INDEX('S3_03-09_AOUT'!$V$3:$V$113,MATCH($A62,'S3_03-09_AOUT'!$A$3:$A$113,0)),"")="À vérifier",IFERROR(INDEX('S4_10-16_AOUT'!$V$3:$V$113,MATCH($A62,'S4_10-16_AOUT'!$A$3:$A$113,0)),"")="À vérifier",IFERROR(INDEX('S5_17-23_AOUT'!$V$3:$V$113,MATCH($A62,'S5_17-23_AOUT'!$A$3:$A$113,0)),"")="À vérifier",IFERROR(INDEX('S6_24-25_AOUT'!$Q$3:$Q$113,MATCH($A62,'S6_24-25_AOUT'!$A$3:$A$113,0)),"")="À vérifier",ABS(L62-T62)&gt;=0.01),"À vérifier","OK"))</f>
        <v>OK</v>
      </c>
    </row>
    <row r="63" spans="1:21">
      <c r="A63" s="12" t="s">
        <v>178</v>
      </c>
      <c r="B63" s="12" t="s">
        <v>179</v>
      </c>
      <c r="C63" s="13" t="s">
        <v>180</v>
      </c>
      <c r="D63" s="12" t="s">
        <v>31</v>
      </c>
      <c r="E63" s="10" t="s">
        <v>123</v>
      </c>
      <c r="F63" s="8">
        <f>IFERROR(SUMIF(S1_26_JUIL!$A$3:$A$113,$A63,S1_26_JUIL!$O$3:$O$113),0)</f>
        <v>0</v>
      </c>
      <c r="G63" s="8">
        <f>IFERROR(SUMIF('S2_27_JUIL-02_AOUT'!$A$3:$A$113,$A63,'S2_27_JUIL-02_AOUT'!$U$3:$U$113),0)</f>
        <v>47.5</v>
      </c>
      <c r="H63" s="8">
        <f>IFERROR(SUMIF('S3_03-09_AOUT'!$A$3:$A$113,$A63,'S3_03-09_AOUT'!$U$3:$U$113),0)</f>
        <v>0</v>
      </c>
      <c r="I63" s="8">
        <f>IFERROR(SUMIF('S4_10-16_AOUT'!$A$3:$A$113,$A63,'S4_10-16_AOUT'!$U$3:$U$113),0)</f>
        <v>0</v>
      </c>
      <c r="J63" s="8">
        <f>IFERROR(SUMIF('S5_17-23_AOUT'!$A$3:$A$113,$A63,'S5_17-23_AOUT'!$U$3:$U$113),0)</f>
        <v>0</v>
      </c>
      <c r="K63" s="8">
        <f>IFERROR(SUMIF('S6_24-25_AOUT'!$A$3:$A$113,$A63,'S6_24-25_AOUT'!$P$3:$P$113),0)</f>
        <v>0</v>
      </c>
      <c r="L63" s="8">
        <f t="shared" si="2"/>
        <v>47.5</v>
      </c>
      <c r="M63" s="8">
        <f>IFERROR(SUMIF(S1_26_JUIL!$A$3:$A$113,$A63,S1_26_JUIL!$I$3:$I$113),0)+IFERROR(SUMIF('S2_27_JUIL-02_AOUT'!$A$3:$A$113,$A63,'S2_27_JUIL-02_AOUT'!$O$3:$O$113),0)+IFERROR(SUMIF('S3_03-09_AOUT'!$A$3:$A$113,$A63,'S3_03-09_AOUT'!$O$3:$O$113),0)+IFERROR(SUMIF('S4_10-16_AOUT'!$A$3:$A$113,$A63,'S4_10-16_AOUT'!$O$3:$O$113),0)+IFERROR(SUMIF('S5_17-23_AOUT'!$A$3:$A$113,$A63,'S5_17-23_AOUT'!$O$3:$O$113),0)+IFERROR(SUMIF('S6_24-25_AOUT'!$A$3:$A$113,$A63,'S6_24-25_AOUT'!$J$3:$J$113),0)</f>
        <v>47.5</v>
      </c>
      <c r="N63" s="9">
        <f>IFERROR(SUMIF(S1_26_JUIL!$A$3:$A$113,$A63,S1_26_JUIL!$J$3:$J$113),0)+IFERROR(SUMIF('S2_27_JUIL-02_AOUT'!$A$3:$A$113,$A63,'S2_27_JUIL-02_AOUT'!$P$3:$P$113),0)+IFERROR(SUMIF('S3_03-09_AOUT'!$A$3:$A$113,$A63,'S3_03-09_AOUT'!$P$3:$P$113),0)+IFERROR(SUMIF('S4_10-16_AOUT'!$A$3:$A$113,$A63,'S4_10-16_AOUT'!$P$3:$P$113),0)+IFERROR(SUMIF('S5_17-23_AOUT'!$A$3:$A$113,$A63,'S5_17-23_AOUT'!$P$3:$P$113),0)+IFERROR(SUMIF('S6_24-25_AOUT'!$A$3:$A$113,$A63,'S6_24-25_AOUT'!$K$3:$K$113),0)</f>
        <v>0</v>
      </c>
      <c r="O63" s="9">
        <f>IFERROR(SUMIF(S1_26_JUIL!$A$3:$A$113,$A63,S1_26_JUIL!$K$3:$K$113),0)+IFERROR(SUMIF('S2_27_JUIL-02_AOUT'!$A$3:$A$113,$A63,'S2_27_JUIL-02_AOUT'!$Q$3:$Q$113),0)+IFERROR(SUMIF('S3_03-09_AOUT'!$A$3:$A$113,$A63,'S3_03-09_AOUT'!$Q$3:$Q$113),0)+IFERROR(SUMIF('S4_10-16_AOUT'!$A$3:$A$113,$A63,'S4_10-16_AOUT'!$Q$3:$Q$113),0)+IFERROR(SUMIF('S5_17-23_AOUT'!$A$3:$A$113,$A63,'S5_17-23_AOUT'!$Q$3:$Q$113),0)+IFERROR(SUMIF('S6_24-25_AOUT'!$A$3:$A$113,$A63,'S6_24-25_AOUT'!$L$3:$L$113),0)</f>
        <v>0</v>
      </c>
      <c r="P63" s="8">
        <f>IFERROR(SUMIF(S1_26_JUIL!$A$3:$A$113,$A63,S1_26_JUIL!$L$3:$L$113),0)+IFERROR(SUMIF('S2_27_JUIL-02_AOUT'!$A$3:$A$113,$A63,'S2_27_JUIL-02_AOUT'!$R$3:$R$113),0)+IFERROR(SUMIF('S3_03-09_AOUT'!$A$3:$A$113,$A63,'S3_03-09_AOUT'!$R$3:$R$113),0)+IFERROR(SUMIF('S4_10-16_AOUT'!$A$3:$A$113,$A63,'S4_10-16_AOUT'!$R$3:$R$113),0)+IFERROR(SUMIF('S5_17-23_AOUT'!$A$3:$A$113,$A63,'S5_17-23_AOUT'!$R$3:$R$113),0)+IFERROR(SUMIF('S6_24-25_AOUT'!$A$3:$A$113,$A63,'S6_24-25_AOUT'!$M$3:$M$113),0)</f>
        <v>0</v>
      </c>
      <c r="Q63" s="8">
        <f>IFERROR(SUMIF(S1_26_JUIL!$A$3:$A$113,$A63,S1_26_JUIL!$M$3:$M$113),0)+IFERROR(SUMIF('S2_27_JUIL-02_AOUT'!$A$3:$A$113,$A63,'S2_27_JUIL-02_AOUT'!$S$3:$S$113),0)+IFERROR(SUMIF('S3_03-09_AOUT'!$A$3:$A$113,$A63,'S3_03-09_AOUT'!$S$3:$S$113),0)+IFERROR(SUMIF('S4_10-16_AOUT'!$A$3:$A$113,$A63,'S4_10-16_AOUT'!$S$3:$S$113),0)+IFERROR(SUMIF('S5_17-23_AOUT'!$A$3:$A$113,$A63,'S5_17-23_AOUT'!$S$3:$S$113),0)+IFERROR(SUMIF('S6_24-25_AOUT'!$A$3:$A$113,$A63,'S6_24-25_AOUT'!$N$3:$N$113),0)</f>
        <v>0</v>
      </c>
      <c r="R63" s="11">
        <f>IFERROR(SUMIF(S1_26_JUIL!$A$3:$A$113,$A63,S1_26_JUIL!$N$3:$N$113),0)+IFERROR(SUMIF('S2_27_JUIL-02_AOUT'!$A$3:$A$113,$A63,'S2_27_JUIL-02_AOUT'!$T$3:$T$113),0)+IFERROR(SUMIF('S3_03-09_AOUT'!$A$3:$A$113,$A63,'S3_03-09_AOUT'!$T$3:$T$113),0)+IFERROR(SUMIF('S4_10-16_AOUT'!$A$3:$A$113,$A63,'S4_10-16_AOUT'!$T$3:$T$113),0)+IFERROR(SUMIF('S5_17-23_AOUT'!$A$3:$A$113,$A63,'S5_17-23_AOUT'!$T$3:$T$113),0)+IFERROR(SUMIF('S6_24-25_AOUT'!$A$3:$A$113,$A63,'S6_24-25_AOUT'!$O$3:$O$113),0)</f>
        <v>0</v>
      </c>
      <c r="S63" s="8">
        <f>208</f>
        <v>208</v>
      </c>
      <c r="T63" s="8">
        <f t="shared" si="3"/>
        <v>47.5</v>
      </c>
      <c r="U63" s="10" t="str">
        <f>IF(OR(IFERROR(INDEX(S1_26_JUIL!$P$3:$P$113,MATCH($A63,S1_26_JUIL!$A$3:$A$113,0)),"")="STC",IFERROR(INDEX('S2_27_JUIL-02_AOUT'!$V$3:$V$113,MATCH($A63,'S2_27_JUIL-02_AOUT'!$A$3:$A$113,0)),"")="STC",IFERROR(INDEX('S3_03-09_AOUT'!$V$3:$V$113,MATCH($A63,'S3_03-09_AOUT'!$A$3:$A$113,0)),"")="STC",IFERROR(INDEX('S4_10-16_AOUT'!$V$3:$V$113,MATCH($A63,'S4_10-16_AOUT'!$A$3:$A$113,0)),"")="STC",IFERROR(INDEX('S5_17-23_AOUT'!$V$3:$V$113,MATCH($A63,'S5_17-23_AOUT'!$A$3:$A$113,0)),"")="STC",IFERROR(INDEX('S6_24-25_AOUT'!$Q$3:$Q$113,MATCH($A63,'S6_24-25_AOUT'!$A$3:$A$113,0)),"")="STC"),"STC",IF(OR(IFERROR(INDEX(S1_26_JUIL!$P$3:$P$113,MATCH($A63,S1_26_JUIL!$A$3:$A$113,0)),"")="À vérifier",IFERROR(INDEX('S2_27_JUIL-02_AOUT'!$V$3:$V$113,MATCH($A63,'S2_27_JUIL-02_AOUT'!$A$3:$A$113,0)),"")="À vérifier",IFERROR(INDEX('S3_03-09_AOUT'!$V$3:$V$113,MATCH($A63,'S3_03-09_AOUT'!$A$3:$A$113,0)),"")="À vérifier",IFERROR(INDEX('S4_10-16_AOUT'!$V$3:$V$113,MATCH($A63,'S4_10-16_AOUT'!$A$3:$A$113,0)),"")="À vérifier",IFERROR(INDEX('S5_17-23_AOUT'!$V$3:$V$113,MATCH($A63,'S5_17-23_AOUT'!$A$3:$A$113,0)),"")="À vérifier",IFERROR(INDEX('S6_24-25_AOUT'!$Q$3:$Q$113,MATCH($A63,'S6_24-25_AOUT'!$A$3:$A$113,0)),"")="À vérifier",ABS(L63-T63)&gt;=0.01),"À vérifier","OK"))</f>
        <v>OK</v>
      </c>
    </row>
    <row r="64" spans="1:21">
      <c r="A64" s="12" t="s">
        <v>181</v>
      </c>
      <c r="B64" s="12" t="s">
        <v>182</v>
      </c>
      <c r="C64" s="13" t="s">
        <v>183</v>
      </c>
      <c r="D64" s="12" t="s">
        <v>31</v>
      </c>
      <c r="E64" s="10" t="s">
        <v>123</v>
      </c>
      <c r="F64" s="8">
        <f>IFERROR(SUMIF(S1_26_JUIL!$A$3:$A$113,$A64,S1_26_JUIL!$O$3:$O$113),0)</f>
        <v>0</v>
      </c>
      <c r="G64" s="8">
        <f>IFERROR(SUMIF('S2_27_JUIL-02_AOUT'!$A$3:$A$113,$A64,'S2_27_JUIL-02_AOUT'!$U$3:$U$113),0)</f>
        <v>44</v>
      </c>
      <c r="H64" s="8">
        <f>IFERROR(SUMIF('S3_03-09_AOUT'!$A$3:$A$113,$A64,'S3_03-09_AOUT'!$U$3:$U$113),0)</f>
        <v>0</v>
      </c>
      <c r="I64" s="8">
        <f>IFERROR(SUMIF('S4_10-16_AOUT'!$A$3:$A$113,$A64,'S4_10-16_AOUT'!$U$3:$U$113),0)</f>
        <v>0</v>
      </c>
      <c r="J64" s="8">
        <f>IFERROR(SUMIF('S5_17-23_AOUT'!$A$3:$A$113,$A64,'S5_17-23_AOUT'!$U$3:$U$113),0)</f>
        <v>0</v>
      </c>
      <c r="K64" s="8">
        <f>IFERROR(SUMIF('S6_24-25_AOUT'!$A$3:$A$113,$A64,'S6_24-25_AOUT'!$P$3:$P$113),0)</f>
        <v>0</v>
      </c>
      <c r="L64" s="8">
        <f t="shared" si="2"/>
        <v>44</v>
      </c>
      <c r="M64" s="8">
        <f>IFERROR(SUMIF(S1_26_JUIL!$A$3:$A$113,$A64,S1_26_JUIL!$I$3:$I$113),0)+IFERROR(SUMIF('S2_27_JUIL-02_AOUT'!$A$3:$A$113,$A64,'S2_27_JUIL-02_AOUT'!$O$3:$O$113),0)+IFERROR(SUMIF('S3_03-09_AOUT'!$A$3:$A$113,$A64,'S3_03-09_AOUT'!$O$3:$O$113),0)+IFERROR(SUMIF('S4_10-16_AOUT'!$A$3:$A$113,$A64,'S4_10-16_AOUT'!$O$3:$O$113),0)+IFERROR(SUMIF('S5_17-23_AOUT'!$A$3:$A$113,$A64,'S5_17-23_AOUT'!$O$3:$O$113),0)+IFERROR(SUMIF('S6_24-25_AOUT'!$A$3:$A$113,$A64,'S6_24-25_AOUT'!$J$3:$J$113),0)</f>
        <v>44</v>
      </c>
      <c r="N64" s="9">
        <f>IFERROR(SUMIF(S1_26_JUIL!$A$3:$A$113,$A64,S1_26_JUIL!$J$3:$J$113),0)+IFERROR(SUMIF('S2_27_JUIL-02_AOUT'!$A$3:$A$113,$A64,'S2_27_JUIL-02_AOUT'!$P$3:$P$113),0)+IFERROR(SUMIF('S3_03-09_AOUT'!$A$3:$A$113,$A64,'S3_03-09_AOUT'!$P$3:$P$113),0)+IFERROR(SUMIF('S4_10-16_AOUT'!$A$3:$A$113,$A64,'S4_10-16_AOUT'!$P$3:$P$113),0)+IFERROR(SUMIF('S5_17-23_AOUT'!$A$3:$A$113,$A64,'S5_17-23_AOUT'!$P$3:$P$113),0)+IFERROR(SUMIF('S6_24-25_AOUT'!$A$3:$A$113,$A64,'S6_24-25_AOUT'!$K$3:$K$113),0)</f>
        <v>0</v>
      </c>
      <c r="O64" s="9">
        <f>IFERROR(SUMIF(S1_26_JUIL!$A$3:$A$113,$A64,S1_26_JUIL!$K$3:$K$113),0)+IFERROR(SUMIF('S2_27_JUIL-02_AOUT'!$A$3:$A$113,$A64,'S2_27_JUIL-02_AOUT'!$Q$3:$Q$113),0)+IFERROR(SUMIF('S3_03-09_AOUT'!$A$3:$A$113,$A64,'S3_03-09_AOUT'!$Q$3:$Q$113),0)+IFERROR(SUMIF('S4_10-16_AOUT'!$A$3:$A$113,$A64,'S4_10-16_AOUT'!$Q$3:$Q$113),0)+IFERROR(SUMIF('S5_17-23_AOUT'!$A$3:$A$113,$A64,'S5_17-23_AOUT'!$Q$3:$Q$113),0)+IFERROR(SUMIF('S6_24-25_AOUT'!$A$3:$A$113,$A64,'S6_24-25_AOUT'!$L$3:$L$113),0)</f>
        <v>0</v>
      </c>
      <c r="P64" s="8">
        <f>IFERROR(SUMIF(S1_26_JUIL!$A$3:$A$113,$A64,S1_26_JUIL!$L$3:$L$113),0)+IFERROR(SUMIF('S2_27_JUIL-02_AOUT'!$A$3:$A$113,$A64,'S2_27_JUIL-02_AOUT'!$R$3:$R$113),0)+IFERROR(SUMIF('S3_03-09_AOUT'!$A$3:$A$113,$A64,'S3_03-09_AOUT'!$R$3:$R$113),0)+IFERROR(SUMIF('S4_10-16_AOUT'!$A$3:$A$113,$A64,'S4_10-16_AOUT'!$R$3:$R$113),0)+IFERROR(SUMIF('S5_17-23_AOUT'!$A$3:$A$113,$A64,'S5_17-23_AOUT'!$R$3:$R$113),0)+IFERROR(SUMIF('S6_24-25_AOUT'!$A$3:$A$113,$A64,'S6_24-25_AOUT'!$M$3:$M$113),0)</f>
        <v>0</v>
      </c>
      <c r="Q64" s="8">
        <f>IFERROR(SUMIF(S1_26_JUIL!$A$3:$A$113,$A64,S1_26_JUIL!$M$3:$M$113),0)+IFERROR(SUMIF('S2_27_JUIL-02_AOUT'!$A$3:$A$113,$A64,'S2_27_JUIL-02_AOUT'!$S$3:$S$113),0)+IFERROR(SUMIF('S3_03-09_AOUT'!$A$3:$A$113,$A64,'S3_03-09_AOUT'!$S$3:$S$113),0)+IFERROR(SUMIF('S4_10-16_AOUT'!$A$3:$A$113,$A64,'S4_10-16_AOUT'!$S$3:$S$113),0)+IFERROR(SUMIF('S5_17-23_AOUT'!$A$3:$A$113,$A64,'S5_17-23_AOUT'!$S$3:$S$113),0)+IFERROR(SUMIF('S6_24-25_AOUT'!$A$3:$A$113,$A64,'S6_24-25_AOUT'!$N$3:$N$113),0)</f>
        <v>0</v>
      </c>
      <c r="R64" s="11">
        <f>IFERROR(SUMIF(S1_26_JUIL!$A$3:$A$113,$A64,S1_26_JUIL!$N$3:$N$113),0)+IFERROR(SUMIF('S2_27_JUIL-02_AOUT'!$A$3:$A$113,$A64,'S2_27_JUIL-02_AOUT'!$T$3:$T$113),0)+IFERROR(SUMIF('S3_03-09_AOUT'!$A$3:$A$113,$A64,'S3_03-09_AOUT'!$T$3:$T$113),0)+IFERROR(SUMIF('S4_10-16_AOUT'!$A$3:$A$113,$A64,'S4_10-16_AOUT'!$T$3:$T$113),0)+IFERROR(SUMIF('S5_17-23_AOUT'!$A$3:$A$113,$A64,'S5_17-23_AOUT'!$T$3:$T$113),0)+IFERROR(SUMIF('S6_24-25_AOUT'!$A$3:$A$113,$A64,'S6_24-25_AOUT'!$O$3:$O$113),0)</f>
        <v>0</v>
      </c>
      <c r="S64" s="8">
        <f>208</f>
        <v>208</v>
      </c>
      <c r="T64" s="8">
        <f t="shared" si="3"/>
        <v>44</v>
      </c>
      <c r="U64" s="10" t="str">
        <f>IF(OR(IFERROR(INDEX(S1_26_JUIL!$P$3:$P$113,MATCH($A64,S1_26_JUIL!$A$3:$A$113,0)),"")="STC",IFERROR(INDEX('S2_27_JUIL-02_AOUT'!$V$3:$V$113,MATCH($A64,'S2_27_JUIL-02_AOUT'!$A$3:$A$113,0)),"")="STC",IFERROR(INDEX('S3_03-09_AOUT'!$V$3:$V$113,MATCH($A64,'S3_03-09_AOUT'!$A$3:$A$113,0)),"")="STC",IFERROR(INDEX('S4_10-16_AOUT'!$V$3:$V$113,MATCH($A64,'S4_10-16_AOUT'!$A$3:$A$113,0)),"")="STC",IFERROR(INDEX('S5_17-23_AOUT'!$V$3:$V$113,MATCH($A64,'S5_17-23_AOUT'!$A$3:$A$113,0)),"")="STC",IFERROR(INDEX('S6_24-25_AOUT'!$Q$3:$Q$113,MATCH($A64,'S6_24-25_AOUT'!$A$3:$A$113,0)),"")="STC"),"STC",IF(OR(IFERROR(INDEX(S1_26_JUIL!$P$3:$P$113,MATCH($A64,S1_26_JUIL!$A$3:$A$113,0)),"")="À vérifier",IFERROR(INDEX('S2_27_JUIL-02_AOUT'!$V$3:$V$113,MATCH($A64,'S2_27_JUIL-02_AOUT'!$A$3:$A$113,0)),"")="À vérifier",IFERROR(INDEX('S3_03-09_AOUT'!$V$3:$V$113,MATCH($A64,'S3_03-09_AOUT'!$A$3:$A$113,0)),"")="À vérifier",IFERROR(INDEX('S4_10-16_AOUT'!$V$3:$V$113,MATCH($A64,'S4_10-16_AOUT'!$A$3:$A$113,0)),"")="À vérifier",IFERROR(INDEX('S5_17-23_AOUT'!$V$3:$V$113,MATCH($A64,'S5_17-23_AOUT'!$A$3:$A$113,0)),"")="À vérifier",IFERROR(INDEX('S6_24-25_AOUT'!$Q$3:$Q$113,MATCH($A64,'S6_24-25_AOUT'!$A$3:$A$113,0)),"")="À vérifier",ABS(L64-T64)&gt;=0.01),"À vérifier","OK"))</f>
        <v>OK</v>
      </c>
    </row>
    <row r="65" spans="1:21">
      <c r="A65" s="12">
        <v>169</v>
      </c>
      <c r="B65" s="12" t="s">
        <v>184</v>
      </c>
      <c r="C65" s="13" t="s">
        <v>185</v>
      </c>
      <c r="D65" s="12" t="s">
        <v>31</v>
      </c>
      <c r="E65" s="10" t="s">
        <v>123</v>
      </c>
      <c r="F65" s="8">
        <f>IFERROR(SUMIF(S1_26_JUIL!$A$3:$A$113,$A65,S1_26_JUIL!$O$3:$O$113),0)</f>
        <v>0</v>
      </c>
      <c r="G65" s="8">
        <f>IFERROR(SUMIF('S2_27_JUIL-02_AOUT'!$A$3:$A$113,$A65,'S2_27_JUIL-02_AOUT'!$U$3:$U$113),0)</f>
        <v>35.999999999999993</v>
      </c>
      <c r="H65" s="8">
        <f>IFERROR(SUMIF('S3_03-09_AOUT'!$A$3:$A$113,$A65,'S3_03-09_AOUT'!$U$3:$U$113),0)</f>
        <v>0</v>
      </c>
      <c r="I65" s="8">
        <f>IFERROR(SUMIF('S4_10-16_AOUT'!$A$3:$A$113,$A65,'S4_10-16_AOUT'!$U$3:$U$113),0)</f>
        <v>0</v>
      </c>
      <c r="J65" s="8">
        <f>IFERROR(SUMIF('S5_17-23_AOUT'!$A$3:$A$113,$A65,'S5_17-23_AOUT'!$U$3:$U$113),0)</f>
        <v>0</v>
      </c>
      <c r="K65" s="8">
        <f>IFERROR(SUMIF('S6_24-25_AOUT'!$A$3:$A$113,$A65,'S6_24-25_AOUT'!$P$3:$P$113),0)</f>
        <v>0</v>
      </c>
      <c r="L65" s="8">
        <f t="shared" si="2"/>
        <v>35.999999999999993</v>
      </c>
      <c r="M65" s="8">
        <f>IFERROR(SUMIF(S1_26_JUIL!$A$3:$A$113,$A65,S1_26_JUIL!$I$3:$I$113),0)+IFERROR(SUMIF('S2_27_JUIL-02_AOUT'!$A$3:$A$113,$A65,'S2_27_JUIL-02_AOUT'!$O$3:$O$113),0)+IFERROR(SUMIF('S3_03-09_AOUT'!$A$3:$A$113,$A65,'S3_03-09_AOUT'!$O$3:$O$113),0)+IFERROR(SUMIF('S4_10-16_AOUT'!$A$3:$A$113,$A65,'S4_10-16_AOUT'!$O$3:$O$113),0)+IFERROR(SUMIF('S5_17-23_AOUT'!$A$3:$A$113,$A65,'S5_17-23_AOUT'!$O$3:$O$113),0)+IFERROR(SUMIF('S6_24-25_AOUT'!$A$3:$A$113,$A65,'S6_24-25_AOUT'!$J$3:$J$113),0)</f>
        <v>35.999999999999993</v>
      </c>
      <c r="N65" s="9">
        <f>IFERROR(SUMIF(S1_26_JUIL!$A$3:$A$113,$A65,S1_26_JUIL!$J$3:$J$113),0)+IFERROR(SUMIF('S2_27_JUIL-02_AOUT'!$A$3:$A$113,$A65,'S2_27_JUIL-02_AOUT'!$P$3:$P$113),0)+IFERROR(SUMIF('S3_03-09_AOUT'!$A$3:$A$113,$A65,'S3_03-09_AOUT'!$P$3:$P$113),0)+IFERROR(SUMIF('S4_10-16_AOUT'!$A$3:$A$113,$A65,'S4_10-16_AOUT'!$P$3:$P$113),0)+IFERROR(SUMIF('S5_17-23_AOUT'!$A$3:$A$113,$A65,'S5_17-23_AOUT'!$P$3:$P$113),0)+IFERROR(SUMIF('S6_24-25_AOUT'!$A$3:$A$113,$A65,'S6_24-25_AOUT'!$K$3:$K$113),0)</f>
        <v>0</v>
      </c>
      <c r="O65" s="9">
        <f>IFERROR(SUMIF(S1_26_JUIL!$A$3:$A$113,$A65,S1_26_JUIL!$K$3:$K$113),0)+IFERROR(SUMIF('S2_27_JUIL-02_AOUT'!$A$3:$A$113,$A65,'S2_27_JUIL-02_AOUT'!$Q$3:$Q$113),0)+IFERROR(SUMIF('S3_03-09_AOUT'!$A$3:$A$113,$A65,'S3_03-09_AOUT'!$Q$3:$Q$113),0)+IFERROR(SUMIF('S4_10-16_AOUT'!$A$3:$A$113,$A65,'S4_10-16_AOUT'!$Q$3:$Q$113),0)+IFERROR(SUMIF('S5_17-23_AOUT'!$A$3:$A$113,$A65,'S5_17-23_AOUT'!$Q$3:$Q$113),0)+IFERROR(SUMIF('S6_24-25_AOUT'!$A$3:$A$113,$A65,'S6_24-25_AOUT'!$L$3:$L$113),0)</f>
        <v>0</v>
      </c>
      <c r="P65" s="8">
        <f>IFERROR(SUMIF(S1_26_JUIL!$A$3:$A$113,$A65,S1_26_JUIL!$L$3:$L$113),0)+IFERROR(SUMIF('S2_27_JUIL-02_AOUT'!$A$3:$A$113,$A65,'S2_27_JUIL-02_AOUT'!$R$3:$R$113),0)+IFERROR(SUMIF('S3_03-09_AOUT'!$A$3:$A$113,$A65,'S3_03-09_AOUT'!$R$3:$R$113),0)+IFERROR(SUMIF('S4_10-16_AOUT'!$A$3:$A$113,$A65,'S4_10-16_AOUT'!$R$3:$R$113),0)+IFERROR(SUMIF('S5_17-23_AOUT'!$A$3:$A$113,$A65,'S5_17-23_AOUT'!$R$3:$R$113),0)+IFERROR(SUMIF('S6_24-25_AOUT'!$A$3:$A$113,$A65,'S6_24-25_AOUT'!$M$3:$M$113),0)</f>
        <v>1</v>
      </c>
      <c r="Q65" s="8">
        <f>IFERROR(SUMIF(S1_26_JUIL!$A$3:$A$113,$A65,S1_26_JUIL!$M$3:$M$113),0)+IFERROR(SUMIF('S2_27_JUIL-02_AOUT'!$A$3:$A$113,$A65,'S2_27_JUIL-02_AOUT'!$S$3:$S$113),0)+IFERROR(SUMIF('S3_03-09_AOUT'!$A$3:$A$113,$A65,'S3_03-09_AOUT'!$S$3:$S$113),0)+IFERROR(SUMIF('S4_10-16_AOUT'!$A$3:$A$113,$A65,'S4_10-16_AOUT'!$S$3:$S$113),0)+IFERROR(SUMIF('S5_17-23_AOUT'!$A$3:$A$113,$A65,'S5_17-23_AOUT'!$S$3:$S$113),0)+IFERROR(SUMIF('S6_24-25_AOUT'!$A$3:$A$113,$A65,'S6_24-25_AOUT'!$N$3:$N$113),0)</f>
        <v>0</v>
      </c>
      <c r="R65" s="11">
        <f>IFERROR(SUMIF(S1_26_JUIL!$A$3:$A$113,$A65,S1_26_JUIL!$N$3:$N$113),0)+IFERROR(SUMIF('S2_27_JUIL-02_AOUT'!$A$3:$A$113,$A65,'S2_27_JUIL-02_AOUT'!$T$3:$T$113),0)+IFERROR(SUMIF('S3_03-09_AOUT'!$A$3:$A$113,$A65,'S3_03-09_AOUT'!$T$3:$T$113),0)+IFERROR(SUMIF('S4_10-16_AOUT'!$A$3:$A$113,$A65,'S4_10-16_AOUT'!$T$3:$T$113),0)+IFERROR(SUMIF('S5_17-23_AOUT'!$A$3:$A$113,$A65,'S5_17-23_AOUT'!$T$3:$T$113),0)+IFERROR(SUMIF('S6_24-25_AOUT'!$A$3:$A$113,$A65,'S6_24-25_AOUT'!$O$3:$O$113),0)</f>
        <v>0</v>
      </c>
      <c r="S65" s="8">
        <f>208</f>
        <v>208</v>
      </c>
      <c r="T65" s="8">
        <f t="shared" si="3"/>
        <v>35.999999999999993</v>
      </c>
      <c r="U65" s="10" t="str">
        <f>IF(OR(IFERROR(INDEX(S1_26_JUIL!$P$3:$P$113,MATCH($A65,S1_26_JUIL!$A$3:$A$113,0)),"")="STC",IFERROR(INDEX('S2_27_JUIL-02_AOUT'!$V$3:$V$113,MATCH($A65,'S2_27_JUIL-02_AOUT'!$A$3:$A$113,0)),"")="STC",IFERROR(INDEX('S3_03-09_AOUT'!$V$3:$V$113,MATCH($A65,'S3_03-09_AOUT'!$A$3:$A$113,0)),"")="STC",IFERROR(INDEX('S4_10-16_AOUT'!$V$3:$V$113,MATCH($A65,'S4_10-16_AOUT'!$A$3:$A$113,0)),"")="STC",IFERROR(INDEX('S5_17-23_AOUT'!$V$3:$V$113,MATCH($A65,'S5_17-23_AOUT'!$A$3:$A$113,0)),"")="STC",IFERROR(INDEX('S6_24-25_AOUT'!$Q$3:$Q$113,MATCH($A65,'S6_24-25_AOUT'!$A$3:$A$113,0)),"")="STC"),"STC",IF(OR(IFERROR(INDEX(S1_26_JUIL!$P$3:$P$113,MATCH($A65,S1_26_JUIL!$A$3:$A$113,0)),"")="À vérifier",IFERROR(INDEX('S2_27_JUIL-02_AOUT'!$V$3:$V$113,MATCH($A65,'S2_27_JUIL-02_AOUT'!$A$3:$A$113,0)),"")="À vérifier",IFERROR(INDEX('S3_03-09_AOUT'!$V$3:$V$113,MATCH($A65,'S3_03-09_AOUT'!$A$3:$A$113,0)),"")="À vérifier",IFERROR(INDEX('S4_10-16_AOUT'!$V$3:$V$113,MATCH($A65,'S4_10-16_AOUT'!$A$3:$A$113,0)),"")="À vérifier",IFERROR(INDEX('S5_17-23_AOUT'!$V$3:$V$113,MATCH($A65,'S5_17-23_AOUT'!$A$3:$A$113,0)),"")="À vérifier",IFERROR(INDEX('S6_24-25_AOUT'!$Q$3:$Q$113,MATCH($A65,'S6_24-25_AOUT'!$A$3:$A$113,0)),"")="À vérifier",ABS(L65-T65)&gt;=0.01),"À vérifier","OK"))</f>
        <v>OK</v>
      </c>
    </row>
    <row r="66" spans="1:21">
      <c r="A66" s="12" t="s">
        <v>186</v>
      </c>
      <c r="B66" s="12" t="s">
        <v>187</v>
      </c>
      <c r="C66" s="13" t="s">
        <v>188</v>
      </c>
      <c r="D66" s="12" t="s">
        <v>31</v>
      </c>
      <c r="E66" s="10" t="s">
        <v>123</v>
      </c>
      <c r="F66" s="8">
        <f>IFERROR(SUMIF(S1_26_JUIL!$A$3:$A$113,$A66,S1_26_JUIL!$O$3:$O$113),0)</f>
        <v>0</v>
      </c>
      <c r="G66" s="8">
        <f>IFERROR(SUMIF('S2_27_JUIL-02_AOUT'!$A$3:$A$113,$A66,'S2_27_JUIL-02_AOUT'!$U$3:$U$113),0)</f>
        <v>34.499999999999993</v>
      </c>
      <c r="H66" s="8">
        <f>IFERROR(SUMIF('S3_03-09_AOUT'!$A$3:$A$113,$A66,'S3_03-09_AOUT'!$U$3:$U$113),0)</f>
        <v>0</v>
      </c>
      <c r="I66" s="8">
        <f>IFERROR(SUMIF('S4_10-16_AOUT'!$A$3:$A$113,$A66,'S4_10-16_AOUT'!$U$3:$U$113),0)</f>
        <v>0</v>
      </c>
      <c r="J66" s="8">
        <f>IFERROR(SUMIF('S5_17-23_AOUT'!$A$3:$A$113,$A66,'S5_17-23_AOUT'!$U$3:$U$113),0)</f>
        <v>0</v>
      </c>
      <c r="K66" s="8">
        <f>IFERROR(SUMIF('S6_24-25_AOUT'!$A$3:$A$113,$A66,'S6_24-25_AOUT'!$P$3:$P$113),0)</f>
        <v>0</v>
      </c>
      <c r="L66" s="8">
        <f t="shared" si="2"/>
        <v>34.499999999999993</v>
      </c>
      <c r="M66" s="8">
        <f>IFERROR(SUMIF(S1_26_JUIL!$A$3:$A$113,$A66,S1_26_JUIL!$I$3:$I$113),0)+IFERROR(SUMIF('S2_27_JUIL-02_AOUT'!$A$3:$A$113,$A66,'S2_27_JUIL-02_AOUT'!$O$3:$O$113),0)+IFERROR(SUMIF('S3_03-09_AOUT'!$A$3:$A$113,$A66,'S3_03-09_AOUT'!$O$3:$O$113),0)+IFERROR(SUMIF('S4_10-16_AOUT'!$A$3:$A$113,$A66,'S4_10-16_AOUT'!$O$3:$O$113),0)+IFERROR(SUMIF('S5_17-23_AOUT'!$A$3:$A$113,$A66,'S5_17-23_AOUT'!$O$3:$O$113),0)+IFERROR(SUMIF('S6_24-25_AOUT'!$A$3:$A$113,$A66,'S6_24-25_AOUT'!$J$3:$J$113),0)</f>
        <v>34.499999999999993</v>
      </c>
      <c r="N66" s="9">
        <f>IFERROR(SUMIF(S1_26_JUIL!$A$3:$A$113,$A66,S1_26_JUIL!$J$3:$J$113),0)+IFERROR(SUMIF('S2_27_JUIL-02_AOUT'!$A$3:$A$113,$A66,'S2_27_JUIL-02_AOUT'!$P$3:$P$113),0)+IFERROR(SUMIF('S3_03-09_AOUT'!$A$3:$A$113,$A66,'S3_03-09_AOUT'!$P$3:$P$113),0)+IFERROR(SUMIF('S4_10-16_AOUT'!$A$3:$A$113,$A66,'S4_10-16_AOUT'!$P$3:$P$113),0)+IFERROR(SUMIF('S5_17-23_AOUT'!$A$3:$A$113,$A66,'S5_17-23_AOUT'!$P$3:$P$113),0)+IFERROR(SUMIF('S6_24-25_AOUT'!$A$3:$A$113,$A66,'S6_24-25_AOUT'!$K$3:$K$113),0)</f>
        <v>0</v>
      </c>
      <c r="O66" s="9">
        <f>IFERROR(SUMIF(S1_26_JUIL!$A$3:$A$113,$A66,S1_26_JUIL!$K$3:$K$113),0)+IFERROR(SUMIF('S2_27_JUIL-02_AOUT'!$A$3:$A$113,$A66,'S2_27_JUIL-02_AOUT'!$Q$3:$Q$113),0)+IFERROR(SUMIF('S3_03-09_AOUT'!$A$3:$A$113,$A66,'S3_03-09_AOUT'!$Q$3:$Q$113),0)+IFERROR(SUMIF('S4_10-16_AOUT'!$A$3:$A$113,$A66,'S4_10-16_AOUT'!$Q$3:$Q$113),0)+IFERROR(SUMIF('S5_17-23_AOUT'!$A$3:$A$113,$A66,'S5_17-23_AOUT'!$Q$3:$Q$113),0)+IFERROR(SUMIF('S6_24-25_AOUT'!$A$3:$A$113,$A66,'S6_24-25_AOUT'!$L$3:$L$113),0)</f>
        <v>0</v>
      </c>
      <c r="P66" s="8">
        <f>IFERROR(SUMIF(S1_26_JUIL!$A$3:$A$113,$A66,S1_26_JUIL!$L$3:$L$113),0)+IFERROR(SUMIF('S2_27_JUIL-02_AOUT'!$A$3:$A$113,$A66,'S2_27_JUIL-02_AOUT'!$R$3:$R$113),0)+IFERROR(SUMIF('S3_03-09_AOUT'!$A$3:$A$113,$A66,'S3_03-09_AOUT'!$R$3:$R$113),0)+IFERROR(SUMIF('S4_10-16_AOUT'!$A$3:$A$113,$A66,'S4_10-16_AOUT'!$R$3:$R$113),0)+IFERROR(SUMIF('S5_17-23_AOUT'!$A$3:$A$113,$A66,'S5_17-23_AOUT'!$R$3:$R$113),0)+IFERROR(SUMIF('S6_24-25_AOUT'!$A$3:$A$113,$A66,'S6_24-25_AOUT'!$M$3:$M$113),0)</f>
        <v>1</v>
      </c>
      <c r="Q66" s="8">
        <f>IFERROR(SUMIF(S1_26_JUIL!$A$3:$A$113,$A66,S1_26_JUIL!$M$3:$M$113),0)+IFERROR(SUMIF('S2_27_JUIL-02_AOUT'!$A$3:$A$113,$A66,'S2_27_JUIL-02_AOUT'!$S$3:$S$113),0)+IFERROR(SUMIF('S3_03-09_AOUT'!$A$3:$A$113,$A66,'S3_03-09_AOUT'!$S$3:$S$113),0)+IFERROR(SUMIF('S4_10-16_AOUT'!$A$3:$A$113,$A66,'S4_10-16_AOUT'!$S$3:$S$113),0)+IFERROR(SUMIF('S5_17-23_AOUT'!$A$3:$A$113,$A66,'S5_17-23_AOUT'!$S$3:$S$113),0)+IFERROR(SUMIF('S6_24-25_AOUT'!$A$3:$A$113,$A66,'S6_24-25_AOUT'!$N$3:$N$113),0)</f>
        <v>0</v>
      </c>
      <c r="R66" s="11">
        <f>IFERROR(SUMIF(S1_26_JUIL!$A$3:$A$113,$A66,S1_26_JUIL!$N$3:$N$113),0)+IFERROR(SUMIF('S2_27_JUIL-02_AOUT'!$A$3:$A$113,$A66,'S2_27_JUIL-02_AOUT'!$T$3:$T$113),0)+IFERROR(SUMIF('S3_03-09_AOUT'!$A$3:$A$113,$A66,'S3_03-09_AOUT'!$T$3:$T$113),0)+IFERROR(SUMIF('S4_10-16_AOUT'!$A$3:$A$113,$A66,'S4_10-16_AOUT'!$T$3:$T$113),0)+IFERROR(SUMIF('S5_17-23_AOUT'!$A$3:$A$113,$A66,'S5_17-23_AOUT'!$T$3:$T$113),0)+IFERROR(SUMIF('S6_24-25_AOUT'!$A$3:$A$113,$A66,'S6_24-25_AOUT'!$O$3:$O$113),0)</f>
        <v>0</v>
      </c>
      <c r="S66" s="8">
        <f>208</f>
        <v>208</v>
      </c>
      <c r="T66" s="8">
        <f t="shared" si="3"/>
        <v>34.499999999999993</v>
      </c>
      <c r="U66" s="10" t="str">
        <f>IF(OR(IFERROR(INDEX(S1_26_JUIL!$P$3:$P$113,MATCH($A66,S1_26_JUIL!$A$3:$A$113,0)),"")="STC",IFERROR(INDEX('S2_27_JUIL-02_AOUT'!$V$3:$V$113,MATCH($A66,'S2_27_JUIL-02_AOUT'!$A$3:$A$113,0)),"")="STC",IFERROR(INDEX('S3_03-09_AOUT'!$V$3:$V$113,MATCH($A66,'S3_03-09_AOUT'!$A$3:$A$113,0)),"")="STC",IFERROR(INDEX('S4_10-16_AOUT'!$V$3:$V$113,MATCH($A66,'S4_10-16_AOUT'!$A$3:$A$113,0)),"")="STC",IFERROR(INDEX('S5_17-23_AOUT'!$V$3:$V$113,MATCH($A66,'S5_17-23_AOUT'!$A$3:$A$113,0)),"")="STC",IFERROR(INDEX('S6_24-25_AOUT'!$Q$3:$Q$113,MATCH($A66,'S6_24-25_AOUT'!$A$3:$A$113,0)),"")="STC"),"STC",IF(OR(IFERROR(INDEX(S1_26_JUIL!$P$3:$P$113,MATCH($A66,S1_26_JUIL!$A$3:$A$113,0)),"")="À vérifier",IFERROR(INDEX('S2_27_JUIL-02_AOUT'!$V$3:$V$113,MATCH($A66,'S2_27_JUIL-02_AOUT'!$A$3:$A$113,0)),"")="À vérifier",IFERROR(INDEX('S3_03-09_AOUT'!$V$3:$V$113,MATCH($A66,'S3_03-09_AOUT'!$A$3:$A$113,0)),"")="À vérifier",IFERROR(INDEX('S4_10-16_AOUT'!$V$3:$V$113,MATCH($A66,'S4_10-16_AOUT'!$A$3:$A$113,0)),"")="À vérifier",IFERROR(INDEX('S5_17-23_AOUT'!$V$3:$V$113,MATCH($A66,'S5_17-23_AOUT'!$A$3:$A$113,0)),"")="À vérifier",IFERROR(INDEX('S6_24-25_AOUT'!$Q$3:$Q$113,MATCH($A66,'S6_24-25_AOUT'!$A$3:$A$113,0)),"")="À vérifier",ABS(L66-T66)&gt;=0.01),"À vérifier","OK"))</f>
        <v>OK</v>
      </c>
    </row>
    <row r="67" spans="1:21">
      <c r="A67" s="12" t="s">
        <v>189</v>
      </c>
      <c r="B67" s="12" t="s">
        <v>190</v>
      </c>
      <c r="C67" s="13" t="s">
        <v>191</v>
      </c>
      <c r="D67" s="12" t="s">
        <v>31</v>
      </c>
      <c r="E67" s="10" t="s">
        <v>123</v>
      </c>
      <c r="F67" s="8">
        <f>IFERROR(SUMIF(S1_26_JUIL!$A$3:$A$113,$A67,S1_26_JUIL!$O$3:$O$113),0)</f>
        <v>0</v>
      </c>
      <c r="G67" s="8">
        <f>IFERROR(SUMIF('S2_27_JUIL-02_AOUT'!$A$3:$A$113,$A67,'S2_27_JUIL-02_AOUT'!$U$3:$U$113),0)</f>
        <v>26.499999999999996</v>
      </c>
      <c r="H67" s="8">
        <f>IFERROR(SUMIF('S3_03-09_AOUT'!$A$3:$A$113,$A67,'S3_03-09_AOUT'!$U$3:$U$113),0)</f>
        <v>0</v>
      </c>
      <c r="I67" s="8">
        <f>IFERROR(SUMIF('S4_10-16_AOUT'!$A$3:$A$113,$A67,'S4_10-16_AOUT'!$U$3:$U$113),0)</f>
        <v>0</v>
      </c>
      <c r="J67" s="8">
        <f>IFERROR(SUMIF('S5_17-23_AOUT'!$A$3:$A$113,$A67,'S5_17-23_AOUT'!$U$3:$U$113),0)</f>
        <v>0</v>
      </c>
      <c r="K67" s="8">
        <f>IFERROR(SUMIF('S6_24-25_AOUT'!$A$3:$A$113,$A67,'S6_24-25_AOUT'!$P$3:$P$113),0)</f>
        <v>0</v>
      </c>
      <c r="L67" s="8">
        <f t="shared" ref="L67:L98" si="4">SUM(F67:K67)</f>
        <v>26.499999999999996</v>
      </c>
      <c r="M67" s="8">
        <f>IFERROR(SUMIF(S1_26_JUIL!$A$3:$A$113,$A67,S1_26_JUIL!$I$3:$I$113),0)+IFERROR(SUMIF('S2_27_JUIL-02_AOUT'!$A$3:$A$113,$A67,'S2_27_JUIL-02_AOUT'!$O$3:$O$113),0)+IFERROR(SUMIF('S3_03-09_AOUT'!$A$3:$A$113,$A67,'S3_03-09_AOUT'!$O$3:$O$113),0)+IFERROR(SUMIF('S4_10-16_AOUT'!$A$3:$A$113,$A67,'S4_10-16_AOUT'!$O$3:$O$113),0)+IFERROR(SUMIF('S5_17-23_AOUT'!$A$3:$A$113,$A67,'S5_17-23_AOUT'!$O$3:$O$113),0)+IFERROR(SUMIF('S6_24-25_AOUT'!$A$3:$A$113,$A67,'S6_24-25_AOUT'!$J$3:$J$113),0)</f>
        <v>26.499999999999996</v>
      </c>
      <c r="N67" s="9">
        <f>IFERROR(SUMIF(S1_26_JUIL!$A$3:$A$113,$A67,S1_26_JUIL!$J$3:$J$113),0)+IFERROR(SUMIF('S2_27_JUIL-02_AOUT'!$A$3:$A$113,$A67,'S2_27_JUIL-02_AOUT'!$P$3:$P$113),0)+IFERROR(SUMIF('S3_03-09_AOUT'!$A$3:$A$113,$A67,'S3_03-09_AOUT'!$P$3:$P$113),0)+IFERROR(SUMIF('S4_10-16_AOUT'!$A$3:$A$113,$A67,'S4_10-16_AOUT'!$P$3:$P$113),0)+IFERROR(SUMIF('S5_17-23_AOUT'!$A$3:$A$113,$A67,'S5_17-23_AOUT'!$P$3:$P$113),0)+IFERROR(SUMIF('S6_24-25_AOUT'!$A$3:$A$113,$A67,'S6_24-25_AOUT'!$K$3:$K$113),0)</f>
        <v>0</v>
      </c>
      <c r="O67" s="9">
        <f>IFERROR(SUMIF(S1_26_JUIL!$A$3:$A$113,$A67,S1_26_JUIL!$K$3:$K$113),0)+IFERROR(SUMIF('S2_27_JUIL-02_AOUT'!$A$3:$A$113,$A67,'S2_27_JUIL-02_AOUT'!$Q$3:$Q$113),0)+IFERROR(SUMIF('S3_03-09_AOUT'!$A$3:$A$113,$A67,'S3_03-09_AOUT'!$Q$3:$Q$113),0)+IFERROR(SUMIF('S4_10-16_AOUT'!$A$3:$A$113,$A67,'S4_10-16_AOUT'!$Q$3:$Q$113),0)+IFERROR(SUMIF('S5_17-23_AOUT'!$A$3:$A$113,$A67,'S5_17-23_AOUT'!$Q$3:$Q$113),0)+IFERROR(SUMIF('S6_24-25_AOUT'!$A$3:$A$113,$A67,'S6_24-25_AOUT'!$L$3:$L$113),0)</f>
        <v>0</v>
      </c>
      <c r="P67" s="8">
        <f>IFERROR(SUMIF(S1_26_JUIL!$A$3:$A$113,$A67,S1_26_JUIL!$L$3:$L$113),0)+IFERROR(SUMIF('S2_27_JUIL-02_AOUT'!$A$3:$A$113,$A67,'S2_27_JUIL-02_AOUT'!$R$3:$R$113),0)+IFERROR(SUMIF('S3_03-09_AOUT'!$A$3:$A$113,$A67,'S3_03-09_AOUT'!$R$3:$R$113),0)+IFERROR(SUMIF('S4_10-16_AOUT'!$A$3:$A$113,$A67,'S4_10-16_AOUT'!$R$3:$R$113),0)+IFERROR(SUMIF('S5_17-23_AOUT'!$A$3:$A$113,$A67,'S5_17-23_AOUT'!$R$3:$R$113),0)+IFERROR(SUMIF('S6_24-25_AOUT'!$A$3:$A$113,$A67,'S6_24-25_AOUT'!$M$3:$M$113),0)</f>
        <v>2</v>
      </c>
      <c r="Q67" s="8">
        <f>IFERROR(SUMIF(S1_26_JUIL!$A$3:$A$113,$A67,S1_26_JUIL!$M$3:$M$113),0)+IFERROR(SUMIF('S2_27_JUIL-02_AOUT'!$A$3:$A$113,$A67,'S2_27_JUIL-02_AOUT'!$S$3:$S$113),0)+IFERROR(SUMIF('S3_03-09_AOUT'!$A$3:$A$113,$A67,'S3_03-09_AOUT'!$S$3:$S$113),0)+IFERROR(SUMIF('S4_10-16_AOUT'!$A$3:$A$113,$A67,'S4_10-16_AOUT'!$S$3:$S$113),0)+IFERROR(SUMIF('S5_17-23_AOUT'!$A$3:$A$113,$A67,'S5_17-23_AOUT'!$S$3:$S$113),0)+IFERROR(SUMIF('S6_24-25_AOUT'!$A$3:$A$113,$A67,'S6_24-25_AOUT'!$N$3:$N$113),0)</f>
        <v>0</v>
      </c>
      <c r="R67" s="11">
        <f>IFERROR(SUMIF(S1_26_JUIL!$A$3:$A$113,$A67,S1_26_JUIL!$N$3:$N$113),0)+IFERROR(SUMIF('S2_27_JUIL-02_AOUT'!$A$3:$A$113,$A67,'S2_27_JUIL-02_AOUT'!$T$3:$T$113),0)+IFERROR(SUMIF('S3_03-09_AOUT'!$A$3:$A$113,$A67,'S3_03-09_AOUT'!$T$3:$T$113),0)+IFERROR(SUMIF('S4_10-16_AOUT'!$A$3:$A$113,$A67,'S4_10-16_AOUT'!$T$3:$T$113),0)+IFERROR(SUMIF('S5_17-23_AOUT'!$A$3:$A$113,$A67,'S5_17-23_AOUT'!$T$3:$T$113),0)+IFERROR(SUMIF('S6_24-25_AOUT'!$A$3:$A$113,$A67,'S6_24-25_AOUT'!$O$3:$O$113),0)</f>
        <v>0</v>
      </c>
      <c r="S67" s="8">
        <f>208</f>
        <v>208</v>
      </c>
      <c r="T67" s="8">
        <f t="shared" ref="T67:T98" si="5">M67+N67+O67+(R67*8.5)</f>
        <v>26.499999999999996</v>
      </c>
      <c r="U67" s="10" t="str">
        <f>IF(OR(IFERROR(INDEX(S1_26_JUIL!$P$3:$P$113,MATCH($A67,S1_26_JUIL!$A$3:$A$113,0)),"")="STC",IFERROR(INDEX('S2_27_JUIL-02_AOUT'!$V$3:$V$113,MATCH($A67,'S2_27_JUIL-02_AOUT'!$A$3:$A$113,0)),"")="STC",IFERROR(INDEX('S3_03-09_AOUT'!$V$3:$V$113,MATCH($A67,'S3_03-09_AOUT'!$A$3:$A$113,0)),"")="STC",IFERROR(INDEX('S4_10-16_AOUT'!$V$3:$V$113,MATCH($A67,'S4_10-16_AOUT'!$A$3:$A$113,0)),"")="STC",IFERROR(INDEX('S5_17-23_AOUT'!$V$3:$V$113,MATCH($A67,'S5_17-23_AOUT'!$A$3:$A$113,0)),"")="STC",IFERROR(INDEX('S6_24-25_AOUT'!$Q$3:$Q$113,MATCH($A67,'S6_24-25_AOUT'!$A$3:$A$113,0)),"")="STC"),"STC",IF(OR(IFERROR(INDEX(S1_26_JUIL!$P$3:$P$113,MATCH($A67,S1_26_JUIL!$A$3:$A$113,0)),"")="À vérifier",IFERROR(INDEX('S2_27_JUIL-02_AOUT'!$V$3:$V$113,MATCH($A67,'S2_27_JUIL-02_AOUT'!$A$3:$A$113,0)),"")="À vérifier",IFERROR(INDEX('S3_03-09_AOUT'!$V$3:$V$113,MATCH($A67,'S3_03-09_AOUT'!$A$3:$A$113,0)),"")="À vérifier",IFERROR(INDEX('S4_10-16_AOUT'!$V$3:$V$113,MATCH($A67,'S4_10-16_AOUT'!$A$3:$A$113,0)),"")="À vérifier",IFERROR(INDEX('S5_17-23_AOUT'!$V$3:$V$113,MATCH($A67,'S5_17-23_AOUT'!$A$3:$A$113,0)),"")="À vérifier",IFERROR(INDEX('S6_24-25_AOUT'!$Q$3:$Q$113,MATCH($A67,'S6_24-25_AOUT'!$A$3:$A$113,0)),"")="À vérifier",ABS(L67-T67)&gt;=0.01),"À vérifier","OK"))</f>
        <v>OK</v>
      </c>
    </row>
    <row r="68" spans="1:21">
      <c r="A68" s="12" t="s">
        <v>192</v>
      </c>
      <c r="B68" s="12" t="s">
        <v>193</v>
      </c>
      <c r="C68" s="13" t="s">
        <v>194</v>
      </c>
      <c r="D68" s="12" t="s">
        <v>31</v>
      </c>
      <c r="E68" s="10" t="s">
        <v>123</v>
      </c>
      <c r="F68" s="8">
        <f>IFERROR(SUMIF(S1_26_JUIL!$A$3:$A$113,$A68,S1_26_JUIL!$O$3:$O$113),0)</f>
        <v>0</v>
      </c>
      <c r="G68" s="8">
        <f>IFERROR(SUMIF('S2_27_JUIL-02_AOUT'!$A$3:$A$113,$A68,'S2_27_JUIL-02_AOUT'!$U$3:$U$113),0)</f>
        <v>16</v>
      </c>
      <c r="H68" s="8">
        <f>IFERROR(SUMIF('S3_03-09_AOUT'!$A$3:$A$113,$A68,'S3_03-09_AOUT'!$U$3:$U$113),0)</f>
        <v>0</v>
      </c>
      <c r="I68" s="8">
        <f>IFERROR(SUMIF('S4_10-16_AOUT'!$A$3:$A$113,$A68,'S4_10-16_AOUT'!$U$3:$U$113),0)</f>
        <v>0</v>
      </c>
      <c r="J68" s="8">
        <f>IFERROR(SUMIF('S5_17-23_AOUT'!$A$3:$A$113,$A68,'S5_17-23_AOUT'!$U$3:$U$113),0)</f>
        <v>0</v>
      </c>
      <c r="K68" s="8">
        <f>IFERROR(SUMIF('S6_24-25_AOUT'!$A$3:$A$113,$A68,'S6_24-25_AOUT'!$P$3:$P$113),0)</f>
        <v>0</v>
      </c>
      <c r="L68" s="8">
        <f t="shared" si="4"/>
        <v>16</v>
      </c>
      <c r="M68" s="8">
        <f>IFERROR(SUMIF(S1_26_JUIL!$A$3:$A$113,$A68,S1_26_JUIL!$I$3:$I$113),0)+IFERROR(SUMIF('S2_27_JUIL-02_AOUT'!$A$3:$A$113,$A68,'S2_27_JUIL-02_AOUT'!$O$3:$O$113),0)+IFERROR(SUMIF('S3_03-09_AOUT'!$A$3:$A$113,$A68,'S3_03-09_AOUT'!$O$3:$O$113),0)+IFERROR(SUMIF('S4_10-16_AOUT'!$A$3:$A$113,$A68,'S4_10-16_AOUT'!$O$3:$O$113),0)+IFERROR(SUMIF('S5_17-23_AOUT'!$A$3:$A$113,$A68,'S5_17-23_AOUT'!$O$3:$O$113),0)+IFERROR(SUMIF('S6_24-25_AOUT'!$A$3:$A$113,$A68,'S6_24-25_AOUT'!$J$3:$J$113),0)</f>
        <v>16</v>
      </c>
      <c r="N68" s="9">
        <f>IFERROR(SUMIF(S1_26_JUIL!$A$3:$A$113,$A68,S1_26_JUIL!$J$3:$J$113),0)+IFERROR(SUMIF('S2_27_JUIL-02_AOUT'!$A$3:$A$113,$A68,'S2_27_JUIL-02_AOUT'!$P$3:$P$113),0)+IFERROR(SUMIF('S3_03-09_AOUT'!$A$3:$A$113,$A68,'S3_03-09_AOUT'!$P$3:$P$113),0)+IFERROR(SUMIF('S4_10-16_AOUT'!$A$3:$A$113,$A68,'S4_10-16_AOUT'!$P$3:$P$113),0)+IFERROR(SUMIF('S5_17-23_AOUT'!$A$3:$A$113,$A68,'S5_17-23_AOUT'!$P$3:$P$113),0)+IFERROR(SUMIF('S6_24-25_AOUT'!$A$3:$A$113,$A68,'S6_24-25_AOUT'!$K$3:$K$113),0)</f>
        <v>0</v>
      </c>
      <c r="O68" s="9">
        <f>IFERROR(SUMIF(S1_26_JUIL!$A$3:$A$113,$A68,S1_26_JUIL!$K$3:$K$113),0)+IFERROR(SUMIF('S2_27_JUIL-02_AOUT'!$A$3:$A$113,$A68,'S2_27_JUIL-02_AOUT'!$Q$3:$Q$113),0)+IFERROR(SUMIF('S3_03-09_AOUT'!$A$3:$A$113,$A68,'S3_03-09_AOUT'!$Q$3:$Q$113),0)+IFERROR(SUMIF('S4_10-16_AOUT'!$A$3:$A$113,$A68,'S4_10-16_AOUT'!$Q$3:$Q$113),0)+IFERROR(SUMIF('S5_17-23_AOUT'!$A$3:$A$113,$A68,'S5_17-23_AOUT'!$Q$3:$Q$113),0)+IFERROR(SUMIF('S6_24-25_AOUT'!$A$3:$A$113,$A68,'S6_24-25_AOUT'!$L$3:$L$113),0)</f>
        <v>0</v>
      </c>
      <c r="P68" s="8">
        <f>IFERROR(SUMIF(S1_26_JUIL!$A$3:$A$113,$A68,S1_26_JUIL!$L$3:$L$113),0)+IFERROR(SUMIF('S2_27_JUIL-02_AOUT'!$A$3:$A$113,$A68,'S2_27_JUIL-02_AOUT'!$R$3:$R$113),0)+IFERROR(SUMIF('S3_03-09_AOUT'!$A$3:$A$113,$A68,'S3_03-09_AOUT'!$R$3:$R$113),0)+IFERROR(SUMIF('S4_10-16_AOUT'!$A$3:$A$113,$A68,'S4_10-16_AOUT'!$R$3:$R$113),0)+IFERROR(SUMIF('S5_17-23_AOUT'!$A$3:$A$113,$A68,'S5_17-23_AOUT'!$R$3:$R$113),0)+IFERROR(SUMIF('S6_24-25_AOUT'!$A$3:$A$113,$A68,'S6_24-25_AOUT'!$M$3:$M$113),0)</f>
        <v>3</v>
      </c>
      <c r="Q68" s="8">
        <f>IFERROR(SUMIF(S1_26_JUIL!$A$3:$A$113,$A68,S1_26_JUIL!$M$3:$M$113),0)+IFERROR(SUMIF('S2_27_JUIL-02_AOUT'!$A$3:$A$113,$A68,'S2_27_JUIL-02_AOUT'!$S$3:$S$113),0)+IFERROR(SUMIF('S3_03-09_AOUT'!$A$3:$A$113,$A68,'S3_03-09_AOUT'!$S$3:$S$113),0)+IFERROR(SUMIF('S4_10-16_AOUT'!$A$3:$A$113,$A68,'S4_10-16_AOUT'!$S$3:$S$113),0)+IFERROR(SUMIF('S5_17-23_AOUT'!$A$3:$A$113,$A68,'S5_17-23_AOUT'!$S$3:$S$113),0)+IFERROR(SUMIF('S6_24-25_AOUT'!$A$3:$A$113,$A68,'S6_24-25_AOUT'!$N$3:$N$113),0)</f>
        <v>0</v>
      </c>
      <c r="R68" s="11">
        <f>IFERROR(SUMIF(S1_26_JUIL!$A$3:$A$113,$A68,S1_26_JUIL!$N$3:$N$113),0)+IFERROR(SUMIF('S2_27_JUIL-02_AOUT'!$A$3:$A$113,$A68,'S2_27_JUIL-02_AOUT'!$T$3:$T$113),0)+IFERROR(SUMIF('S3_03-09_AOUT'!$A$3:$A$113,$A68,'S3_03-09_AOUT'!$T$3:$T$113),0)+IFERROR(SUMIF('S4_10-16_AOUT'!$A$3:$A$113,$A68,'S4_10-16_AOUT'!$T$3:$T$113),0)+IFERROR(SUMIF('S5_17-23_AOUT'!$A$3:$A$113,$A68,'S5_17-23_AOUT'!$T$3:$T$113),0)+IFERROR(SUMIF('S6_24-25_AOUT'!$A$3:$A$113,$A68,'S6_24-25_AOUT'!$O$3:$O$113),0)</f>
        <v>0</v>
      </c>
      <c r="S68" s="8">
        <f>208</f>
        <v>208</v>
      </c>
      <c r="T68" s="8">
        <f t="shared" si="5"/>
        <v>16</v>
      </c>
      <c r="U68" s="10" t="str">
        <f>IF(OR(IFERROR(INDEX(S1_26_JUIL!$P$3:$P$113,MATCH($A68,S1_26_JUIL!$A$3:$A$113,0)),"")="STC",IFERROR(INDEX('S2_27_JUIL-02_AOUT'!$V$3:$V$113,MATCH($A68,'S2_27_JUIL-02_AOUT'!$A$3:$A$113,0)),"")="STC",IFERROR(INDEX('S3_03-09_AOUT'!$V$3:$V$113,MATCH($A68,'S3_03-09_AOUT'!$A$3:$A$113,0)),"")="STC",IFERROR(INDEX('S4_10-16_AOUT'!$V$3:$V$113,MATCH($A68,'S4_10-16_AOUT'!$A$3:$A$113,0)),"")="STC",IFERROR(INDEX('S5_17-23_AOUT'!$V$3:$V$113,MATCH($A68,'S5_17-23_AOUT'!$A$3:$A$113,0)),"")="STC",IFERROR(INDEX('S6_24-25_AOUT'!$Q$3:$Q$113,MATCH($A68,'S6_24-25_AOUT'!$A$3:$A$113,0)),"")="STC"),"STC",IF(OR(IFERROR(INDEX(S1_26_JUIL!$P$3:$P$113,MATCH($A68,S1_26_JUIL!$A$3:$A$113,0)),"")="À vérifier",IFERROR(INDEX('S2_27_JUIL-02_AOUT'!$V$3:$V$113,MATCH($A68,'S2_27_JUIL-02_AOUT'!$A$3:$A$113,0)),"")="À vérifier",IFERROR(INDEX('S3_03-09_AOUT'!$V$3:$V$113,MATCH($A68,'S3_03-09_AOUT'!$A$3:$A$113,0)),"")="À vérifier",IFERROR(INDEX('S4_10-16_AOUT'!$V$3:$V$113,MATCH($A68,'S4_10-16_AOUT'!$A$3:$A$113,0)),"")="À vérifier",IFERROR(INDEX('S5_17-23_AOUT'!$V$3:$V$113,MATCH($A68,'S5_17-23_AOUT'!$A$3:$A$113,0)),"")="À vérifier",IFERROR(INDEX('S6_24-25_AOUT'!$Q$3:$Q$113,MATCH($A68,'S6_24-25_AOUT'!$A$3:$A$113,0)),"")="À vérifier",ABS(L68-T68)&gt;=0.01),"À vérifier","OK"))</f>
        <v>OK</v>
      </c>
    </row>
    <row r="69" spans="1:21">
      <c r="A69" s="12">
        <v>166</v>
      </c>
      <c r="B69" s="12" t="s">
        <v>195</v>
      </c>
      <c r="C69" s="13" t="s">
        <v>196</v>
      </c>
      <c r="D69" s="12" t="s">
        <v>31</v>
      </c>
      <c r="E69" s="10" t="s">
        <v>123</v>
      </c>
      <c r="F69" s="8">
        <f>IFERROR(SUMIF(S1_26_JUIL!$A$3:$A$113,$A69,S1_26_JUIL!$O$3:$O$113),0)</f>
        <v>0</v>
      </c>
      <c r="G69" s="8">
        <f>IFERROR(SUMIF('S2_27_JUIL-02_AOUT'!$A$3:$A$113,$A69,'S2_27_JUIL-02_AOUT'!$U$3:$U$113),0)</f>
        <v>47.5</v>
      </c>
      <c r="H69" s="8">
        <f>IFERROR(SUMIF('S3_03-09_AOUT'!$A$3:$A$113,$A69,'S3_03-09_AOUT'!$U$3:$U$113),0)</f>
        <v>0</v>
      </c>
      <c r="I69" s="8">
        <f>IFERROR(SUMIF('S4_10-16_AOUT'!$A$3:$A$113,$A69,'S4_10-16_AOUT'!$U$3:$U$113),0)</f>
        <v>0</v>
      </c>
      <c r="J69" s="8">
        <f>IFERROR(SUMIF('S5_17-23_AOUT'!$A$3:$A$113,$A69,'S5_17-23_AOUT'!$U$3:$U$113),0)</f>
        <v>0</v>
      </c>
      <c r="K69" s="8">
        <f>IFERROR(SUMIF('S6_24-25_AOUT'!$A$3:$A$113,$A69,'S6_24-25_AOUT'!$P$3:$P$113),0)</f>
        <v>0</v>
      </c>
      <c r="L69" s="8">
        <f t="shared" si="4"/>
        <v>47.5</v>
      </c>
      <c r="M69" s="8">
        <f>IFERROR(SUMIF(S1_26_JUIL!$A$3:$A$113,$A69,S1_26_JUIL!$I$3:$I$113),0)+IFERROR(SUMIF('S2_27_JUIL-02_AOUT'!$A$3:$A$113,$A69,'S2_27_JUIL-02_AOUT'!$O$3:$O$113),0)+IFERROR(SUMIF('S3_03-09_AOUT'!$A$3:$A$113,$A69,'S3_03-09_AOUT'!$O$3:$O$113),0)+IFERROR(SUMIF('S4_10-16_AOUT'!$A$3:$A$113,$A69,'S4_10-16_AOUT'!$O$3:$O$113),0)+IFERROR(SUMIF('S5_17-23_AOUT'!$A$3:$A$113,$A69,'S5_17-23_AOUT'!$O$3:$O$113),0)+IFERROR(SUMIF('S6_24-25_AOUT'!$A$3:$A$113,$A69,'S6_24-25_AOUT'!$J$3:$J$113),0)</f>
        <v>47.5</v>
      </c>
      <c r="N69" s="9">
        <f>IFERROR(SUMIF(S1_26_JUIL!$A$3:$A$113,$A69,S1_26_JUIL!$J$3:$J$113),0)+IFERROR(SUMIF('S2_27_JUIL-02_AOUT'!$A$3:$A$113,$A69,'S2_27_JUIL-02_AOUT'!$P$3:$P$113),0)+IFERROR(SUMIF('S3_03-09_AOUT'!$A$3:$A$113,$A69,'S3_03-09_AOUT'!$P$3:$P$113),0)+IFERROR(SUMIF('S4_10-16_AOUT'!$A$3:$A$113,$A69,'S4_10-16_AOUT'!$P$3:$P$113),0)+IFERROR(SUMIF('S5_17-23_AOUT'!$A$3:$A$113,$A69,'S5_17-23_AOUT'!$P$3:$P$113),0)+IFERROR(SUMIF('S6_24-25_AOUT'!$A$3:$A$113,$A69,'S6_24-25_AOUT'!$K$3:$K$113),0)</f>
        <v>0</v>
      </c>
      <c r="O69" s="9">
        <f>IFERROR(SUMIF(S1_26_JUIL!$A$3:$A$113,$A69,S1_26_JUIL!$K$3:$K$113),0)+IFERROR(SUMIF('S2_27_JUIL-02_AOUT'!$A$3:$A$113,$A69,'S2_27_JUIL-02_AOUT'!$Q$3:$Q$113),0)+IFERROR(SUMIF('S3_03-09_AOUT'!$A$3:$A$113,$A69,'S3_03-09_AOUT'!$Q$3:$Q$113),0)+IFERROR(SUMIF('S4_10-16_AOUT'!$A$3:$A$113,$A69,'S4_10-16_AOUT'!$Q$3:$Q$113),0)+IFERROR(SUMIF('S5_17-23_AOUT'!$A$3:$A$113,$A69,'S5_17-23_AOUT'!$Q$3:$Q$113),0)+IFERROR(SUMIF('S6_24-25_AOUT'!$A$3:$A$113,$A69,'S6_24-25_AOUT'!$L$3:$L$113),0)</f>
        <v>0</v>
      </c>
      <c r="P69" s="8">
        <f>IFERROR(SUMIF(S1_26_JUIL!$A$3:$A$113,$A69,S1_26_JUIL!$L$3:$L$113),0)+IFERROR(SUMIF('S2_27_JUIL-02_AOUT'!$A$3:$A$113,$A69,'S2_27_JUIL-02_AOUT'!$R$3:$R$113),0)+IFERROR(SUMIF('S3_03-09_AOUT'!$A$3:$A$113,$A69,'S3_03-09_AOUT'!$R$3:$R$113),0)+IFERROR(SUMIF('S4_10-16_AOUT'!$A$3:$A$113,$A69,'S4_10-16_AOUT'!$R$3:$R$113),0)+IFERROR(SUMIF('S5_17-23_AOUT'!$A$3:$A$113,$A69,'S5_17-23_AOUT'!$R$3:$R$113),0)+IFERROR(SUMIF('S6_24-25_AOUT'!$A$3:$A$113,$A69,'S6_24-25_AOUT'!$M$3:$M$113),0)</f>
        <v>0</v>
      </c>
      <c r="Q69" s="8">
        <f>IFERROR(SUMIF(S1_26_JUIL!$A$3:$A$113,$A69,S1_26_JUIL!$M$3:$M$113),0)+IFERROR(SUMIF('S2_27_JUIL-02_AOUT'!$A$3:$A$113,$A69,'S2_27_JUIL-02_AOUT'!$S$3:$S$113),0)+IFERROR(SUMIF('S3_03-09_AOUT'!$A$3:$A$113,$A69,'S3_03-09_AOUT'!$S$3:$S$113),0)+IFERROR(SUMIF('S4_10-16_AOUT'!$A$3:$A$113,$A69,'S4_10-16_AOUT'!$S$3:$S$113),0)+IFERROR(SUMIF('S5_17-23_AOUT'!$A$3:$A$113,$A69,'S5_17-23_AOUT'!$S$3:$S$113),0)+IFERROR(SUMIF('S6_24-25_AOUT'!$A$3:$A$113,$A69,'S6_24-25_AOUT'!$N$3:$N$113),0)</f>
        <v>0</v>
      </c>
      <c r="R69" s="11">
        <f>IFERROR(SUMIF(S1_26_JUIL!$A$3:$A$113,$A69,S1_26_JUIL!$N$3:$N$113),0)+IFERROR(SUMIF('S2_27_JUIL-02_AOUT'!$A$3:$A$113,$A69,'S2_27_JUIL-02_AOUT'!$T$3:$T$113),0)+IFERROR(SUMIF('S3_03-09_AOUT'!$A$3:$A$113,$A69,'S3_03-09_AOUT'!$T$3:$T$113),0)+IFERROR(SUMIF('S4_10-16_AOUT'!$A$3:$A$113,$A69,'S4_10-16_AOUT'!$T$3:$T$113),0)+IFERROR(SUMIF('S5_17-23_AOUT'!$A$3:$A$113,$A69,'S5_17-23_AOUT'!$T$3:$T$113),0)+IFERROR(SUMIF('S6_24-25_AOUT'!$A$3:$A$113,$A69,'S6_24-25_AOUT'!$O$3:$O$113),0)</f>
        <v>0</v>
      </c>
      <c r="S69" s="8">
        <f>208</f>
        <v>208</v>
      </c>
      <c r="T69" s="8">
        <f t="shared" si="5"/>
        <v>47.5</v>
      </c>
      <c r="U69" s="10" t="str">
        <f>IF(OR(IFERROR(INDEX(S1_26_JUIL!$P$3:$P$113,MATCH($A69,S1_26_JUIL!$A$3:$A$113,0)),"")="STC",IFERROR(INDEX('S2_27_JUIL-02_AOUT'!$V$3:$V$113,MATCH($A69,'S2_27_JUIL-02_AOUT'!$A$3:$A$113,0)),"")="STC",IFERROR(INDEX('S3_03-09_AOUT'!$V$3:$V$113,MATCH($A69,'S3_03-09_AOUT'!$A$3:$A$113,0)),"")="STC",IFERROR(INDEX('S4_10-16_AOUT'!$V$3:$V$113,MATCH($A69,'S4_10-16_AOUT'!$A$3:$A$113,0)),"")="STC",IFERROR(INDEX('S5_17-23_AOUT'!$V$3:$V$113,MATCH($A69,'S5_17-23_AOUT'!$A$3:$A$113,0)),"")="STC",IFERROR(INDEX('S6_24-25_AOUT'!$Q$3:$Q$113,MATCH($A69,'S6_24-25_AOUT'!$A$3:$A$113,0)),"")="STC"),"STC",IF(OR(IFERROR(INDEX(S1_26_JUIL!$P$3:$P$113,MATCH($A69,S1_26_JUIL!$A$3:$A$113,0)),"")="À vérifier",IFERROR(INDEX('S2_27_JUIL-02_AOUT'!$V$3:$V$113,MATCH($A69,'S2_27_JUIL-02_AOUT'!$A$3:$A$113,0)),"")="À vérifier",IFERROR(INDEX('S3_03-09_AOUT'!$V$3:$V$113,MATCH($A69,'S3_03-09_AOUT'!$A$3:$A$113,0)),"")="À vérifier",IFERROR(INDEX('S4_10-16_AOUT'!$V$3:$V$113,MATCH($A69,'S4_10-16_AOUT'!$A$3:$A$113,0)),"")="À vérifier",IFERROR(INDEX('S5_17-23_AOUT'!$V$3:$V$113,MATCH($A69,'S5_17-23_AOUT'!$A$3:$A$113,0)),"")="À vérifier",IFERROR(INDEX('S6_24-25_AOUT'!$Q$3:$Q$113,MATCH($A69,'S6_24-25_AOUT'!$A$3:$A$113,0)),"")="À vérifier",ABS(L69-T69)&gt;=0.01),"À vérifier","OK"))</f>
        <v>OK</v>
      </c>
    </row>
    <row r="70" spans="1:21">
      <c r="A70" s="12" t="s">
        <v>197</v>
      </c>
      <c r="B70" s="12" t="s">
        <v>195</v>
      </c>
      <c r="C70" s="13" t="s">
        <v>198</v>
      </c>
      <c r="D70" s="12" t="s">
        <v>31</v>
      </c>
      <c r="E70" s="10" t="s">
        <v>123</v>
      </c>
      <c r="F70" s="8">
        <f>IFERROR(SUMIF(S1_26_JUIL!$A$3:$A$113,$A70,S1_26_JUIL!$O$3:$O$113),0)</f>
        <v>0</v>
      </c>
      <c r="G70" s="8">
        <f>IFERROR(SUMIF('S2_27_JUIL-02_AOUT'!$A$3:$A$113,$A70,'S2_27_JUIL-02_AOUT'!$U$3:$U$113),0)</f>
        <v>35.999999999999993</v>
      </c>
      <c r="H70" s="8">
        <f>IFERROR(SUMIF('S3_03-09_AOUT'!$A$3:$A$113,$A70,'S3_03-09_AOUT'!$U$3:$U$113),0)</f>
        <v>0</v>
      </c>
      <c r="I70" s="8">
        <f>IFERROR(SUMIF('S4_10-16_AOUT'!$A$3:$A$113,$A70,'S4_10-16_AOUT'!$U$3:$U$113),0)</f>
        <v>0</v>
      </c>
      <c r="J70" s="8">
        <f>IFERROR(SUMIF('S5_17-23_AOUT'!$A$3:$A$113,$A70,'S5_17-23_AOUT'!$U$3:$U$113),0)</f>
        <v>0</v>
      </c>
      <c r="K70" s="8">
        <f>IFERROR(SUMIF('S6_24-25_AOUT'!$A$3:$A$113,$A70,'S6_24-25_AOUT'!$P$3:$P$113),0)</f>
        <v>0</v>
      </c>
      <c r="L70" s="8">
        <f t="shared" si="4"/>
        <v>35.999999999999993</v>
      </c>
      <c r="M70" s="8">
        <f>IFERROR(SUMIF(S1_26_JUIL!$A$3:$A$113,$A70,S1_26_JUIL!$I$3:$I$113),0)+IFERROR(SUMIF('S2_27_JUIL-02_AOUT'!$A$3:$A$113,$A70,'S2_27_JUIL-02_AOUT'!$O$3:$O$113),0)+IFERROR(SUMIF('S3_03-09_AOUT'!$A$3:$A$113,$A70,'S3_03-09_AOUT'!$O$3:$O$113),0)+IFERROR(SUMIF('S4_10-16_AOUT'!$A$3:$A$113,$A70,'S4_10-16_AOUT'!$O$3:$O$113),0)+IFERROR(SUMIF('S5_17-23_AOUT'!$A$3:$A$113,$A70,'S5_17-23_AOUT'!$O$3:$O$113),0)+IFERROR(SUMIF('S6_24-25_AOUT'!$A$3:$A$113,$A70,'S6_24-25_AOUT'!$J$3:$J$113),0)</f>
        <v>35.999999999999993</v>
      </c>
      <c r="N70" s="9">
        <f>IFERROR(SUMIF(S1_26_JUIL!$A$3:$A$113,$A70,S1_26_JUIL!$J$3:$J$113),0)+IFERROR(SUMIF('S2_27_JUIL-02_AOUT'!$A$3:$A$113,$A70,'S2_27_JUIL-02_AOUT'!$P$3:$P$113),0)+IFERROR(SUMIF('S3_03-09_AOUT'!$A$3:$A$113,$A70,'S3_03-09_AOUT'!$P$3:$P$113),0)+IFERROR(SUMIF('S4_10-16_AOUT'!$A$3:$A$113,$A70,'S4_10-16_AOUT'!$P$3:$P$113),0)+IFERROR(SUMIF('S5_17-23_AOUT'!$A$3:$A$113,$A70,'S5_17-23_AOUT'!$P$3:$P$113),0)+IFERROR(SUMIF('S6_24-25_AOUT'!$A$3:$A$113,$A70,'S6_24-25_AOUT'!$K$3:$K$113),0)</f>
        <v>0</v>
      </c>
      <c r="O70" s="9">
        <f>IFERROR(SUMIF(S1_26_JUIL!$A$3:$A$113,$A70,S1_26_JUIL!$K$3:$K$113),0)+IFERROR(SUMIF('S2_27_JUIL-02_AOUT'!$A$3:$A$113,$A70,'S2_27_JUIL-02_AOUT'!$Q$3:$Q$113),0)+IFERROR(SUMIF('S3_03-09_AOUT'!$A$3:$A$113,$A70,'S3_03-09_AOUT'!$Q$3:$Q$113),0)+IFERROR(SUMIF('S4_10-16_AOUT'!$A$3:$A$113,$A70,'S4_10-16_AOUT'!$Q$3:$Q$113),0)+IFERROR(SUMIF('S5_17-23_AOUT'!$A$3:$A$113,$A70,'S5_17-23_AOUT'!$Q$3:$Q$113),0)+IFERROR(SUMIF('S6_24-25_AOUT'!$A$3:$A$113,$A70,'S6_24-25_AOUT'!$L$3:$L$113),0)</f>
        <v>0</v>
      </c>
      <c r="P70" s="8">
        <f>IFERROR(SUMIF(S1_26_JUIL!$A$3:$A$113,$A70,S1_26_JUIL!$L$3:$L$113),0)+IFERROR(SUMIF('S2_27_JUIL-02_AOUT'!$A$3:$A$113,$A70,'S2_27_JUIL-02_AOUT'!$R$3:$R$113),0)+IFERROR(SUMIF('S3_03-09_AOUT'!$A$3:$A$113,$A70,'S3_03-09_AOUT'!$R$3:$R$113),0)+IFERROR(SUMIF('S4_10-16_AOUT'!$A$3:$A$113,$A70,'S4_10-16_AOUT'!$R$3:$R$113),0)+IFERROR(SUMIF('S5_17-23_AOUT'!$A$3:$A$113,$A70,'S5_17-23_AOUT'!$R$3:$R$113),0)+IFERROR(SUMIF('S6_24-25_AOUT'!$A$3:$A$113,$A70,'S6_24-25_AOUT'!$M$3:$M$113),0)</f>
        <v>1</v>
      </c>
      <c r="Q70" s="8">
        <f>IFERROR(SUMIF(S1_26_JUIL!$A$3:$A$113,$A70,S1_26_JUIL!$M$3:$M$113),0)+IFERROR(SUMIF('S2_27_JUIL-02_AOUT'!$A$3:$A$113,$A70,'S2_27_JUIL-02_AOUT'!$S$3:$S$113),0)+IFERROR(SUMIF('S3_03-09_AOUT'!$A$3:$A$113,$A70,'S3_03-09_AOUT'!$S$3:$S$113),0)+IFERROR(SUMIF('S4_10-16_AOUT'!$A$3:$A$113,$A70,'S4_10-16_AOUT'!$S$3:$S$113),0)+IFERROR(SUMIF('S5_17-23_AOUT'!$A$3:$A$113,$A70,'S5_17-23_AOUT'!$S$3:$S$113),0)+IFERROR(SUMIF('S6_24-25_AOUT'!$A$3:$A$113,$A70,'S6_24-25_AOUT'!$N$3:$N$113),0)</f>
        <v>0</v>
      </c>
      <c r="R70" s="11">
        <f>IFERROR(SUMIF(S1_26_JUIL!$A$3:$A$113,$A70,S1_26_JUIL!$N$3:$N$113),0)+IFERROR(SUMIF('S2_27_JUIL-02_AOUT'!$A$3:$A$113,$A70,'S2_27_JUIL-02_AOUT'!$T$3:$T$113),0)+IFERROR(SUMIF('S3_03-09_AOUT'!$A$3:$A$113,$A70,'S3_03-09_AOUT'!$T$3:$T$113),0)+IFERROR(SUMIF('S4_10-16_AOUT'!$A$3:$A$113,$A70,'S4_10-16_AOUT'!$T$3:$T$113),0)+IFERROR(SUMIF('S5_17-23_AOUT'!$A$3:$A$113,$A70,'S5_17-23_AOUT'!$T$3:$T$113),0)+IFERROR(SUMIF('S6_24-25_AOUT'!$A$3:$A$113,$A70,'S6_24-25_AOUT'!$O$3:$O$113),0)</f>
        <v>0</v>
      </c>
      <c r="S70" s="8">
        <f>208</f>
        <v>208</v>
      </c>
      <c r="T70" s="8">
        <f t="shared" si="5"/>
        <v>35.999999999999993</v>
      </c>
      <c r="U70" s="10" t="str">
        <f>IF(OR(IFERROR(INDEX(S1_26_JUIL!$P$3:$P$113,MATCH($A70,S1_26_JUIL!$A$3:$A$113,0)),"")="STC",IFERROR(INDEX('S2_27_JUIL-02_AOUT'!$V$3:$V$113,MATCH($A70,'S2_27_JUIL-02_AOUT'!$A$3:$A$113,0)),"")="STC",IFERROR(INDEX('S3_03-09_AOUT'!$V$3:$V$113,MATCH($A70,'S3_03-09_AOUT'!$A$3:$A$113,0)),"")="STC",IFERROR(INDEX('S4_10-16_AOUT'!$V$3:$V$113,MATCH($A70,'S4_10-16_AOUT'!$A$3:$A$113,0)),"")="STC",IFERROR(INDEX('S5_17-23_AOUT'!$V$3:$V$113,MATCH($A70,'S5_17-23_AOUT'!$A$3:$A$113,0)),"")="STC",IFERROR(INDEX('S6_24-25_AOUT'!$Q$3:$Q$113,MATCH($A70,'S6_24-25_AOUT'!$A$3:$A$113,0)),"")="STC"),"STC",IF(OR(IFERROR(INDEX(S1_26_JUIL!$P$3:$P$113,MATCH($A70,S1_26_JUIL!$A$3:$A$113,0)),"")="À vérifier",IFERROR(INDEX('S2_27_JUIL-02_AOUT'!$V$3:$V$113,MATCH($A70,'S2_27_JUIL-02_AOUT'!$A$3:$A$113,0)),"")="À vérifier",IFERROR(INDEX('S3_03-09_AOUT'!$V$3:$V$113,MATCH($A70,'S3_03-09_AOUT'!$A$3:$A$113,0)),"")="À vérifier",IFERROR(INDEX('S4_10-16_AOUT'!$V$3:$V$113,MATCH($A70,'S4_10-16_AOUT'!$A$3:$A$113,0)),"")="À vérifier",IFERROR(INDEX('S5_17-23_AOUT'!$V$3:$V$113,MATCH($A70,'S5_17-23_AOUT'!$A$3:$A$113,0)),"")="À vérifier",IFERROR(INDEX('S6_24-25_AOUT'!$Q$3:$Q$113,MATCH($A70,'S6_24-25_AOUT'!$A$3:$A$113,0)),"")="À vérifier",ABS(L70-T70)&gt;=0.01),"À vérifier","OK"))</f>
        <v>OK</v>
      </c>
    </row>
    <row r="71" spans="1:21">
      <c r="A71" s="12" t="s">
        <v>199</v>
      </c>
      <c r="B71" s="12" t="s">
        <v>195</v>
      </c>
      <c r="C71" s="13" t="s">
        <v>200</v>
      </c>
      <c r="D71" s="12" t="s">
        <v>31</v>
      </c>
      <c r="E71" s="10" t="s">
        <v>123</v>
      </c>
      <c r="F71" s="8">
        <f>IFERROR(SUMIF(S1_26_JUIL!$A$3:$A$113,$A71,S1_26_JUIL!$O$3:$O$113),0)</f>
        <v>0</v>
      </c>
      <c r="G71" s="8">
        <f>IFERROR(SUMIF('S2_27_JUIL-02_AOUT'!$A$3:$A$113,$A71,'S2_27_JUIL-02_AOUT'!$U$3:$U$113),0)</f>
        <v>35.999999999999993</v>
      </c>
      <c r="H71" s="8">
        <f>IFERROR(SUMIF('S3_03-09_AOUT'!$A$3:$A$113,$A71,'S3_03-09_AOUT'!$U$3:$U$113),0)</f>
        <v>0</v>
      </c>
      <c r="I71" s="8">
        <f>IFERROR(SUMIF('S4_10-16_AOUT'!$A$3:$A$113,$A71,'S4_10-16_AOUT'!$U$3:$U$113),0)</f>
        <v>0</v>
      </c>
      <c r="J71" s="8">
        <f>IFERROR(SUMIF('S5_17-23_AOUT'!$A$3:$A$113,$A71,'S5_17-23_AOUT'!$U$3:$U$113),0)</f>
        <v>0</v>
      </c>
      <c r="K71" s="8">
        <f>IFERROR(SUMIF('S6_24-25_AOUT'!$A$3:$A$113,$A71,'S6_24-25_AOUT'!$P$3:$P$113),0)</f>
        <v>0</v>
      </c>
      <c r="L71" s="8">
        <f t="shared" si="4"/>
        <v>35.999999999999993</v>
      </c>
      <c r="M71" s="8">
        <f>IFERROR(SUMIF(S1_26_JUIL!$A$3:$A$113,$A71,S1_26_JUIL!$I$3:$I$113),0)+IFERROR(SUMIF('S2_27_JUIL-02_AOUT'!$A$3:$A$113,$A71,'S2_27_JUIL-02_AOUT'!$O$3:$O$113),0)+IFERROR(SUMIF('S3_03-09_AOUT'!$A$3:$A$113,$A71,'S3_03-09_AOUT'!$O$3:$O$113),0)+IFERROR(SUMIF('S4_10-16_AOUT'!$A$3:$A$113,$A71,'S4_10-16_AOUT'!$O$3:$O$113),0)+IFERROR(SUMIF('S5_17-23_AOUT'!$A$3:$A$113,$A71,'S5_17-23_AOUT'!$O$3:$O$113),0)+IFERROR(SUMIF('S6_24-25_AOUT'!$A$3:$A$113,$A71,'S6_24-25_AOUT'!$J$3:$J$113),0)</f>
        <v>35.999999999999993</v>
      </c>
      <c r="N71" s="9">
        <f>IFERROR(SUMIF(S1_26_JUIL!$A$3:$A$113,$A71,S1_26_JUIL!$J$3:$J$113),0)+IFERROR(SUMIF('S2_27_JUIL-02_AOUT'!$A$3:$A$113,$A71,'S2_27_JUIL-02_AOUT'!$P$3:$P$113),0)+IFERROR(SUMIF('S3_03-09_AOUT'!$A$3:$A$113,$A71,'S3_03-09_AOUT'!$P$3:$P$113),0)+IFERROR(SUMIF('S4_10-16_AOUT'!$A$3:$A$113,$A71,'S4_10-16_AOUT'!$P$3:$P$113),0)+IFERROR(SUMIF('S5_17-23_AOUT'!$A$3:$A$113,$A71,'S5_17-23_AOUT'!$P$3:$P$113),0)+IFERROR(SUMIF('S6_24-25_AOUT'!$A$3:$A$113,$A71,'S6_24-25_AOUT'!$K$3:$K$113),0)</f>
        <v>0</v>
      </c>
      <c r="O71" s="9">
        <f>IFERROR(SUMIF(S1_26_JUIL!$A$3:$A$113,$A71,S1_26_JUIL!$K$3:$K$113),0)+IFERROR(SUMIF('S2_27_JUIL-02_AOUT'!$A$3:$A$113,$A71,'S2_27_JUIL-02_AOUT'!$Q$3:$Q$113),0)+IFERROR(SUMIF('S3_03-09_AOUT'!$A$3:$A$113,$A71,'S3_03-09_AOUT'!$Q$3:$Q$113),0)+IFERROR(SUMIF('S4_10-16_AOUT'!$A$3:$A$113,$A71,'S4_10-16_AOUT'!$Q$3:$Q$113),0)+IFERROR(SUMIF('S5_17-23_AOUT'!$A$3:$A$113,$A71,'S5_17-23_AOUT'!$Q$3:$Q$113),0)+IFERROR(SUMIF('S6_24-25_AOUT'!$A$3:$A$113,$A71,'S6_24-25_AOUT'!$L$3:$L$113),0)</f>
        <v>0</v>
      </c>
      <c r="P71" s="8">
        <f>IFERROR(SUMIF(S1_26_JUIL!$A$3:$A$113,$A71,S1_26_JUIL!$L$3:$L$113),0)+IFERROR(SUMIF('S2_27_JUIL-02_AOUT'!$A$3:$A$113,$A71,'S2_27_JUIL-02_AOUT'!$R$3:$R$113),0)+IFERROR(SUMIF('S3_03-09_AOUT'!$A$3:$A$113,$A71,'S3_03-09_AOUT'!$R$3:$R$113),0)+IFERROR(SUMIF('S4_10-16_AOUT'!$A$3:$A$113,$A71,'S4_10-16_AOUT'!$R$3:$R$113),0)+IFERROR(SUMIF('S5_17-23_AOUT'!$A$3:$A$113,$A71,'S5_17-23_AOUT'!$R$3:$R$113),0)+IFERROR(SUMIF('S6_24-25_AOUT'!$A$3:$A$113,$A71,'S6_24-25_AOUT'!$M$3:$M$113),0)</f>
        <v>1</v>
      </c>
      <c r="Q71" s="8">
        <f>IFERROR(SUMIF(S1_26_JUIL!$A$3:$A$113,$A71,S1_26_JUIL!$M$3:$M$113),0)+IFERROR(SUMIF('S2_27_JUIL-02_AOUT'!$A$3:$A$113,$A71,'S2_27_JUIL-02_AOUT'!$S$3:$S$113),0)+IFERROR(SUMIF('S3_03-09_AOUT'!$A$3:$A$113,$A71,'S3_03-09_AOUT'!$S$3:$S$113),0)+IFERROR(SUMIF('S4_10-16_AOUT'!$A$3:$A$113,$A71,'S4_10-16_AOUT'!$S$3:$S$113),0)+IFERROR(SUMIF('S5_17-23_AOUT'!$A$3:$A$113,$A71,'S5_17-23_AOUT'!$S$3:$S$113),0)+IFERROR(SUMIF('S6_24-25_AOUT'!$A$3:$A$113,$A71,'S6_24-25_AOUT'!$N$3:$N$113),0)</f>
        <v>0</v>
      </c>
      <c r="R71" s="11">
        <f>IFERROR(SUMIF(S1_26_JUIL!$A$3:$A$113,$A71,S1_26_JUIL!$N$3:$N$113),0)+IFERROR(SUMIF('S2_27_JUIL-02_AOUT'!$A$3:$A$113,$A71,'S2_27_JUIL-02_AOUT'!$T$3:$T$113),0)+IFERROR(SUMIF('S3_03-09_AOUT'!$A$3:$A$113,$A71,'S3_03-09_AOUT'!$T$3:$T$113),0)+IFERROR(SUMIF('S4_10-16_AOUT'!$A$3:$A$113,$A71,'S4_10-16_AOUT'!$T$3:$T$113),0)+IFERROR(SUMIF('S5_17-23_AOUT'!$A$3:$A$113,$A71,'S5_17-23_AOUT'!$T$3:$T$113),0)+IFERROR(SUMIF('S6_24-25_AOUT'!$A$3:$A$113,$A71,'S6_24-25_AOUT'!$O$3:$O$113),0)</f>
        <v>0</v>
      </c>
      <c r="S71" s="8">
        <f>208</f>
        <v>208</v>
      </c>
      <c r="T71" s="8">
        <f t="shared" si="5"/>
        <v>35.999999999999993</v>
      </c>
      <c r="U71" s="10" t="str">
        <f>IF(OR(IFERROR(INDEX(S1_26_JUIL!$P$3:$P$113,MATCH($A71,S1_26_JUIL!$A$3:$A$113,0)),"")="STC",IFERROR(INDEX('S2_27_JUIL-02_AOUT'!$V$3:$V$113,MATCH($A71,'S2_27_JUIL-02_AOUT'!$A$3:$A$113,0)),"")="STC",IFERROR(INDEX('S3_03-09_AOUT'!$V$3:$V$113,MATCH($A71,'S3_03-09_AOUT'!$A$3:$A$113,0)),"")="STC",IFERROR(INDEX('S4_10-16_AOUT'!$V$3:$V$113,MATCH($A71,'S4_10-16_AOUT'!$A$3:$A$113,0)),"")="STC",IFERROR(INDEX('S5_17-23_AOUT'!$V$3:$V$113,MATCH($A71,'S5_17-23_AOUT'!$A$3:$A$113,0)),"")="STC",IFERROR(INDEX('S6_24-25_AOUT'!$Q$3:$Q$113,MATCH($A71,'S6_24-25_AOUT'!$A$3:$A$113,0)),"")="STC"),"STC",IF(OR(IFERROR(INDEX(S1_26_JUIL!$P$3:$P$113,MATCH($A71,S1_26_JUIL!$A$3:$A$113,0)),"")="À vérifier",IFERROR(INDEX('S2_27_JUIL-02_AOUT'!$V$3:$V$113,MATCH($A71,'S2_27_JUIL-02_AOUT'!$A$3:$A$113,0)),"")="À vérifier",IFERROR(INDEX('S3_03-09_AOUT'!$V$3:$V$113,MATCH($A71,'S3_03-09_AOUT'!$A$3:$A$113,0)),"")="À vérifier",IFERROR(INDEX('S4_10-16_AOUT'!$V$3:$V$113,MATCH($A71,'S4_10-16_AOUT'!$A$3:$A$113,0)),"")="À vérifier",IFERROR(INDEX('S5_17-23_AOUT'!$V$3:$V$113,MATCH($A71,'S5_17-23_AOUT'!$A$3:$A$113,0)),"")="À vérifier",IFERROR(INDEX('S6_24-25_AOUT'!$Q$3:$Q$113,MATCH($A71,'S6_24-25_AOUT'!$A$3:$A$113,0)),"")="À vérifier",ABS(L71-T71)&gt;=0.01),"À vérifier","OK"))</f>
        <v>OK</v>
      </c>
    </row>
    <row r="72" spans="1:21">
      <c r="A72" s="12" t="s">
        <v>201</v>
      </c>
      <c r="B72" s="12" t="s">
        <v>195</v>
      </c>
      <c r="C72" s="13" t="s">
        <v>202</v>
      </c>
      <c r="D72" s="12" t="s">
        <v>31</v>
      </c>
      <c r="E72" s="10" t="s">
        <v>123</v>
      </c>
      <c r="F72" s="8">
        <f>IFERROR(SUMIF(S1_26_JUIL!$A$3:$A$113,$A72,S1_26_JUIL!$O$3:$O$113),0)</f>
        <v>0</v>
      </c>
      <c r="G72" s="8">
        <f>IFERROR(SUMIF('S2_27_JUIL-02_AOUT'!$A$3:$A$113,$A72,'S2_27_JUIL-02_AOUT'!$U$3:$U$113),0)</f>
        <v>35.999999999999993</v>
      </c>
      <c r="H72" s="8">
        <f>IFERROR(SUMIF('S3_03-09_AOUT'!$A$3:$A$113,$A72,'S3_03-09_AOUT'!$U$3:$U$113),0)</f>
        <v>0</v>
      </c>
      <c r="I72" s="8">
        <f>IFERROR(SUMIF('S4_10-16_AOUT'!$A$3:$A$113,$A72,'S4_10-16_AOUT'!$U$3:$U$113),0)</f>
        <v>0</v>
      </c>
      <c r="J72" s="8">
        <f>IFERROR(SUMIF('S5_17-23_AOUT'!$A$3:$A$113,$A72,'S5_17-23_AOUT'!$U$3:$U$113),0)</f>
        <v>0</v>
      </c>
      <c r="K72" s="8">
        <f>IFERROR(SUMIF('S6_24-25_AOUT'!$A$3:$A$113,$A72,'S6_24-25_AOUT'!$P$3:$P$113),0)</f>
        <v>0</v>
      </c>
      <c r="L72" s="8">
        <f t="shared" si="4"/>
        <v>35.999999999999993</v>
      </c>
      <c r="M72" s="8">
        <f>IFERROR(SUMIF(S1_26_JUIL!$A$3:$A$113,$A72,S1_26_JUIL!$I$3:$I$113),0)+IFERROR(SUMIF('S2_27_JUIL-02_AOUT'!$A$3:$A$113,$A72,'S2_27_JUIL-02_AOUT'!$O$3:$O$113),0)+IFERROR(SUMIF('S3_03-09_AOUT'!$A$3:$A$113,$A72,'S3_03-09_AOUT'!$O$3:$O$113),0)+IFERROR(SUMIF('S4_10-16_AOUT'!$A$3:$A$113,$A72,'S4_10-16_AOUT'!$O$3:$O$113),0)+IFERROR(SUMIF('S5_17-23_AOUT'!$A$3:$A$113,$A72,'S5_17-23_AOUT'!$O$3:$O$113),0)+IFERROR(SUMIF('S6_24-25_AOUT'!$A$3:$A$113,$A72,'S6_24-25_AOUT'!$J$3:$J$113),0)</f>
        <v>35.999999999999993</v>
      </c>
      <c r="N72" s="9">
        <f>IFERROR(SUMIF(S1_26_JUIL!$A$3:$A$113,$A72,S1_26_JUIL!$J$3:$J$113),0)+IFERROR(SUMIF('S2_27_JUIL-02_AOUT'!$A$3:$A$113,$A72,'S2_27_JUIL-02_AOUT'!$P$3:$P$113),0)+IFERROR(SUMIF('S3_03-09_AOUT'!$A$3:$A$113,$A72,'S3_03-09_AOUT'!$P$3:$P$113),0)+IFERROR(SUMIF('S4_10-16_AOUT'!$A$3:$A$113,$A72,'S4_10-16_AOUT'!$P$3:$P$113),0)+IFERROR(SUMIF('S5_17-23_AOUT'!$A$3:$A$113,$A72,'S5_17-23_AOUT'!$P$3:$P$113),0)+IFERROR(SUMIF('S6_24-25_AOUT'!$A$3:$A$113,$A72,'S6_24-25_AOUT'!$K$3:$K$113),0)</f>
        <v>0</v>
      </c>
      <c r="O72" s="9">
        <f>IFERROR(SUMIF(S1_26_JUIL!$A$3:$A$113,$A72,S1_26_JUIL!$K$3:$K$113),0)+IFERROR(SUMIF('S2_27_JUIL-02_AOUT'!$A$3:$A$113,$A72,'S2_27_JUIL-02_AOUT'!$Q$3:$Q$113),0)+IFERROR(SUMIF('S3_03-09_AOUT'!$A$3:$A$113,$A72,'S3_03-09_AOUT'!$Q$3:$Q$113),0)+IFERROR(SUMIF('S4_10-16_AOUT'!$A$3:$A$113,$A72,'S4_10-16_AOUT'!$Q$3:$Q$113),0)+IFERROR(SUMIF('S5_17-23_AOUT'!$A$3:$A$113,$A72,'S5_17-23_AOUT'!$Q$3:$Q$113),0)+IFERROR(SUMIF('S6_24-25_AOUT'!$A$3:$A$113,$A72,'S6_24-25_AOUT'!$L$3:$L$113),0)</f>
        <v>0</v>
      </c>
      <c r="P72" s="8">
        <f>IFERROR(SUMIF(S1_26_JUIL!$A$3:$A$113,$A72,S1_26_JUIL!$L$3:$L$113),0)+IFERROR(SUMIF('S2_27_JUIL-02_AOUT'!$A$3:$A$113,$A72,'S2_27_JUIL-02_AOUT'!$R$3:$R$113),0)+IFERROR(SUMIF('S3_03-09_AOUT'!$A$3:$A$113,$A72,'S3_03-09_AOUT'!$R$3:$R$113),0)+IFERROR(SUMIF('S4_10-16_AOUT'!$A$3:$A$113,$A72,'S4_10-16_AOUT'!$R$3:$R$113),0)+IFERROR(SUMIF('S5_17-23_AOUT'!$A$3:$A$113,$A72,'S5_17-23_AOUT'!$R$3:$R$113),0)+IFERROR(SUMIF('S6_24-25_AOUT'!$A$3:$A$113,$A72,'S6_24-25_AOUT'!$M$3:$M$113),0)</f>
        <v>1</v>
      </c>
      <c r="Q72" s="8">
        <f>IFERROR(SUMIF(S1_26_JUIL!$A$3:$A$113,$A72,S1_26_JUIL!$M$3:$M$113),0)+IFERROR(SUMIF('S2_27_JUIL-02_AOUT'!$A$3:$A$113,$A72,'S2_27_JUIL-02_AOUT'!$S$3:$S$113),0)+IFERROR(SUMIF('S3_03-09_AOUT'!$A$3:$A$113,$A72,'S3_03-09_AOUT'!$S$3:$S$113),0)+IFERROR(SUMIF('S4_10-16_AOUT'!$A$3:$A$113,$A72,'S4_10-16_AOUT'!$S$3:$S$113),0)+IFERROR(SUMIF('S5_17-23_AOUT'!$A$3:$A$113,$A72,'S5_17-23_AOUT'!$S$3:$S$113),0)+IFERROR(SUMIF('S6_24-25_AOUT'!$A$3:$A$113,$A72,'S6_24-25_AOUT'!$N$3:$N$113),0)</f>
        <v>0</v>
      </c>
      <c r="R72" s="11">
        <f>IFERROR(SUMIF(S1_26_JUIL!$A$3:$A$113,$A72,S1_26_JUIL!$N$3:$N$113),0)+IFERROR(SUMIF('S2_27_JUIL-02_AOUT'!$A$3:$A$113,$A72,'S2_27_JUIL-02_AOUT'!$T$3:$T$113),0)+IFERROR(SUMIF('S3_03-09_AOUT'!$A$3:$A$113,$A72,'S3_03-09_AOUT'!$T$3:$T$113),0)+IFERROR(SUMIF('S4_10-16_AOUT'!$A$3:$A$113,$A72,'S4_10-16_AOUT'!$T$3:$T$113),0)+IFERROR(SUMIF('S5_17-23_AOUT'!$A$3:$A$113,$A72,'S5_17-23_AOUT'!$T$3:$T$113),0)+IFERROR(SUMIF('S6_24-25_AOUT'!$A$3:$A$113,$A72,'S6_24-25_AOUT'!$O$3:$O$113),0)</f>
        <v>0</v>
      </c>
      <c r="S72" s="8">
        <f>208</f>
        <v>208</v>
      </c>
      <c r="T72" s="8">
        <f t="shared" si="5"/>
        <v>35.999999999999993</v>
      </c>
      <c r="U72" s="10" t="str">
        <f>IF(OR(IFERROR(INDEX(S1_26_JUIL!$P$3:$P$113,MATCH($A72,S1_26_JUIL!$A$3:$A$113,0)),"")="STC",IFERROR(INDEX('S2_27_JUIL-02_AOUT'!$V$3:$V$113,MATCH($A72,'S2_27_JUIL-02_AOUT'!$A$3:$A$113,0)),"")="STC",IFERROR(INDEX('S3_03-09_AOUT'!$V$3:$V$113,MATCH($A72,'S3_03-09_AOUT'!$A$3:$A$113,0)),"")="STC",IFERROR(INDEX('S4_10-16_AOUT'!$V$3:$V$113,MATCH($A72,'S4_10-16_AOUT'!$A$3:$A$113,0)),"")="STC",IFERROR(INDEX('S5_17-23_AOUT'!$V$3:$V$113,MATCH($A72,'S5_17-23_AOUT'!$A$3:$A$113,0)),"")="STC",IFERROR(INDEX('S6_24-25_AOUT'!$Q$3:$Q$113,MATCH($A72,'S6_24-25_AOUT'!$A$3:$A$113,0)),"")="STC"),"STC",IF(OR(IFERROR(INDEX(S1_26_JUIL!$P$3:$P$113,MATCH($A72,S1_26_JUIL!$A$3:$A$113,0)),"")="À vérifier",IFERROR(INDEX('S2_27_JUIL-02_AOUT'!$V$3:$V$113,MATCH($A72,'S2_27_JUIL-02_AOUT'!$A$3:$A$113,0)),"")="À vérifier",IFERROR(INDEX('S3_03-09_AOUT'!$V$3:$V$113,MATCH($A72,'S3_03-09_AOUT'!$A$3:$A$113,0)),"")="À vérifier",IFERROR(INDEX('S4_10-16_AOUT'!$V$3:$V$113,MATCH($A72,'S4_10-16_AOUT'!$A$3:$A$113,0)),"")="À vérifier",IFERROR(INDEX('S5_17-23_AOUT'!$V$3:$V$113,MATCH($A72,'S5_17-23_AOUT'!$A$3:$A$113,0)),"")="À vérifier",IFERROR(INDEX('S6_24-25_AOUT'!$Q$3:$Q$113,MATCH($A72,'S6_24-25_AOUT'!$A$3:$A$113,0)),"")="À vérifier",ABS(L72-T72)&gt;=0.01),"À vérifier","OK"))</f>
        <v>OK</v>
      </c>
    </row>
    <row r="73" spans="1:21">
      <c r="A73" s="12" t="s">
        <v>203</v>
      </c>
      <c r="B73" s="12" t="s">
        <v>204</v>
      </c>
      <c r="C73" s="13" t="s">
        <v>205</v>
      </c>
      <c r="D73" s="12" t="s">
        <v>31</v>
      </c>
      <c r="E73" s="10" t="s">
        <v>123</v>
      </c>
      <c r="F73" s="8">
        <f>IFERROR(SUMIF(S1_26_JUIL!$A$3:$A$113,$A73,S1_26_JUIL!$O$3:$O$113),0)</f>
        <v>0</v>
      </c>
      <c r="G73" s="8">
        <f>IFERROR(SUMIF('S2_27_JUIL-02_AOUT'!$A$3:$A$113,$A73,'S2_27_JUIL-02_AOUT'!$U$3:$U$113),0)</f>
        <v>28.5</v>
      </c>
      <c r="H73" s="8">
        <f>IFERROR(SUMIF('S3_03-09_AOUT'!$A$3:$A$113,$A73,'S3_03-09_AOUT'!$U$3:$U$113),0)</f>
        <v>0</v>
      </c>
      <c r="I73" s="8">
        <f>IFERROR(SUMIF('S4_10-16_AOUT'!$A$3:$A$113,$A73,'S4_10-16_AOUT'!$U$3:$U$113),0)</f>
        <v>0</v>
      </c>
      <c r="J73" s="8">
        <f>IFERROR(SUMIF('S5_17-23_AOUT'!$A$3:$A$113,$A73,'S5_17-23_AOUT'!$U$3:$U$113),0)</f>
        <v>0</v>
      </c>
      <c r="K73" s="8">
        <f>IFERROR(SUMIF('S6_24-25_AOUT'!$A$3:$A$113,$A73,'S6_24-25_AOUT'!$P$3:$P$113),0)</f>
        <v>0</v>
      </c>
      <c r="L73" s="8">
        <f t="shared" si="4"/>
        <v>28.5</v>
      </c>
      <c r="M73" s="8">
        <f>IFERROR(SUMIF(S1_26_JUIL!$A$3:$A$113,$A73,S1_26_JUIL!$I$3:$I$113),0)+IFERROR(SUMIF('S2_27_JUIL-02_AOUT'!$A$3:$A$113,$A73,'S2_27_JUIL-02_AOUT'!$O$3:$O$113),0)+IFERROR(SUMIF('S3_03-09_AOUT'!$A$3:$A$113,$A73,'S3_03-09_AOUT'!$O$3:$O$113),0)+IFERROR(SUMIF('S4_10-16_AOUT'!$A$3:$A$113,$A73,'S4_10-16_AOUT'!$O$3:$O$113),0)+IFERROR(SUMIF('S5_17-23_AOUT'!$A$3:$A$113,$A73,'S5_17-23_AOUT'!$O$3:$O$113),0)+IFERROR(SUMIF('S6_24-25_AOUT'!$A$3:$A$113,$A73,'S6_24-25_AOUT'!$J$3:$J$113),0)</f>
        <v>28.5</v>
      </c>
      <c r="N73" s="9">
        <f>IFERROR(SUMIF(S1_26_JUIL!$A$3:$A$113,$A73,S1_26_JUIL!$J$3:$J$113),0)+IFERROR(SUMIF('S2_27_JUIL-02_AOUT'!$A$3:$A$113,$A73,'S2_27_JUIL-02_AOUT'!$P$3:$P$113),0)+IFERROR(SUMIF('S3_03-09_AOUT'!$A$3:$A$113,$A73,'S3_03-09_AOUT'!$P$3:$P$113),0)+IFERROR(SUMIF('S4_10-16_AOUT'!$A$3:$A$113,$A73,'S4_10-16_AOUT'!$P$3:$P$113),0)+IFERROR(SUMIF('S5_17-23_AOUT'!$A$3:$A$113,$A73,'S5_17-23_AOUT'!$P$3:$P$113),0)+IFERROR(SUMIF('S6_24-25_AOUT'!$A$3:$A$113,$A73,'S6_24-25_AOUT'!$K$3:$K$113),0)</f>
        <v>0</v>
      </c>
      <c r="O73" s="9">
        <f>IFERROR(SUMIF(S1_26_JUIL!$A$3:$A$113,$A73,S1_26_JUIL!$K$3:$K$113),0)+IFERROR(SUMIF('S2_27_JUIL-02_AOUT'!$A$3:$A$113,$A73,'S2_27_JUIL-02_AOUT'!$Q$3:$Q$113),0)+IFERROR(SUMIF('S3_03-09_AOUT'!$A$3:$A$113,$A73,'S3_03-09_AOUT'!$Q$3:$Q$113),0)+IFERROR(SUMIF('S4_10-16_AOUT'!$A$3:$A$113,$A73,'S4_10-16_AOUT'!$Q$3:$Q$113),0)+IFERROR(SUMIF('S5_17-23_AOUT'!$A$3:$A$113,$A73,'S5_17-23_AOUT'!$Q$3:$Q$113),0)+IFERROR(SUMIF('S6_24-25_AOUT'!$A$3:$A$113,$A73,'S6_24-25_AOUT'!$L$3:$L$113),0)</f>
        <v>0</v>
      </c>
      <c r="P73" s="8">
        <f>IFERROR(SUMIF(S1_26_JUIL!$A$3:$A$113,$A73,S1_26_JUIL!$L$3:$L$113),0)+IFERROR(SUMIF('S2_27_JUIL-02_AOUT'!$A$3:$A$113,$A73,'S2_27_JUIL-02_AOUT'!$R$3:$R$113),0)+IFERROR(SUMIF('S3_03-09_AOUT'!$A$3:$A$113,$A73,'S3_03-09_AOUT'!$R$3:$R$113),0)+IFERROR(SUMIF('S4_10-16_AOUT'!$A$3:$A$113,$A73,'S4_10-16_AOUT'!$R$3:$R$113),0)+IFERROR(SUMIF('S5_17-23_AOUT'!$A$3:$A$113,$A73,'S5_17-23_AOUT'!$R$3:$R$113),0)+IFERROR(SUMIF('S6_24-25_AOUT'!$A$3:$A$113,$A73,'S6_24-25_AOUT'!$M$3:$M$113),0)</f>
        <v>2</v>
      </c>
      <c r="Q73" s="8">
        <f>IFERROR(SUMIF(S1_26_JUIL!$A$3:$A$113,$A73,S1_26_JUIL!$M$3:$M$113),0)+IFERROR(SUMIF('S2_27_JUIL-02_AOUT'!$A$3:$A$113,$A73,'S2_27_JUIL-02_AOUT'!$S$3:$S$113),0)+IFERROR(SUMIF('S3_03-09_AOUT'!$A$3:$A$113,$A73,'S3_03-09_AOUT'!$S$3:$S$113),0)+IFERROR(SUMIF('S4_10-16_AOUT'!$A$3:$A$113,$A73,'S4_10-16_AOUT'!$S$3:$S$113),0)+IFERROR(SUMIF('S5_17-23_AOUT'!$A$3:$A$113,$A73,'S5_17-23_AOUT'!$S$3:$S$113),0)+IFERROR(SUMIF('S6_24-25_AOUT'!$A$3:$A$113,$A73,'S6_24-25_AOUT'!$N$3:$N$113),0)</f>
        <v>0</v>
      </c>
      <c r="R73" s="11">
        <f>IFERROR(SUMIF(S1_26_JUIL!$A$3:$A$113,$A73,S1_26_JUIL!$N$3:$N$113),0)+IFERROR(SUMIF('S2_27_JUIL-02_AOUT'!$A$3:$A$113,$A73,'S2_27_JUIL-02_AOUT'!$T$3:$T$113),0)+IFERROR(SUMIF('S3_03-09_AOUT'!$A$3:$A$113,$A73,'S3_03-09_AOUT'!$T$3:$T$113),0)+IFERROR(SUMIF('S4_10-16_AOUT'!$A$3:$A$113,$A73,'S4_10-16_AOUT'!$T$3:$T$113),0)+IFERROR(SUMIF('S5_17-23_AOUT'!$A$3:$A$113,$A73,'S5_17-23_AOUT'!$T$3:$T$113),0)+IFERROR(SUMIF('S6_24-25_AOUT'!$A$3:$A$113,$A73,'S6_24-25_AOUT'!$O$3:$O$113),0)</f>
        <v>0</v>
      </c>
      <c r="S73" s="8">
        <f>208</f>
        <v>208</v>
      </c>
      <c r="T73" s="8">
        <f t="shared" si="5"/>
        <v>28.5</v>
      </c>
      <c r="U73" s="10" t="str">
        <f>IF(OR(IFERROR(INDEX(S1_26_JUIL!$P$3:$P$113,MATCH($A73,S1_26_JUIL!$A$3:$A$113,0)),"")="STC",IFERROR(INDEX('S2_27_JUIL-02_AOUT'!$V$3:$V$113,MATCH($A73,'S2_27_JUIL-02_AOUT'!$A$3:$A$113,0)),"")="STC",IFERROR(INDEX('S3_03-09_AOUT'!$V$3:$V$113,MATCH($A73,'S3_03-09_AOUT'!$A$3:$A$113,0)),"")="STC",IFERROR(INDEX('S4_10-16_AOUT'!$V$3:$V$113,MATCH($A73,'S4_10-16_AOUT'!$A$3:$A$113,0)),"")="STC",IFERROR(INDEX('S5_17-23_AOUT'!$V$3:$V$113,MATCH($A73,'S5_17-23_AOUT'!$A$3:$A$113,0)),"")="STC",IFERROR(INDEX('S6_24-25_AOUT'!$Q$3:$Q$113,MATCH($A73,'S6_24-25_AOUT'!$A$3:$A$113,0)),"")="STC"),"STC",IF(OR(IFERROR(INDEX(S1_26_JUIL!$P$3:$P$113,MATCH($A73,S1_26_JUIL!$A$3:$A$113,0)),"")="À vérifier",IFERROR(INDEX('S2_27_JUIL-02_AOUT'!$V$3:$V$113,MATCH($A73,'S2_27_JUIL-02_AOUT'!$A$3:$A$113,0)),"")="À vérifier",IFERROR(INDEX('S3_03-09_AOUT'!$V$3:$V$113,MATCH($A73,'S3_03-09_AOUT'!$A$3:$A$113,0)),"")="À vérifier",IFERROR(INDEX('S4_10-16_AOUT'!$V$3:$V$113,MATCH($A73,'S4_10-16_AOUT'!$A$3:$A$113,0)),"")="À vérifier",IFERROR(INDEX('S5_17-23_AOUT'!$V$3:$V$113,MATCH($A73,'S5_17-23_AOUT'!$A$3:$A$113,0)),"")="À vérifier",IFERROR(INDEX('S6_24-25_AOUT'!$Q$3:$Q$113,MATCH($A73,'S6_24-25_AOUT'!$A$3:$A$113,0)),"")="À vérifier",ABS(L73-T73)&gt;=0.01),"À vérifier","OK"))</f>
        <v>OK</v>
      </c>
    </row>
    <row r="74" spans="1:21">
      <c r="A74" s="12" t="s">
        <v>206</v>
      </c>
      <c r="B74" s="12" t="s">
        <v>207</v>
      </c>
      <c r="C74" s="13" t="s">
        <v>208</v>
      </c>
      <c r="D74" s="12" t="s">
        <v>31</v>
      </c>
      <c r="E74" s="10" t="s">
        <v>123</v>
      </c>
      <c r="F74" s="8">
        <f>IFERROR(SUMIF(S1_26_JUIL!$A$3:$A$113,$A74,S1_26_JUIL!$O$3:$O$113),0)</f>
        <v>0</v>
      </c>
      <c r="G74" s="8">
        <f>IFERROR(SUMIF('S2_27_JUIL-02_AOUT'!$A$3:$A$113,$A74,'S2_27_JUIL-02_AOUT'!$U$3:$U$113),0)</f>
        <v>35.999999999999993</v>
      </c>
      <c r="H74" s="8">
        <f>IFERROR(SUMIF('S3_03-09_AOUT'!$A$3:$A$113,$A74,'S3_03-09_AOUT'!$U$3:$U$113),0)</f>
        <v>0</v>
      </c>
      <c r="I74" s="8">
        <f>IFERROR(SUMIF('S4_10-16_AOUT'!$A$3:$A$113,$A74,'S4_10-16_AOUT'!$U$3:$U$113),0)</f>
        <v>0</v>
      </c>
      <c r="J74" s="8">
        <f>IFERROR(SUMIF('S5_17-23_AOUT'!$A$3:$A$113,$A74,'S5_17-23_AOUT'!$U$3:$U$113),0)</f>
        <v>0</v>
      </c>
      <c r="K74" s="8">
        <f>IFERROR(SUMIF('S6_24-25_AOUT'!$A$3:$A$113,$A74,'S6_24-25_AOUT'!$P$3:$P$113),0)</f>
        <v>0</v>
      </c>
      <c r="L74" s="8">
        <f t="shared" si="4"/>
        <v>35.999999999999993</v>
      </c>
      <c r="M74" s="8">
        <f>IFERROR(SUMIF(S1_26_JUIL!$A$3:$A$113,$A74,S1_26_JUIL!$I$3:$I$113),0)+IFERROR(SUMIF('S2_27_JUIL-02_AOUT'!$A$3:$A$113,$A74,'S2_27_JUIL-02_AOUT'!$O$3:$O$113),0)+IFERROR(SUMIF('S3_03-09_AOUT'!$A$3:$A$113,$A74,'S3_03-09_AOUT'!$O$3:$O$113),0)+IFERROR(SUMIF('S4_10-16_AOUT'!$A$3:$A$113,$A74,'S4_10-16_AOUT'!$O$3:$O$113),0)+IFERROR(SUMIF('S5_17-23_AOUT'!$A$3:$A$113,$A74,'S5_17-23_AOUT'!$O$3:$O$113),0)+IFERROR(SUMIF('S6_24-25_AOUT'!$A$3:$A$113,$A74,'S6_24-25_AOUT'!$J$3:$J$113),0)</f>
        <v>35.999999999999993</v>
      </c>
      <c r="N74" s="9">
        <f>IFERROR(SUMIF(S1_26_JUIL!$A$3:$A$113,$A74,S1_26_JUIL!$J$3:$J$113),0)+IFERROR(SUMIF('S2_27_JUIL-02_AOUT'!$A$3:$A$113,$A74,'S2_27_JUIL-02_AOUT'!$P$3:$P$113),0)+IFERROR(SUMIF('S3_03-09_AOUT'!$A$3:$A$113,$A74,'S3_03-09_AOUT'!$P$3:$P$113),0)+IFERROR(SUMIF('S4_10-16_AOUT'!$A$3:$A$113,$A74,'S4_10-16_AOUT'!$P$3:$P$113),0)+IFERROR(SUMIF('S5_17-23_AOUT'!$A$3:$A$113,$A74,'S5_17-23_AOUT'!$P$3:$P$113),0)+IFERROR(SUMIF('S6_24-25_AOUT'!$A$3:$A$113,$A74,'S6_24-25_AOUT'!$K$3:$K$113),0)</f>
        <v>0</v>
      </c>
      <c r="O74" s="9">
        <f>IFERROR(SUMIF(S1_26_JUIL!$A$3:$A$113,$A74,S1_26_JUIL!$K$3:$K$113),0)+IFERROR(SUMIF('S2_27_JUIL-02_AOUT'!$A$3:$A$113,$A74,'S2_27_JUIL-02_AOUT'!$Q$3:$Q$113),0)+IFERROR(SUMIF('S3_03-09_AOUT'!$A$3:$A$113,$A74,'S3_03-09_AOUT'!$Q$3:$Q$113),0)+IFERROR(SUMIF('S4_10-16_AOUT'!$A$3:$A$113,$A74,'S4_10-16_AOUT'!$Q$3:$Q$113),0)+IFERROR(SUMIF('S5_17-23_AOUT'!$A$3:$A$113,$A74,'S5_17-23_AOUT'!$Q$3:$Q$113),0)+IFERROR(SUMIF('S6_24-25_AOUT'!$A$3:$A$113,$A74,'S6_24-25_AOUT'!$L$3:$L$113),0)</f>
        <v>0</v>
      </c>
      <c r="P74" s="8">
        <f>IFERROR(SUMIF(S1_26_JUIL!$A$3:$A$113,$A74,S1_26_JUIL!$L$3:$L$113),0)+IFERROR(SUMIF('S2_27_JUIL-02_AOUT'!$A$3:$A$113,$A74,'S2_27_JUIL-02_AOUT'!$R$3:$R$113),0)+IFERROR(SUMIF('S3_03-09_AOUT'!$A$3:$A$113,$A74,'S3_03-09_AOUT'!$R$3:$R$113),0)+IFERROR(SUMIF('S4_10-16_AOUT'!$A$3:$A$113,$A74,'S4_10-16_AOUT'!$R$3:$R$113),0)+IFERROR(SUMIF('S5_17-23_AOUT'!$A$3:$A$113,$A74,'S5_17-23_AOUT'!$R$3:$R$113),0)+IFERROR(SUMIF('S6_24-25_AOUT'!$A$3:$A$113,$A74,'S6_24-25_AOUT'!$M$3:$M$113),0)</f>
        <v>1</v>
      </c>
      <c r="Q74" s="8">
        <f>IFERROR(SUMIF(S1_26_JUIL!$A$3:$A$113,$A74,S1_26_JUIL!$M$3:$M$113),0)+IFERROR(SUMIF('S2_27_JUIL-02_AOUT'!$A$3:$A$113,$A74,'S2_27_JUIL-02_AOUT'!$S$3:$S$113),0)+IFERROR(SUMIF('S3_03-09_AOUT'!$A$3:$A$113,$A74,'S3_03-09_AOUT'!$S$3:$S$113),0)+IFERROR(SUMIF('S4_10-16_AOUT'!$A$3:$A$113,$A74,'S4_10-16_AOUT'!$S$3:$S$113),0)+IFERROR(SUMIF('S5_17-23_AOUT'!$A$3:$A$113,$A74,'S5_17-23_AOUT'!$S$3:$S$113),0)+IFERROR(SUMIF('S6_24-25_AOUT'!$A$3:$A$113,$A74,'S6_24-25_AOUT'!$N$3:$N$113),0)</f>
        <v>0</v>
      </c>
      <c r="R74" s="11">
        <f>IFERROR(SUMIF(S1_26_JUIL!$A$3:$A$113,$A74,S1_26_JUIL!$N$3:$N$113),0)+IFERROR(SUMIF('S2_27_JUIL-02_AOUT'!$A$3:$A$113,$A74,'S2_27_JUIL-02_AOUT'!$T$3:$T$113),0)+IFERROR(SUMIF('S3_03-09_AOUT'!$A$3:$A$113,$A74,'S3_03-09_AOUT'!$T$3:$T$113),0)+IFERROR(SUMIF('S4_10-16_AOUT'!$A$3:$A$113,$A74,'S4_10-16_AOUT'!$T$3:$T$113),0)+IFERROR(SUMIF('S5_17-23_AOUT'!$A$3:$A$113,$A74,'S5_17-23_AOUT'!$T$3:$T$113),0)+IFERROR(SUMIF('S6_24-25_AOUT'!$A$3:$A$113,$A74,'S6_24-25_AOUT'!$O$3:$O$113),0)</f>
        <v>0</v>
      </c>
      <c r="S74" s="8">
        <f>208</f>
        <v>208</v>
      </c>
      <c r="T74" s="8">
        <f t="shared" si="5"/>
        <v>35.999999999999993</v>
      </c>
      <c r="U74" s="10" t="str">
        <f>IF(OR(IFERROR(INDEX(S1_26_JUIL!$P$3:$P$113,MATCH($A74,S1_26_JUIL!$A$3:$A$113,0)),"")="STC",IFERROR(INDEX('S2_27_JUIL-02_AOUT'!$V$3:$V$113,MATCH($A74,'S2_27_JUIL-02_AOUT'!$A$3:$A$113,0)),"")="STC",IFERROR(INDEX('S3_03-09_AOUT'!$V$3:$V$113,MATCH($A74,'S3_03-09_AOUT'!$A$3:$A$113,0)),"")="STC",IFERROR(INDEX('S4_10-16_AOUT'!$V$3:$V$113,MATCH($A74,'S4_10-16_AOUT'!$A$3:$A$113,0)),"")="STC",IFERROR(INDEX('S5_17-23_AOUT'!$V$3:$V$113,MATCH($A74,'S5_17-23_AOUT'!$A$3:$A$113,0)),"")="STC",IFERROR(INDEX('S6_24-25_AOUT'!$Q$3:$Q$113,MATCH($A74,'S6_24-25_AOUT'!$A$3:$A$113,0)),"")="STC"),"STC",IF(OR(IFERROR(INDEX(S1_26_JUIL!$P$3:$P$113,MATCH($A74,S1_26_JUIL!$A$3:$A$113,0)),"")="À vérifier",IFERROR(INDEX('S2_27_JUIL-02_AOUT'!$V$3:$V$113,MATCH($A74,'S2_27_JUIL-02_AOUT'!$A$3:$A$113,0)),"")="À vérifier",IFERROR(INDEX('S3_03-09_AOUT'!$V$3:$V$113,MATCH($A74,'S3_03-09_AOUT'!$A$3:$A$113,0)),"")="À vérifier",IFERROR(INDEX('S4_10-16_AOUT'!$V$3:$V$113,MATCH($A74,'S4_10-16_AOUT'!$A$3:$A$113,0)),"")="À vérifier",IFERROR(INDEX('S5_17-23_AOUT'!$V$3:$V$113,MATCH($A74,'S5_17-23_AOUT'!$A$3:$A$113,0)),"")="À vérifier",IFERROR(INDEX('S6_24-25_AOUT'!$Q$3:$Q$113,MATCH($A74,'S6_24-25_AOUT'!$A$3:$A$113,0)),"")="À vérifier",ABS(L74-T74)&gt;=0.01),"À vérifier","OK"))</f>
        <v>OK</v>
      </c>
    </row>
    <row r="75" spans="1:21">
      <c r="A75" s="12" t="s">
        <v>209</v>
      </c>
      <c r="B75" s="12" t="s">
        <v>210</v>
      </c>
      <c r="C75" s="13" t="s">
        <v>211</v>
      </c>
      <c r="D75" s="12" t="s">
        <v>31</v>
      </c>
      <c r="E75" s="10" t="s">
        <v>123</v>
      </c>
      <c r="F75" s="8">
        <f>IFERROR(SUMIF(S1_26_JUIL!$A$3:$A$113,$A75,S1_26_JUIL!$O$3:$O$113),0)</f>
        <v>0</v>
      </c>
      <c r="G75" s="8">
        <f>IFERROR(SUMIF('S2_27_JUIL-02_AOUT'!$A$3:$A$113,$A75,'S2_27_JUIL-02_AOUT'!$U$3:$U$113),0)</f>
        <v>47.5</v>
      </c>
      <c r="H75" s="8">
        <f>IFERROR(SUMIF('S3_03-09_AOUT'!$A$3:$A$113,$A75,'S3_03-09_AOUT'!$U$3:$U$113),0)</f>
        <v>0</v>
      </c>
      <c r="I75" s="8">
        <f>IFERROR(SUMIF('S4_10-16_AOUT'!$A$3:$A$113,$A75,'S4_10-16_AOUT'!$U$3:$U$113),0)</f>
        <v>0</v>
      </c>
      <c r="J75" s="8">
        <f>IFERROR(SUMIF('S5_17-23_AOUT'!$A$3:$A$113,$A75,'S5_17-23_AOUT'!$U$3:$U$113),0)</f>
        <v>0</v>
      </c>
      <c r="K75" s="8">
        <f>IFERROR(SUMIF('S6_24-25_AOUT'!$A$3:$A$113,$A75,'S6_24-25_AOUT'!$P$3:$P$113),0)</f>
        <v>0</v>
      </c>
      <c r="L75" s="8">
        <f t="shared" si="4"/>
        <v>47.5</v>
      </c>
      <c r="M75" s="8">
        <f>IFERROR(SUMIF(S1_26_JUIL!$A$3:$A$113,$A75,S1_26_JUIL!$I$3:$I$113),0)+IFERROR(SUMIF('S2_27_JUIL-02_AOUT'!$A$3:$A$113,$A75,'S2_27_JUIL-02_AOUT'!$O$3:$O$113),0)+IFERROR(SUMIF('S3_03-09_AOUT'!$A$3:$A$113,$A75,'S3_03-09_AOUT'!$O$3:$O$113),0)+IFERROR(SUMIF('S4_10-16_AOUT'!$A$3:$A$113,$A75,'S4_10-16_AOUT'!$O$3:$O$113),0)+IFERROR(SUMIF('S5_17-23_AOUT'!$A$3:$A$113,$A75,'S5_17-23_AOUT'!$O$3:$O$113),0)+IFERROR(SUMIF('S6_24-25_AOUT'!$A$3:$A$113,$A75,'S6_24-25_AOUT'!$J$3:$J$113),0)</f>
        <v>47.5</v>
      </c>
      <c r="N75" s="9">
        <f>IFERROR(SUMIF(S1_26_JUIL!$A$3:$A$113,$A75,S1_26_JUIL!$J$3:$J$113),0)+IFERROR(SUMIF('S2_27_JUIL-02_AOUT'!$A$3:$A$113,$A75,'S2_27_JUIL-02_AOUT'!$P$3:$P$113),0)+IFERROR(SUMIF('S3_03-09_AOUT'!$A$3:$A$113,$A75,'S3_03-09_AOUT'!$P$3:$P$113),0)+IFERROR(SUMIF('S4_10-16_AOUT'!$A$3:$A$113,$A75,'S4_10-16_AOUT'!$P$3:$P$113),0)+IFERROR(SUMIF('S5_17-23_AOUT'!$A$3:$A$113,$A75,'S5_17-23_AOUT'!$P$3:$P$113),0)+IFERROR(SUMIF('S6_24-25_AOUT'!$A$3:$A$113,$A75,'S6_24-25_AOUT'!$K$3:$K$113),0)</f>
        <v>0</v>
      </c>
      <c r="O75" s="9">
        <f>IFERROR(SUMIF(S1_26_JUIL!$A$3:$A$113,$A75,S1_26_JUIL!$K$3:$K$113),0)+IFERROR(SUMIF('S2_27_JUIL-02_AOUT'!$A$3:$A$113,$A75,'S2_27_JUIL-02_AOUT'!$Q$3:$Q$113),0)+IFERROR(SUMIF('S3_03-09_AOUT'!$A$3:$A$113,$A75,'S3_03-09_AOUT'!$Q$3:$Q$113),0)+IFERROR(SUMIF('S4_10-16_AOUT'!$A$3:$A$113,$A75,'S4_10-16_AOUT'!$Q$3:$Q$113),0)+IFERROR(SUMIF('S5_17-23_AOUT'!$A$3:$A$113,$A75,'S5_17-23_AOUT'!$Q$3:$Q$113),0)+IFERROR(SUMIF('S6_24-25_AOUT'!$A$3:$A$113,$A75,'S6_24-25_AOUT'!$L$3:$L$113),0)</f>
        <v>0</v>
      </c>
      <c r="P75" s="8">
        <f>IFERROR(SUMIF(S1_26_JUIL!$A$3:$A$113,$A75,S1_26_JUIL!$L$3:$L$113),0)+IFERROR(SUMIF('S2_27_JUIL-02_AOUT'!$A$3:$A$113,$A75,'S2_27_JUIL-02_AOUT'!$R$3:$R$113),0)+IFERROR(SUMIF('S3_03-09_AOUT'!$A$3:$A$113,$A75,'S3_03-09_AOUT'!$R$3:$R$113),0)+IFERROR(SUMIF('S4_10-16_AOUT'!$A$3:$A$113,$A75,'S4_10-16_AOUT'!$R$3:$R$113),0)+IFERROR(SUMIF('S5_17-23_AOUT'!$A$3:$A$113,$A75,'S5_17-23_AOUT'!$R$3:$R$113),0)+IFERROR(SUMIF('S6_24-25_AOUT'!$A$3:$A$113,$A75,'S6_24-25_AOUT'!$M$3:$M$113),0)</f>
        <v>0</v>
      </c>
      <c r="Q75" s="8">
        <f>IFERROR(SUMIF(S1_26_JUIL!$A$3:$A$113,$A75,S1_26_JUIL!$M$3:$M$113),0)+IFERROR(SUMIF('S2_27_JUIL-02_AOUT'!$A$3:$A$113,$A75,'S2_27_JUIL-02_AOUT'!$S$3:$S$113),0)+IFERROR(SUMIF('S3_03-09_AOUT'!$A$3:$A$113,$A75,'S3_03-09_AOUT'!$S$3:$S$113),0)+IFERROR(SUMIF('S4_10-16_AOUT'!$A$3:$A$113,$A75,'S4_10-16_AOUT'!$S$3:$S$113),0)+IFERROR(SUMIF('S5_17-23_AOUT'!$A$3:$A$113,$A75,'S5_17-23_AOUT'!$S$3:$S$113),0)+IFERROR(SUMIF('S6_24-25_AOUT'!$A$3:$A$113,$A75,'S6_24-25_AOUT'!$N$3:$N$113),0)</f>
        <v>0</v>
      </c>
      <c r="R75" s="11">
        <f>IFERROR(SUMIF(S1_26_JUIL!$A$3:$A$113,$A75,S1_26_JUIL!$N$3:$N$113),0)+IFERROR(SUMIF('S2_27_JUIL-02_AOUT'!$A$3:$A$113,$A75,'S2_27_JUIL-02_AOUT'!$T$3:$T$113),0)+IFERROR(SUMIF('S3_03-09_AOUT'!$A$3:$A$113,$A75,'S3_03-09_AOUT'!$T$3:$T$113),0)+IFERROR(SUMIF('S4_10-16_AOUT'!$A$3:$A$113,$A75,'S4_10-16_AOUT'!$T$3:$T$113),0)+IFERROR(SUMIF('S5_17-23_AOUT'!$A$3:$A$113,$A75,'S5_17-23_AOUT'!$T$3:$T$113),0)+IFERROR(SUMIF('S6_24-25_AOUT'!$A$3:$A$113,$A75,'S6_24-25_AOUT'!$O$3:$O$113),0)</f>
        <v>0</v>
      </c>
      <c r="S75" s="8">
        <f>208</f>
        <v>208</v>
      </c>
      <c r="T75" s="8">
        <f t="shared" si="5"/>
        <v>47.5</v>
      </c>
      <c r="U75" s="10" t="str">
        <f>IF(OR(IFERROR(INDEX(S1_26_JUIL!$P$3:$P$113,MATCH($A75,S1_26_JUIL!$A$3:$A$113,0)),"")="STC",IFERROR(INDEX('S2_27_JUIL-02_AOUT'!$V$3:$V$113,MATCH($A75,'S2_27_JUIL-02_AOUT'!$A$3:$A$113,0)),"")="STC",IFERROR(INDEX('S3_03-09_AOUT'!$V$3:$V$113,MATCH($A75,'S3_03-09_AOUT'!$A$3:$A$113,0)),"")="STC",IFERROR(INDEX('S4_10-16_AOUT'!$V$3:$V$113,MATCH($A75,'S4_10-16_AOUT'!$A$3:$A$113,0)),"")="STC",IFERROR(INDEX('S5_17-23_AOUT'!$V$3:$V$113,MATCH($A75,'S5_17-23_AOUT'!$A$3:$A$113,0)),"")="STC",IFERROR(INDEX('S6_24-25_AOUT'!$Q$3:$Q$113,MATCH($A75,'S6_24-25_AOUT'!$A$3:$A$113,0)),"")="STC"),"STC",IF(OR(IFERROR(INDEX(S1_26_JUIL!$P$3:$P$113,MATCH($A75,S1_26_JUIL!$A$3:$A$113,0)),"")="À vérifier",IFERROR(INDEX('S2_27_JUIL-02_AOUT'!$V$3:$V$113,MATCH($A75,'S2_27_JUIL-02_AOUT'!$A$3:$A$113,0)),"")="À vérifier",IFERROR(INDEX('S3_03-09_AOUT'!$V$3:$V$113,MATCH($A75,'S3_03-09_AOUT'!$A$3:$A$113,0)),"")="À vérifier",IFERROR(INDEX('S4_10-16_AOUT'!$V$3:$V$113,MATCH($A75,'S4_10-16_AOUT'!$A$3:$A$113,0)),"")="À vérifier",IFERROR(INDEX('S5_17-23_AOUT'!$V$3:$V$113,MATCH($A75,'S5_17-23_AOUT'!$A$3:$A$113,0)),"")="À vérifier",IFERROR(INDEX('S6_24-25_AOUT'!$Q$3:$Q$113,MATCH($A75,'S6_24-25_AOUT'!$A$3:$A$113,0)),"")="À vérifier",ABS(L75-T75)&gt;=0.01),"À vérifier","OK"))</f>
        <v>OK</v>
      </c>
    </row>
    <row r="76" spans="1:21">
      <c r="A76" s="12">
        <v>244</v>
      </c>
      <c r="B76" s="12" t="s">
        <v>212</v>
      </c>
      <c r="C76" s="13" t="s">
        <v>163</v>
      </c>
      <c r="D76" s="12" t="s">
        <v>31</v>
      </c>
      <c r="E76" s="10" t="s">
        <v>123</v>
      </c>
      <c r="F76" s="8">
        <f>IFERROR(SUMIF(S1_26_JUIL!$A$3:$A$113,$A76,S1_26_JUIL!$O$3:$O$113),0)</f>
        <v>0</v>
      </c>
      <c r="G76" s="8">
        <f>IFERROR(SUMIF('S2_27_JUIL-02_AOUT'!$A$3:$A$113,$A76,'S2_27_JUIL-02_AOUT'!$U$3:$U$113),0)</f>
        <v>2</v>
      </c>
      <c r="H76" s="8">
        <f>IFERROR(SUMIF('S3_03-09_AOUT'!$A$3:$A$113,$A76,'S3_03-09_AOUT'!$U$3:$U$113),0)</f>
        <v>0</v>
      </c>
      <c r="I76" s="8">
        <f>IFERROR(SUMIF('S4_10-16_AOUT'!$A$3:$A$113,$A76,'S4_10-16_AOUT'!$U$3:$U$113),0)</f>
        <v>0</v>
      </c>
      <c r="J76" s="8">
        <f>IFERROR(SUMIF('S5_17-23_AOUT'!$A$3:$A$113,$A76,'S5_17-23_AOUT'!$U$3:$U$113),0)</f>
        <v>0</v>
      </c>
      <c r="K76" s="8">
        <f>IFERROR(SUMIF('S6_24-25_AOUT'!$A$3:$A$113,$A76,'S6_24-25_AOUT'!$P$3:$P$113),0)</f>
        <v>0</v>
      </c>
      <c r="L76" s="8">
        <f t="shared" si="4"/>
        <v>2</v>
      </c>
      <c r="M76" s="8">
        <f>IFERROR(SUMIF(S1_26_JUIL!$A$3:$A$113,$A76,S1_26_JUIL!$I$3:$I$113),0)+IFERROR(SUMIF('S2_27_JUIL-02_AOUT'!$A$3:$A$113,$A76,'S2_27_JUIL-02_AOUT'!$O$3:$O$113),0)+IFERROR(SUMIF('S3_03-09_AOUT'!$A$3:$A$113,$A76,'S3_03-09_AOUT'!$O$3:$O$113),0)+IFERROR(SUMIF('S4_10-16_AOUT'!$A$3:$A$113,$A76,'S4_10-16_AOUT'!$O$3:$O$113),0)+IFERROR(SUMIF('S5_17-23_AOUT'!$A$3:$A$113,$A76,'S5_17-23_AOUT'!$O$3:$O$113),0)+IFERROR(SUMIF('S6_24-25_AOUT'!$A$3:$A$113,$A76,'S6_24-25_AOUT'!$J$3:$J$113),0)</f>
        <v>2</v>
      </c>
      <c r="N76" s="9">
        <f>IFERROR(SUMIF(S1_26_JUIL!$A$3:$A$113,$A76,S1_26_JUIL!$J$3:$J$113),0)+IFERROR(SUMIF('S2_27_JUIL-02_AOUT'!$A$3:$A$113,$A76,'S2_27_JUIL-02_AOUT'!$P$3:$P$113),0)+IFERROR(SUMIF('S3_03-09_AOUT'!$A$3:$A$113,$A76,'S3_03-09_AOUT'!$P$3:$P$113),0)+IFERROR(SUMIF('S4_10-16_AOUT'!$A$3:$A$113,$A76,'S4_10-16_AOUT'!$P$3:$P$113),0)+IFERROR(SUMIF('S5_17-23_AOUT'!$A$3:$A$113,$A76,'S5_17-23_AOUT'!$P$3:$P$113),0)+IFERROR(SUMIF('S6_24-25_AOUT'!$A$3:$A$113,$A76,'S6_24-25_AOUT'!$K$3:$K$113),0)</f>
        <v>0</v>
      </c>
      <c r="O76" s="9">
        <f>IFERROR(SUMIF(S1_26_JUIL!$A$3:$A$113,$A76,S1_26_JUIL!$K$3:$K$113),0)+IFERROR(SUMIF('S2_27_JUIL-02_AOUT'!$A$3:$A$113,$A76,'S2_27_JUIL-02_AOUT'!$Q$3:$Q$113),0)+IFERROR(SUMIF('S3_03-09_AOUT'!$A$3:$A$113,$A76,'S3_03-09_AOUT'!$Q$3:$Q$113),0)+IFERROR(SUMIF('S4_10-16_AOUT'!$A$3:$A$113,$A76,'S4_10-16_AOUT'!$Q$3:$Q$113),0)+IFERROR(SUMIF('S5_17-23_AOUT'!$A$3:$A$113,$A76,'S5_17-23_AOUT'!$Q$3:$Q$113),0)+IFERROR(SUMIF('S6_24-25_AOUT'!$A$3:$A$113,$A76,'S6_24-25_AOUT'!$L$3:$L$113),0)</f>
        <v>0</v>
      </c>
      <c r="P76" s="8">
        <f>IFERROR(SUMIF(S1_26_JUIL!$A$3:$A$113,$A76,S1_26_JUIL!$L$3:$L$113),0)+IFERROR(SUMIF('S2_27_JUIL-02_AOUT'!$A$3:$A$113,$A76,'S2_27_JUIL-02_AOUT'!$R$3:$R$113),0)+IFERROR(SUMIF('S3_03-09_AOUT'!$A$3:$A$113,$A76,'S3_03-09_AOUT'!$R$3:$R$113),0)+IFERROR(SUMIF('S4_10-16_AOUT'!$A$3:$A$113,$A76,'S4_10-16_AOUT'!$R$3:$R$113),0)+IFERROR(SUMIF('S5_17-23_AOUT'!$A$3:$A$113,$A76,'S5_17-23_AOUT'!$R$3:$R$113),0)+IFERROR(SUMIF('S6_24-25_AOUT'!$A$3:$A$113,$A76,'S6_24-25_AOUT'!$M$3:$M$113),0)</f>
        <v>4</v>
      </c>
      <c r="Q76" s="8">
        <f>IFERROR(SUMIF(S1_26_JUIL!$A$3:$A$113,$A76,S1_26_JUIL!$M$3:$M$113),0)+IFERROR(SUMIF('S2_27_JUIL-02_AOUT'!$A$3:$A$113,$A76,'S2_27_JUIL-02_AOUT'!$S$3:$S$113),0)+IFERROR(SUMIF('S3_03-09_AOUT'!$A$3:$A$113,$A76,'S3_03-09_AOUT'!$S$3:$S$113),0)+IFERROR(SUMIF('S4_10-16_AOUT'!$A$3:$A$113,$A76,'S4_10-16_AOUT'!$S$3:$S$113),0)+IFERROR(SUMIF('S5_17-23_AOUT'!$A$3:$A$113,$A76,'S5_17-23_AOUT'!$S$3:$S$113),0)+IFERROR(SUMIF('S6_24-25_AOUT'!$A$3:$A$113,$A76,'S6_24-25_AOUT'!$N$3:$N$113),0)</f>
        <v>0</v>
      </c>
      <c r="R76" s="11">
        <f>IFERROR(SUMIF(S1_26_JUIL!$A$3:$A$113,$A76,S1_26_JUIL!$N$3:$N$113),0)+IFERROR(SUMIF('S2_27_JUIL-02_AOUT'!$A$3:$A$113,$A76,'S2_27_JUIL-02_AOUT'!$T$3:$T$113),0)+IFERROR(SUMIF('S3_03-09_AOUT'!$A$3:$A$113,$A76,'S3_03-09_AOUT'!$T$3:$T$113),0)+IFERROR(SUMIF('S4_10-16_AOUT'!$A$3:$A$113,$A76,'S4_10-16_AOUT'!$T$3:$T$113),0)+IFERROR(SUMIF('S5_17-23_AOUT'!$A$3:$A$113,$A76,'S5_17-23_AOUT'!$T$3:$T$113),0)+IFERROR(SUMIF('S6_24-25_AOUT'!$A$3:$A$113,$A76,'S6_24-25_AOUT'!$O$3:$O$113),0)</f>
        <v>0</v>
      </c>
      <c r="S76" s="8">
        <f>208</f>
        <v>208</v>
      </c>
      <c r="T76" s="8">
        <f t="shared" si="5"/>
        <v>2</v>
      </c>
      <c r="U76" s="10" t="str">
        <f>IF(OR(IFERROR(INDEX(S1_26_JUIL!$P$3:$P$113,MATCH($A76,S1_26_JUIL!$A$3:$A$113,0)),"")="STC",IFERROR(INDEX('S2_27_JUIL-02_AOUT'!$V$3:$V$113,MATCH($A76,'S2_27_JUIL-02_AOUT'!$A$3:$A$113,0)),"")="STC",IFERROR(INDEX('S3_03-09_AOUT'!$V$3:$V$113,MATCH($A76,'S3_03-09_AOUT'!$A$3:$A$113,0)),"")="STC",IFERROR(INDEX('S4_10-16_AOUT'!$V$3:$V$113,MATCH($A76,'S4_10-16_AOUT'!$A$3:$A$113,0)),"")="STC",IFERROR(INDEX('S5_17-23_AOUT'!$V$3:$V$113,MATCH($A76,'S5_17-23_AOUT'!$A$3:$A$113,0)),"")="STC",IFERROR(INDEX('S6_24-25_AOUT'!$Q$3:$Q$113,MATCH($A76,'S6_24-25_AOUT'!$A$3:$A$113,0)),"")="STC"),"STC",IF(OR(IFERROR(INDEX(S1_26_JUIL!$P$3:$P$113,MATCH($A76,S1_26_JUIL!$A$3:$A$113,0)),"")="À vérifier",IFERROR(INDEX('S2_27_JUIL-02_AOUT'!$V$3:$V$113,MATCH($A76,'S2_27_JUIL-02_AOUT'!$A$3:$A$113,0)),"")="À vérifier",IFERROR(INDEX('S3_03-09_AOUT'!$V$3:$V$113,MATCH($A76,'S3_03-09_AOUT'!$A$3:$A$113,0)),"")="À vérifier",IFERROR(INDEX('S4_10-16_AOUT'!$V$3:$V$113,MATCH($A76,'S4_10-16_AOUT'!$A$3:$A$113,0)),"")="À vérifier",IFERROR(INDEX('S5_17-23_AOUT'!$V$3:$V$113,MATCH($A76,'S5_17-23_AOUT'!$A$3:$A$113,0)),"")="À vérifier",IFERROR(INDEX('S6_24-25_AOUT'!$Q$3:$Q$113,MATCH($A76,'S6_24-25_AOUT'!$A$3:$A$113,0)),"")="À vérifier",ABS(L76-T76)&gt;=0.01),"À vérifier","OK"))</f>
        <v>OK</v>
      </c>
    </row>
    <row r="77" spans="1:21">
      <c r="A77" s="12" t="s">
        <v>213</v>
      </c>
      <c r="B77" s="12" t="s">
        <v>214</v>
      </c>
      <c r="C77" s="13" t="s">
        <v>61</v>
      </c>
      <c r="D77" s="12" t="s">
        <v>31</v>
      </c>
      <c r="E77" s="10" t="s">
        <v>123</v>
      </c>
      <c r="F77" s="8">
        <f>IFERROR(SUMIF(S1_26_JUIL!$A$3:$A$113,$A77,S1_26_JUIL!$O$3:$O$113),0)</f>
        <v>0</v>
      </c>
      <c r="G77" s="8">
        <f>IFERROR(SUMIF('S2_27_JUIL-02_AOUT'!$A$3:$A$113,$A77,'S2_27_JUIL-02_AOUT'!$U$3:$U$113),0)</f>
        <v>74</v>
      </c>
      <c r="H77" s="8">
        <f>IFERROR(SUMIF('S3_03-09_AOUT'!$A$3:$A$113,$A77,'S3_03-09_AOUT'!$U$3:$U$113),0)</f>
        <v>0</v>
      </c>
      <c r="I77" s="8">
        <f>IFERROR(SUMIF('S4_10-16_AOUT'!$A$3:$A$113,$A77,'S4_10-16_AOUT'!$U$3:$U$113),0)</f>
        <v>0</v>
      </c>
      <c r="J77" s="8">
        <f>IFERROR(SUMIF('S5_17-23_AOUT'!$A$3:$A$113,$A77,'S5_17-23_AOUT'!$U$3:$U$113),0)</f>
        <v>0</v>
      </c>
      <c r="K77" s="8">
        <f>IFERROR(SUMIF('S6_24-25_AOUT'!$A$3:$A$113,$A77,'S6_24-25_AOUT'!$P$3:$P$113),0)</f>
        <v>0</v>
      </c>
      <c r="L77" s="8">
        <f t="shared" si="4"/>
        <v>74</v>
      </c>
      <c r="M77" s="8">
        <f>IFERROR(SUMIF(S1_26_JUIL!$A$3:$A$113,$A77,S1_26_JUIL!$I$3:$I$113),0)+IFERROR(SUMIF('S2_27_JUIL-02_AOUT'!$A$3:$A$113,$A77,'S2_27_JUIL-02_AOUT'!$O$3:$O$113),0)+IFERROR(SUMIF('S3_03-09_AOUT'!$A$3:$A$113,$A77,'S3_03-09_AOUT'!$O$3:$O$113),0)+IFERROR(SUMIF('S4_10-16_AOUT'!$A$3:$A$113,$A77,'S4_10-16_AOUT'!$O$3:$O$113),0)+IFERROR(SUMIF('S5_17-23_AOUT'!$A$3:$A$113,$A77,'S5_17-23_AOUT'!$O$3:$O$113),0)+IFERROR(SUMIF('S6_24-25_AOUT'!$A$3:$A$113,$A77,'S6_24-25_AOUT'!$J$3:$J$113),0)</f>
        <v>74</v>
      </c>
      <c r="N77" s="9">
        <f>IFERROR(SUMIF(S1_26_JUIL!$A$3:$A$113,$A77,S1_26_JUIL!$J$3:$J$113),0)+IFERROR(SUMIF('S2_27_JUIL-02_AOUT'!$A$3:$A$113,$A77,'S2_27_JUIL-02_AOUT'!$P$3:$P$113),0)+IFERROR(SUMIF('S3_03-09_AOUT'!$A$3:$A$113,$A77,'S3_03-09_AOUT'!$P$3:$P$113),0)+IFERROR(SUMIF('S4_10-16_AOUT'!$A$3:$A$113,$A77,'S4_10-16_AOUT'!$P$3:$P$113),0)+IFERROR(SUMIF('S5_17-23_AOUT'!$A$3:$A$113,$A77,'S5_17-23_AOUT'!$P$3:$P$113),0)+IFERROR(SUMIF('S6_24-25_AOUT'!$A$3:$A$113,$A77,'S6_24-25_AOUT'!$K$3:$K$113),0)</f>
        <v>0</v>
      </c>
      <c r="O77" s="9">
        <f>IFERROR(SUMIF(S1_26_JUIL!$A$3:$A$113,$A77,S1_26_JUIL!$K$3:$K$113),0)+IFERROR(SUMIF('S2_27_JUIL-02_AOUT'!$A$3:$A$113,$A77,'S2_27_JUIL-02_AOUT'!$Q$3:$Q$113),0)+IFERROR(SUMIF('S3_03-09_AOUT'!$A$3:$A$113,$A77,'S3_03-09_AOUT'!$Q$3:$Q$113),0)+IFERROR(SUMIF('S4_10-16_AOUT'!$A$3:$A$113,$A77,'S4_10-16_AOUT'!$Q$3:$Q$113),0)+IFERROR(SUMIF('S5_17-23_AOUT'!$A$3:$A$113,$A77,'S5_17-23_AOUT'!$Q$3:$Q$113),0)+IFERROR(SUMIF('S6_24-25_AOUT'!$A$3:$A$113,$A77,'S6_24-25_AOUT'!$L$3:$L$113),0)</f>
        <v>0</v>
      </c>
      <c r="P77" s="8">
        <f>IFERROR(SUMIF(S1_26_JUIL!$A$3:$A$113,$A77,S1_26_JUIL!$L$3:$L$113),0)+IFERROR(SUMIF('S2_27_JUIL-02_AOUT'!$A$3:$A$113,$A77,'S2_27_JUIL-02_AOUT'!$R$3:$R$113),0)+IFERROR(SUMIF('S3_03-09_AOUT'!$A$3:$A$113,$A77,'S3_03-09_AOUT'!$R$3:$R$113),0)+IFERROR(SUMIF('S4_10-16_AOUT'!$A$3:$A$113,$A77,'S4_10-16_AOUT'!$R$3:$R$113),0)+IFERROR(SUMIF('S5_17-23_AOUT'!$A$3:$A$113,$A77,'S5_17-23_AOUT'!$R$3:$R$113),0)+IFERROR(SUMIF('S6_24-25_AOUT'!$A$3:$A$113,$A77,'S6_24-25_AOUT'!$M$3:$M$113),0)</f>
        <v>2</v>
      </c>
      <c r="Q77" s="8">
        <f>IFERROR(SUMIF(S1_26_JUIL!$A$3:$A$113,$A77,S1_26_JUIL!$M$3:$M$113),0)+IFERROR(SUMIF('S2_27_JUIL-02_AOUT'!$A$3:$A$113,$A77,'S2_27_JUIL-02_AOUT'!$S$3:$S$113),0)+IFERROR(SUMIF('S3_03-09_AOUT'!$A$3:$A$113,$A77,'S3_03-09_AOUT'!$S$3:$S$113),0)+IFERROR(SUMIF('S4_10-16_AOUT'!$A$3:$A$113,$A77,'S4_10-16_AOUT'!$S$3:$S$113),0)+IFERROR(SUMIF('S5_17-23_AOUT'!$A$3:$A$113,$A77,'S5_17-23_AOUT'!$S$3:$S$113),0)+IFERROR(SUMIF('S6_24-25_AOUT'!$A$3:$A$113,$A77,'S6_24-25_AOUT'!$N$3:$N$113),0)</f>
        <v>0</v>
      </c>
      <c r="R77" s="11">
        <f>IFERROR(SUMIF(S1_26_JUIL!$A$3:$A$113,$A77,S1_26_JUIL!$N$3:$N$113),0)+IFERROR(SUMIF('S2_27_JUIL-02_AOUT'!$A$3:$A$113,$A77,'S2_27_JUIL-02_AOUT'!$T$3:$T$113),0)+IFERROR(SUMIF('S3_03-09_AOUT'!$A$3:$A$113,$A77,'S3_03-09_AOUT'!$T$3:$T$113),0)+IFERROR(SUMIF('S4_10-16_AOUT'!$A$3:$A$113,$A77,'S4_10-16_AOUT'!$T$3:$T$113),0)+IFERROR(SUMIF('S5_17-23_AOUT'!$A$3:$A$113,$A77,'S5_17-23_AOUT'!$T$3:$T$113),0)+IFERROR(SUMIF('S6_24-25_AOUT'!$A$3:$A$113,$A77,'S6_24-25_AOUT'!$O$3:$O$113),0)</f>
        <v>0</v>
      </c>
      <c r="S77" s="8">
        <f>208</f>
        <v>208</v>
      </c>
      <c r="T77" s="8">
        <f t="shared" si="5"/>
        <v>74</v>
      </c>
      <c r="U77" s="10" t="str">
        <f>IF(OR(IFERROR(INDEX(S1_26_JUIL!$P$3:$P$113,MATCH($A77,S1_26_JUIL!$A$3:$A$113,0)),"")="STC",IFERROR(INDEX('S2_27_JUIL-02_AOUT'!$V$3:$V$113,MATCH($A77,'S2_27_JUIL-02_AOUT'!$A$3:$A$113,0)),"")="STC",IFERROR(INDEX('S3_03-09_AOUT'!$V$3:$V$113,MATCH($A77,'S3_03-09_AOUT'!$A$3:$A$113,0)),"")="STC",IFERROR(INDEX('S4_10-16_AOUT'!$V$3:$V$113,MATCH($A77,'S4_10-16_AOUT'!$A$3:$A$113,0)),"")="STC",IFERROR(INDEX('S5_17-23_AOUT'!$V$3:$V$113,MATCH($A77,'S5_17-23_AOUT'!$A$3:$A$113,0)),"")="STC",IFERROR(INDEX('S6_24-25_AOUT'!$Q$3:$Q$113,MATCH($A77,'S6_24-25_AOUT'!$A$3:$A$113,0)),"")="STC"),"STC",IF(OR(IFERROR(INDEX(S1_26_JUIL!$P$3:$P$113,MATCH($A77,S1_26_JUIL!$A$3:$A$113,0)),"")="À vérifier",IFERROR(INDEX('S2_27_JUIL-02_AOUT'!$V$3:$V$113,MATCH($A77,'S2_27_JUIL-02_AOUT'!$A$3:$A$113,0)),"")="À vérifier",IFERROR(INDEX('S3_03-09_AOUT'!$V$3:$V$113,MATCH($A77,'S3_03-09_AOUT'!$A$3:$A$113,0)),"")="À vérifier",IFERROR(INDEX('S4_10-16_AOUT'!$V$3:$V$113,MATCH($A77,'S4_10-16_AOUT'!$A$3:$A$113,0)),"")="À vérifier",IFERROR(INDEX('S5_17-23_AOUT'!$V$3:$V$113,MATCH($A77,'S5_17-23_AOUT'!$A$3:$A$113,0)),"")="À vérifier",IFERROR(INDEX('S6_24-25_AOUT'!$Q$3:$Q$113,MATCH($A77,'S6_24-25_AOUT'!$A$3:$A$113,0)),"")="À vérifier",ABS(L77-T77)&gt;=0.01),"À vérifier","OK"))</f>
        <v>OK</v>
      </c>
    </row>
    <row r="78" spans="1:21">
      <c r="A78" s="12">
        <v>183</v>
      </c>
      <c r="B78" s="12" t="s">
        <v>215</v>
      </c>
      <c r="C78" s="13" t="s">
        <v>216</v>
      </c>
      <c r="D78" s="12" t="s">
        <v>31</v>
      </c>
      <c r="E78" s="10" t="s">
        <v>123</v>
      </c>
      <c r="F78" s="8">
        <f>IFERROR(SUMIF(S1_26_JUIL!$A$3:$A$113,$A78,S1_26_JUIL!$O$3:$O$113),0)</f>
        <v>0</v>
      </c>
      <c r="G78" s="8">
        <f>IFERROR(SUMIF('S2_27_JUIL-02_AOUT'!$A$3:$A$113,$A78,'S2_27_JUIL-02_AOUT'!$U$3:$U$113),0)</f>
        <v>0</v>
      </c>
      <c r="H78" s="8">
        <f>IFERROR(SUMIF('S3_03-09_AOUT'!$A$3:$A$113,$A78,'S3_03-09_AOUT'!$U$3:$U$113),0)</f>
        <v>0</v>
      </c>
      <c r="I78" s="8">
        <f>IFERROR(SUMIF('S4_10-16_AOUT'!$A$3:$A$113,$A78,'S4_10-16_AOUT'!$U$3:$U$113),0)</f>
        <v>0</v>
      </c>
      <c r="J78" s="8">
        <f>IFERROR(SUMIF('S5_17-23_AOUT'!$A$3:$A$113,$A78,'S5_17-23_AOUT'!$U$3:$U$113),0)</f>
        <v>0</v>
      </c>
      <c r="K78" s="8">
        <f>IFERROR(SUMIF('S6_24-25_AOUT'!$A$3:$A$113,$A78,'S6_24-25_AOUT'!$P$3:$P$113),0)</f>
        <v>0</v>
      </c>
      <c r="L78" s="8">
        <f t="shared" si="4"/>
        <v>0</v>
      </c>
      <c r="M78" s="8">
        <f>IFERROR(SUMIF(S1_26_JUIL!$A$3:$A$113,$A78,S1_26_JUIL!$I$3:$I$113),0)+IFERROR(SUMIF('S2_27_JUIL-02_AOUT'!$A$3:$A$113,$A78,'S2_27_JUIL-02_AOUT'!$O$3:$O$113),0)+IFERROR(SUMIF('S3_03-09_AOUT'!$A$3:$A$113,$A78,'S3_03-09_AOUT'!$O$3:$O$113),0)+IFERROR(SUMIF('S4_10-16_AOUT'!$A$3:$A$113,$A78,'S4_10-16_AOUT'!$O$3:$O$113),0)+IFERROR(SUMIF('S5_17-23_AOUT'!$A$3:$A$113,$A78,'S5_17-23_AOUT'!$O$3:$O$113),0)+IFERROR(SUMIF('S6_24-25_AOUT'!$A$3:$A$113,$A78,'S6_24-25_AOUT'!$J$3:$J$113),0)</f>
        <v>0</v>
      </c>
      <c r="N78" s="9">
        <f>IFERROR(SUMIF(S1_26_JUIL!$A$3:$A$113,$A78,S1_26_JUIL!$J$3:$J$113),0)+IFERROR(SUMIF('S2_27_JUIL-02_AOUT'!$A$3:$A$113,$A78,'S2_27_JUIL-02_AOUT'!$P$3:$P$113),0)+IFERROR(SUMIF('S3_03-09_AOUT'!$A$3:$A$113,$A78,'S3_03-09_AOUT'!$P$3:$P$113),0)+IFERROR(SUMIF('S4_10-16_AOUT'!$A$3:$A$113,$A78,'S4_10-16_AOUT'!$P$3:$P$113),0)+IFERROR(SUMIF('S5_17-23_AOUT'!$A$3:$A$113,$A78,'S5_17-23_AOUT'!$P$3:$P$113),0)+IFERROR(SUMIF('S6_24-25_AOUT'!$A$3:$A$113,$A78,'S6_24-25_AOUT'!$K$3:$K$113),0)</f>
        <v>0</v>
      </c>
      <c r="O78" s="9">
        <f>IFERROR(SUMIF(S1_26_JUIL!$A$3:$A$113,$A78,S1_26_JUIL!$K$3:$K$113),0)+IFERROR(SUMIF('S2_27_JUIL-02_AOUT'!$A$3:$A$113,$A78,'S2_27_JUIL-02_AOUT'!$Q$3:$Q$113),0)+IFERROR(SUMIF('S3_03-09_AOUT'!$A$3:$A$113,$A78,'S3_03-09_AOUT'!$Q$3:$Q$113),0)+IFERROR(SUMIF('S4_10-16_AOUT'!$A$3:$A$113,$A78,'S4_10-16_AOUT'!$Q$3:$Q$113),0)+IFERROR(SUMIF('S5_17-23_AOUT'!$A$3:$A$113,$A78,'S5_17-23_AOUT'!$Q$3:$Q$113),0)+IFERROR(SUMIF('S6_24-25_AOUT'!$A$3:$A$113,$A78,'S6_24-25_AOUT'!$L$3:$L$113),0)</f>
        <v>0</v>
      </c>
      <c r="P78" s="8">
        <f>IFERROR(SUMIF(S1_26_JUIL!$A$3:$A$113,$A78,S1_26_JUIL!$L$3:$L$113),0)+IFERROR(SUMIF('S2_27_JUIL-02_AOUT'!$A$3:$A$113,$A78,'S2_27_JUIL-02_AOUT'!$R$3:$R$113),0)+IFERROR(SUMIF('S3_03-09_AOUT'!$A$3:$A$113,$A78,'S3_03-09_AOUT'!$R$3:$R$113),0)+IFERROR(SUMIF('S4_10-16_AOUT'!$A$3:$A$113,$A78,'S4_10-16_AOUT'!$R$3:$R$113),0)+IFERROR(SUMIF('S5_17-23_AOUT'!$A$3:$A$113,$A78,'S5_17-23_AOUT'!$R$3:$R$113),0)+IFERROR(SUMIF('S6_24-25_AOUT'!$A$3:$A$113,$A78,'S6_24-25_AOUT'!$M$3:$M$113),0)</f>
        <v>0</v>
      </c>
      <c r="Q78" s="8">
        <f>IFERROR(SUMIF(S1_26_JUIL!$A$3:$A$113,$A78,S1_26_JUIL!$M$3:$M$113),0)+IFERROR(SUMIF('S2_27_JUIL-02_AOUT'!$A$3:$A$113,$A78,'S2_27_JUIL-02_AOUT'!$S$3:$S$113),0)+IFERROR(SUMIF('S3_03-09_AOUT'!$A$3:$A$113,$A78,'S3_03-09_AOUT'!$S$3:$S$113),0)+IFERROR(SUMIF('S4_10-16_AOUT'!$A$3:$A$113,$A78,'S4_10-16_AOUT'!$S$3:$S$113),0)+IFERROR(SUMIF('S5_17-23_AOUT'!$A$3:$A$113,$A78,'S5_17-23_AOUT'!$S$3:$S$113),0)+IFERROR(SUMIF('S6_24-25_AOUT'!$A$3:$A$113,$A78,'S6_24-25_AOUT'!$N$3:$N$113),0)</f>
        <v>0</v>
      </c>
      <c r="R78" s="11">
        <f>IFERROR(SUMIF(S1_26_JUIL!$A$3:$A$113,$A78,S1_26_JUIL!$N$3:$N$113),0)+IFERROR(SUMIF('S2_27_JUIL-02_AOUT'!$A$3:$A$113,$A78,'S2_27_JUIL-02_AOUT'!$T$3:$T$113),0)+IFERROR(SUMIF('S3_03-09_AOUT'!$A$3:$A$113,$A78,'S3_03-09_AOUT'!$T$3:$T$113),0)+IFERROR(SUMIF('S4_10-16_AOUT'!$A$3:$A$113,$A78,'S4_10-16_AOUT'!$T$3:$T$113),0)+IFERROR(SUMIF('S5_17-23_AOUT'!$A$3:$A$113,$A78,'S5_17-23_AOUT'!$T$3:$T$113),0)+IFERROR(SUMIF('S6_24-25_AOUT'!$A$3:$A$113,$A78,'S6_24-25_AOUT'!$O$3:$O$113),0)</f>
        <v>0</v>
      </c>
      <c r="S78" s="8">
        <f>208</f>
        <v>208</v>
      </c>
      <c r="T78" s="8">
        <f t="shared" si="5"/>
        <v>0</v>
      </c>
      <c r="U78" s="10" t="str">
        <f>IF(OR(IFERROR(INDEX(S1_26_JUIL!$P$3:$P$113,MATCH($A78,S1_26_JUIL!$A$3:$A$113,0)),"")="STC",IFERROR(INDEX('S2_27_JUIL-02_AOUT'!$V$3:$V$113,MATCH($A78,'S2_27_JUIL-02_AOUT'!$A$3:$A$113,0)),"")="STC",IFERROR(INDEX('S3_03-09_AOUT'!$V$3:$V$113,MATCH($A78,'S3_03-09_AOUT'!$A$3:$A$113,0)),"")="STC",IFERROR(INDEX('S4_10-16_AOUT'!$V$3:$V$113,MATCH($A78,'S4_10-16_AOUT'!$A$3:$A$113,0)),"")="STC",IFERROR(INDEX('S5_17-23_AOUT'!$V$3:$V$113,MATCH($A78,'S5_17-23_AOUT'!$A$3:$A$113,0)),"")="STC",IFERROR(INDEX('S6_24-25_AOUT'!$Q$3:$Q$113,MATCH($A78,'S6_24-25_AOUT'!$A$3:$A$113,0)),"")="STC"),"STC",IF(OR(IFERROR(INDEX(S1_26_JUIL!$P$3:$P$113,MATCH($A78,S1_26_JUIL!$A$3:$A$113,0)),"")="À vérifier",IFERROR(INDEX('S2_27_JUIL-02_AOUT'!$V$3:$V$113,MATCH($A78,'S2_27_JUIL-02_AOUT'!$A$3:$A$113,0)),"")="À vérifier",IFERROR(INDEX('S3_03-09_AOUT'!$V$3:$V$113,MATCH($A78,'S3_03-09_AOUT'!$A$3:$A$113,0)),"")="À vérifier",IFERROR(INDEX('S4_10-16_AOUT'!$V$3:$V$113,MATCH($A78,'S4_10-16_AOUT'!$A$3:$A$113,0)),"")="À vérifier",IFERROR(INDEX('S5_17-23_AOUT'!$V$3:$V$113,MATCH($A78,'S5_17-23_AOUT'!$A$3:$A$113,0)),"")="À vérifier",IFERROR(INDEX('S6_24-25_AOUT'!$Q$3:$Q$113,MATCH($A78,'S6_24-25_AOUT'!$A$3:$A$113,0)),"")="À vérifier",ABS(L78-T78)&gt;=0.01),"À vérifier","OK"))</f>
        <v>STC</v>
      </c>
    </row>
    <row r="79" spans="1:21">
      <c r="A79" s="12">
        <v>234</v>
      </c>
      <c r="B79" s="12" t="s">
        <v>217</v>
      </c>
      <c r="C79" s="13" t="s">
        <v>218</v>
      </c>
      <c r="D79" s="12" t="s">
        <v>31</v>
      </c>
      <c r="E79" s="10" t="s">
        <v>123</v>
      </c>
      <c r="F79" s="8">
        <f>IFERROR(SUMIF(S1_26_JUIL!$A$3:$A$113,$A79,S1_26_JUIL!$O$3:$O$113),0)</f>
        <v>0</v>
      </c>
      <c r="G79" s="8">
        <f>IFERROR(SUMIF('S2_27_JUIL-02_AOUT'!$A$3:$A$113,$A79,'S2_27_JUIL-02_AOUT'!$U$3:$U$113),0)</f>
        <v>45</v>
      </c>
      <c r="H79" s="8">
        <f>IFERROR(SUMIF('S3_03-09_AOUT'!$A$3:$A$113,$A79,'S3_03-09_AOUT'!$U$3:$U$113),0)</f>
        <v>0</v>
      </c>
      <c r="I79" s="8">
        <f>IFERROR(SUMIF('S4_10-16_AOUT'!$A$3:$A$113,$A79,'S4_10-16_AOUT'!$U$3:$U$113),0)</f>
        <v>0</v>
      </c>
      <c r="J79" s="8">
        <f>IFERROR(SUMIF('S5_17-23_AOUT'!$A$3:$A$113,$A79,'S5_17-23_AOUT'!$U$3:$U$113),0)</f>
        <v>0</v>
      </c>
      <c r="K79" s="8">
        <f>IFERROR(SUMIF('S6_24-25_AOUT'!$A$3:$A$113,$A79,'S6_24-25_AOUT'!$P$3:$P$113),0)</f>
        <v>0</v>
      </c>
      <c r="L79" s="8">
        <f t="shared" si="4"/>
        <v>45</v>
      </c>
      <c r="M79" s="8">
        <f>IFERROR(SUMIF(S1_26_JUIL!$A$3:$A$113,$A79,S1_26_JUIL!$I$3:$I$113),0)+IFERROR(SUMIF('S2_27_JUIL-02_AOUT'!$A$3:$A$113,$A79,'S2_27_JUIL-02_AOUT'!$O$3:$O$113),0)+IFERROR(SUMIF('S3_03-09_AOUT'!$A$3:$A$113,$A79,'S3_03-09_AOUT'!$O$3:$O$113),0)+IFERROR(SUMIF('S4_10-16_AOUT'!$A$3:$A$113,$A79,'S4_10-16_AOUT'!$O$3:$O$113),0)+IFERROR(SUMIF('S5_17-23_AOUT'!$A$3:$A$113,$A79,'S5_17-23_AOUT'!$O$3:$O$113),0)+IFERROR(SUMIF('S6_24-25_AOUT'!$A$3:$A$113,$A79,'S6_24-25_AOUT'!$J$3:$J$113),0)</f>
        <v>45</v>
      </c>
      <c r="N79" s="9">
        <f>IFERROR(SUMIF(S1_26_JUIL!$A$3:$A$113,$A79,S1_26_JUIL!$J$3:$J$113),0)+IFERROR(SUMIF('S2_27_JUIL-02_AOUT'!$A$3:$A$113,$A79,'S2_27_JUIL-02_AOUT'!$P$3:$P$113),0)+IFERROR(SUMIF('S3_03-09_AOUT'!$A$3:$A$113,$A79,'S3_03-09_AOUT'!$P$3:$P$113),0)+IFERROR(SUMIF('S4_10-16_AOUT'!$A$3:$A$113,$A79,'S4_10-16_AOUT'!$P$3:$P$113),0)+IFERROR(SUMIF('S5_17-23_AOUT'!$A$3:$A$113,$A79,'S5_17-23_AOUT'!$P$3:$P$113),0)+IFERROR(SUMIF('S6_24-25_AOUT'!$A$3:$A$113,$A79,'S6_24-25_AOUT'!$K$3:$K$113),0)</f>
        <v>0</v>
      </c>
      <c r="O79" s="9">
        <f>IFERROR(SUMIF(S1_26_JUIL!$A$3:$A$113,$A79,S1_26_JUIL!$K$3:$K$113),0)+IFERROR(SUMIF('S2_27_JUIL-02_AOUT'!$A$3:$A$113,$A79,'S2_27_JUIL-02_AOUT'!$Q$3:$Q$113),0)+IFERROR(SUMIF('S3_03-09_AOUT'!$A$3:$A$113,$A79,'S3_03-09_AOUT'!$Q$3:$Q$113),0)+IFERROR(SUMIF('S4_10-16_AOUT'!$A$3:$A$113,$A79,'S4_10-16_AOUT'!$Q$3:$Q$113),0)+IFERROR(SUMIF('S5_17-23_AOUT'!$A$3:$A$113,$A79,'S5_17-23_AOUT'!$Q$3:$Q$113),0)+IFERROR(SUMIF('S6_24-25_AOUT'!$A$3:$A$113,$A79,'S6_24-25_AOUT'!$L$3:$L$113),0)</f>
        <v>0</v>
      </c>
      <c r="P79" s="8">
        <f>IFERROR(SUMIF(S1_26_JUIL!$A$3:$A$113,$A79,S1_26_JUIL!$L$3:$L$113),0)+IFERROR(SUMIF('S2_27_JUIL-02_AOUT'!$A$3:$A$113,$A79,'S2_27_JUIL-02_AOUT'!$R$3:$R$113),0)+IFERROR(SUMIF('S3_03-09_AOUT'!$A$3:$A$113,$A79,'S3_03-09_AOUT'!$R$3:$R$113),0)+IFERROR(SUMIF('S4_10-16_AOUT'!$A$3:$A$113,$A79,'S4_10-16_AOUT'!$R$3:$R$113),0)+IFERROR(SUMIF('S5_17-23_AOUT'!$A$3:$A$113,$A79,'S5_17-23_AOUT'!$R$3:$R$113),0)+IFERROR(SUMIF('S6_24-25_AOUT'!$A$3:$A$113,$A79,'S6_24-25_AOUT'!$M$3:$M$113),0)</f>
        <v>0</v>
      </c>
      <c r="Q79" s="8">
        <f>IFERROR(SUMIF(S1_26_JUIL!$A$3:$A$113,$A79,S1_26_JUIL!$M$3:$M$113),0)+IFERROR(SUMIF('S2_27_JUIL-02_AOUT'!$A$3:$A$113,$A79,'S2_27_JUIL-02_AOUT'!$S$3:$S$113),0)+IFERROR(SUMIF('S3_03-09_AOUT'!$A$3:$A$113,$A79,'S3_03-09_AOUT'!$S$3:$S$113),0)+IFERROR(SUMIF('S4_10-16_AOUT'!$A$3:$A$113,$A79,'S4_10-16_AOUT'!$S$3:$S$113),0)+IFERROR(SUMIF('S5_17-23_AOUT'!$A$3:$A$113,$A79,'S5_17-23_AOUT'!$S$3:$S$113),0)+IFERROR(SUMIF('S6_24-25_AOUT'!$A$3:$A$113,$A79,'S6_24-25_AOUT'!$N$3:$N$113),0)</f>
        <v>0</v>
      </c>
      <c r="R79" s="11">
        <f>IFERROR(SUMIF(S1_26_JUIL!$A$3:$A$113,$A79,S1_26_JUIL!$N$3:$N$113),0)+IFERROR(SUMIF('S2_27_JUIL-02_AOUT'!$A$3:$A$113,$A79,'S2_27_JUIL-02_AOUT'!$T$3:$T$113),0)+IFERROR(SUMIF('S3_03-09_AOUT'!$A$3:$A$113,$A79,'S3_03-09_AOUT'!$T$3:$T$113),0)+IFERROR(SUMIF('S4_10-16_AOUT'!$A$3:$A$113,$A79,'S4_10-16_AOUT'!$T$3:$T$113),0)+IFERROR(SUMIF('S5_17-23_AOUT'!$A$3:$A$113,$A79,'S5_17-23_AOUT'!$T$3:$T$113),0)+IFERROR(SUMIF('S6_24-25_AOUT'!$A$3:$A$113,$A79,'S6_24-25_AOUT'!$O$3:$O$113),0)</f>
        <v>0</v>
      </c>
      <c r="S79" s="8">
        <f>208</f>
        <v>208</v>
      </c>
      <c r="T79" s="8">
        <f t="shared" si="5"/>
        <v>45</v>
      </c>
      <c r="U79" s="10" t="str">
        <f>IF(OR(IFERROR(INDEX(S1_26_JUIL!$P$3:$P$113,MATCH($A79,S1_26_JUIL!$A$3:$A$113,0)),"")="STC",IFERROR(INDEX('S2_27_JUIL-02_AOUT'!$V$3:$V$113,MATCH($A79,'S2_27_JUIL-02_AOUT'!$A$3:$A$113,0)),"")="STC",IFERROR(INDEX('S3_03-09_AOUT'!$V$3:$V$113,MATCH($A79,'S3_03-09_AOUT'!$A$3:$A$113,0)),"")="STC",IFERROR(INDEX('S4_10-16_AOUT'!$V$3:$V$113,MATCH($A79,'S4_10-16_AOUT'!$A$3:$A$113,0)),"")="STC",IFERROR(INDEX('S5_17-23_AOUT'!$V$3:$V$113,MATCH($A79,'S5_17-23_AOUT'!$A$3:$A$113,0)),"")="STC",IFERROR(INDEX('S6_24-25_AOUT'!$Q$3:$Q$113,MATCH($A79,'S6_24-25_AOUT'!$A$3:$A$113,0)),"")="STC"),"STC",IF(OR(IFERROR(INDEX(S1_26_JUIL!$P$3:$P$113,MATCH($A79,S1_26_JUIL!$A$3:$A$113,0)),"")="À vérifier",IFERROR(INDEX('S2_27_JUIL-02_AOUT'!$V$3:$V$113,MATCH($A79,'S2_27_JUIL-02_AOUT'!$A$3:$A$113,0)),"")="À vérifier",IFERROR(INDEX('S3_03-09_AOUT'!$V$3:$V$113,MATCH($A79,'S3_03-09_AOUT'!$A$3:$A$113,0)),"")="À vérifier",IFERROR(INDEX('S4_10-16_AOUT'!$V$3:$V$113,MATCH($A79,'S4_10-16_AOUT'!$A$3:$A$113,0)),"")="À vérifier",IFERROR(INDEX('S5_17-23_AOUT'!$V$3:$V$113,MATCH($A79,'S5_17-23_AOUT'!$A$3:$A$113,0)),"")="À vérifier",IFERROR(INDEX('S6_24-25_AOUT'!$Q$3:$Q$113,MATCH($A79,'S6_24-25_AOUT'!$A$3:$A$113,0)),"")="À vérifier",ABS(L79-T79)&gt;=0.01),"À vérifier","OK"))</f>
        <v>OK</v>
      </c>
    </row>
    <row r="80" spans="1:21">
      <c r="A80" s="12" t="s">
        <v>219</v>
      </c>
      <c r="B80" s="12" t="s">
        <v>220</v>
      </c>
      <c r="C80" s="13" t="s">
        <v>221</v>
      </c>
      <c r="D80" s="12" t="s">
        <v>31</v>
      </c>
      <c r="E80" s="10" t="s">
        <v>123</v>
      </c>
      <c r="F80" s="8">
        <f>IFERROR(SUMIF(S1_26_JUIL!$A$3:$A$113,$A80,S1_26_JUIL!$O$3:$O$113),0)</f>
        <v>0</v>
      </c>
      <c r="G80" s="8">
        <f>IFERROR(SUMIF('S2_27_JUIL-02_AOUT'!$A$3:$A$113,$A80,'S2_27_JUIL-02_AOUT'!$U$3:$U$113),0)</f>
        <v>47.5</v>
      </c>
      <c r="H80" s="8">
        <f>IFERROR(SUMIF('S3_03-09_AOUT'!$A$3:$A$113,$A80,'S3_03-09_AOUT'!$U$3:$U$113),0)</f>
        <v>0</v>
      </c>
      <c r="I80" s="8">
        <f>IFERROR(SUMIF('S4_10-16_AOUT'!$A$3:$A$113,$A80,'S4_10-16_AOUT'!$U$3:$U$113),0)</f>
        <v>0</v>
      </c>
      <c r="J80" s="8">
        <f>IFERROR(SUMIF('S5_17-23_AOUT'!$A$3:$A$113,$A80,'S5_17-23_AOUT'!$U$3:$U$113),0)</f>
        <v>0</v>
      </c>
      <c r="K80" s="8">
        <f>IFERROR(SUMIF('S6_24-25_AOUT'!$A$3:$A$113,$A80,'S6_24-25_AOUT'!$P$3:$P$113),0)</f>
        <v>0</v>
      </c>
      <c r="L80" s="8">
        <f t="shared" si="4"/>
        <v>47.5</v>
      </c>
      <c r="M80" s="8">
        <f>IFERROR(SUMIF(S1_26_JUIL!$A$3:$A$113,$A80,S1_26_JUIL!$I$3:$I$113),0)+IFERROR(SUMIF('S2_27_JUIL-02_AOUT'!$A$3:$A$113,$A80,'S2_27_JUIL-02_AOUT'!$O$3:$O$113),0)+IFERROR(SUMIF('S3_03-09_AOUT'!$A$3:$A$113,$A80,'S3_03-09_AOUT'!$O$3:$O$113),0)+IFERROR(SUMIF('S4_10-16_AOUT'!$A$3:$A$113,$A80,'S4_10-16_AOUT'!$O$3:$O$113),0)+IFERROR(SUMIF('S5_17-23_AOUT'!$A$3:$A$113,$A80,'S5_17-23_AOUT'!$O$3:$O$113),0)+IFERROR(SUMIF('S6_24-25_AOUT'!$A$3:$A$113,$A80,'S6_24-25_AOUT'!$J$3:$J$113),0)</f>
        <v>47.5</v>
      </c>
      <c r="N80" s="9">
        <f>IFERROR(SUMIF(S1_26_JUIL!$A$3:$A$113,$A80,S1_26_JUIL!$J$3:$J$113),0)+IFERROR(SUMIF('S2_27_JUIL-02_AOUT'!$A$3:$A$113,$A80,'S2_27_JUIL-02_AOUT'!$P$3:$P$113),0)+IFERROR(SUMIF('S3_03-09_AOUT'!$A$3:$A$113,$A80,'S3_03-09_AOUT'!$P$3:$P$113),0)+IFERROR(SUMIF('S4_10-16_AOUT'!$A$3:$A$113,$A80,'S4_10-16_AOUT'!$P$3:$P$113),0)+IFERROR(SUMIF('S5_17-23_AOUT'!$A$3:$A$113,$A80,'S5_17-23_AOUT'!$P$3:$P$113),0)+IFERROR(SUMIF('S6_24-25_AOUT'!$A$3:$A$113,$A80,'S6_24-25_AOUT'!$K$3:$K$113),0)</f>
        <v>0</v>
      </c>
      <c r="O80" s="9">
        <f>IFERROR(SUMIF(S1_26_JUIL!$A$3:$A$113,$A80,S1_26_JUIL!$K$3:$K$113),0)+IFERROR(SUMIF('S2_27_JUIL-02_AOUT'!$A$3:$A$113,$A80,'S2_27_JUIL-02_AOUT'!$Q$3:$Q$113),0)+IFERROR(SUMIF('S3_03-09_AOUT'!$A$3:$A$113,$A80,'S3_03-09_AOUT'!$Q$3:$Q$113),0)+IFERROR(SUMIF('S4_10-16_AOUT'!$A$3:$A$113,$A80,'S4_10-16_AOUT'!$Q$3:$Q$113),0)+IFERROR(SUMIF('S5_17-23_AOUT'!$A$3:$A$113,$A80,'S5_17-23_AOUT'!$Q$3:$Q$113),0)+IFERROR(SUMIF('S6_24-25_AOUT'!$A$3:$A$113,$A80,'S6_24-25_AOUT'!$L$3:$L$113),0)</f>
        <v>0</v>
      </c>
      <c r="P80" s="8">
        <f>IFERROR(SUMIF(S1_26_JUIL!$A$3:$A$113,$A80,S1_26_JUIL!$L$3:$L$113),0)+IFERROR(SUMIF('S2_27_JUIL-02_AOUT'!$A$3:$A$113,$A80,'S2_27_JUIL-02_AOUT'!$R$3:$R$113),0)+IFERROR(SUMIF('S3_03-09_AOUT'!$A$3:$A$113,$A80,'S3_03-09_AOUT'!$R$3:$R$113),0)+IFERROR(SUMIF('S4_10-16_AOUT'!$A$3:$A$113,$A80,'S4_10-16_AOUT'!$R$3:$R$113),0)+IFERROR(SUMIF('S5_17-23_AOUT'!$A$3:$A$113,$A80,'S5_17-23_AOUT'!$R$3:$R$113),0)+IFERROR(SUMIF('S6_24-25_AOUT'!$A$3:$A$113,$A80,'S6_24-25_AOUT'!$M$3:$M$113),0)</f>
        <v>0</v>
      </c>
      <c r="Q80" s="8">
        <f>IFERROR(SUMIF(S1_26_JUIL!$A$3:$A$113,$A80,S1_26_JUIL!$M$3:$M$113),0)+IFERROR(SUMIF('S2_27_JUIL-02_AOUT'!$A$3:$A$113,$A80,'S2_27_JUIL-02_AOUT'!$S$3:$S$113),0)+IFERROR(SUMIF('S3_03-09_AOUT'!$A$3:$A$113,$A80,'S3_03-09_AOUT'!$S$3:$S$113),0)+IFERROR(SUMIF('S4_10-16_AOUT'!$A$3:$A$113,$A80,'S4_10-16_AOUT'!$S$3:$S$113),0)+IFERROR(SUMIF('S5_17-23_AOUT'!$A$3:$A$113,$A80,'S5_17-23_AOUT'!$S$3:$S$113),0)+IFERROR(SUMIF('S6_24-25_AOUT'!$A$3:$A$113,$A80,'S6_24-25_AOUT'!$N$3:$N$113),0)</f>
        <v>0</v>
      </c>
      <c r="R80" s="11">
        <f>IFERROR(SUMIF(S1_26_JUIL!$A$3:$A$113,$A80,S1_26_JUIL!$N$3:$N$113),0)+IFERROR(SUMIF('S2_27_JUIL-02_AOUT'!$A$3:$A$113,$A80,'S2_27_JUIL-02_AOUT'!$T$3:$T$113),0)+IFERROR(SUMIF('S3_03-09_AOUT'!$A$3:$A$113,$A80,'S3_03-09_AOUT'!$T$3:$T$113),0)+IFERROR(SUMIF('S4_10-16_AOUT'!$A$3:$A$113,$A80,'S4_10-16_AOUT'!$T$3:$T$113),0)+IFERROR(SUMIF('S5_17-23_AOUT'!$A$3:$A$113,$A80,'S5_17-23_AOUT'!$T$3:$T$113),0)+IFERROR(SUMIF('S6_24-25_AOUT'!$A$3:$A$113,$A80,'S6_24-25_AOUT'!$O$3:$O$113),0)</f>
        <v>0</v>
      </c>
      <c r="S80" s="8">
        <f>208</f>
        <v>208</v>
      </c>
      <c r="T80" s="8">
        <f t="shared" si="5"/>
        <v>47.5</v>
      </c>
      <c r="U80" s="10" t="str">
        <f>IF(OR(IFERROR(INDEX(S1_26_JUIL!$P$3:$P$113,MATCH($A80,S1_26_JUIL!$A$3:$A$113,0)),"")="STC",IFERROR(INDEX('S2_27_JUIL-02_AOUT'!$V$3:$V$113,MATCH($A80,'S2_27_JUIL-02_AOUT'!$A$3:$A$113,0)),"")="STC",IFERROR(INDEX('S3_03-09_AOUT'!$V$3:$V$113,MATCH($A80,'S3_03-09_AOUT'!$A$3:$A$113,0)),"")="STC",IFERROR(INDEX('S4_10-16_AOUT'!$V$3:$V$113,MATCH($A80,'S4_10-16_AOUT'!$A$3:$A$113,0)),"")="STC",IFERROR(INDEX('S5_17-23_AOUT'!$V$3:$V$113,MATCH($A80,'S5_17-23_AOUT'!$A$3:$A$113,0)),"")="STC",IFERROR(INDEX('S6_24-25_AOUT'!$Q$3:$Q$113,MATCH($A80,'S6_24-25_AOUT'!$A$3:$A$113,0)),"")="STC"),"STC",IF(OR(IFERROR(INDEX(S1_26_JUIL!$P$3:$P$113,MATCH($A80,S1_26_JUIL!$A$3:$A$113,0)),"")="À vérifier",IFERROR(INDEX('S2_27_JUIL-02_AOUT'!$V$3:$V$113,MATCH($A80,'S2_27_JUIL-02_AOUT'!$A$3:$A$113,0)),"")="À vérifier",IFERROR(INDEX('S3_03-09_AOUT'!$V$3:$V$113,MATCH($A80,'S3_03-09_AOUT'!$A$3:$A$113,0)),"")="À vérifier",IFERROR(INDEX('S4_10-16_AOUT'!$V$3:$V$113,MATCH($A80,'S4_10-16_AOUT'!$A$3:$A$113,0)),"")="À vérifier",IFERROR(INDEX('S5_17-23_AOUT'!$V$3:$V$113,MATCH($A80,'S5_17-23_AOUT'!$A$3:$A$113,0)),"")="À vérifier",IFERROR(INDEX('S6_24-25_AOUT'!$Q$3:$Q$113,MATCH($A80,'S6_24-25_AOUT'!$A$3:$A$113,0)),"")="À vérifier",ABS(L80-T80)&gt;=0.01),"À vérifier","OK"))</f>
        <v>OK</v>
      </c>
    </row>
    <row r="81" spans="1:21">
      <c r="A81" s="12" t="s">
        <v>222</v>
      </c>
      <c r="B81" s="12" t="s">
        <v>223</v>
      </c>
      <c r="C81" s="13" t="s">
        <v>19</v>
      </c>
      <c r="D81" s="12" t="s">
        <v>31</v>
      </c>
      <c r="E81" s="10" t="s">
        <v>123</v>
      </c>
      <c r="F81" s="8">
        <f>IFERROR(SUMIF(S1_26_JUIL!$A$3:$A$113,$A81,S1_26_JUIL!$O$3:$O$113),0)</f>
        <v>0</v>
      </c>
      <c r="G81" s="8">
        <f>IFERROR(SUMIF('S2_27_JUIL-02_AOUT'!$A$3:$A$113,$A81,'S2_27_JUIL-02_AOUT'!$U$3:$U$113),0)</f>
        <v>80.5</v>
      </c>
      <c r="H81" s="8">
        <f>IFERROR(SUMIF('S3_03-09_AOUT'!$A$3:$A$113,$A81,'S3_03-09_AOUT'!$U$3:$U$113),0)</f>
        <v>0</v>
      </c>
      <c r="I81" s="8">
        <f>IFERROR(SUMIF('S4_10-16_AOUT'!$A$3:$A$113,$A81,'S4_10-16_AOUT'!$U$3:$U$113),0)</f>
        <v>0</v>
      </c>
      <c r="J81" s="8">
        <f>IFERROR(SUMIF('S5_17-23_AOUT'!$A$3:$A$113,$A81,'S5_17-23_AOUT'!$U$3:$U$113),0)</f>
        <v>0</v>
      </c>
      <c r="K81" s="8">
        <f>IFERROR(SUMIF('S6_24-25_AOUT'!$A$3:$A$113,$A81,'S6_24-25_AOUT'!$P$3:$P$113),0)</f>
        <v>0</v>
      </c>
      <c r="L81" s="8">
        <f t="shared" si="4"/>
        <v>80.5</v>
      </c>
      <c r="M81" s="8">
        <f>IFERROR(SUMIF(S1_26_JUIL!$A$3:$A$113,$A81,S1_26_JUIL!$I$3:$I$113),0)+IFERROR(SUMIF('S2_27_JUIL-02_AOUT'!$A$3:$A$113,$A81,'S2_27_JUIL-02_AOUT'!$O$3:$O$113),0)+IFERROR(SUMIF('S3_03-09_AOUT'!$A$3:$A$113,$A81,'S3_03-09_AOUT'!$O$3:$O$113),0)+IFERROR(SUMIF('S4_10-16_AOUT'!$A$3:$A$113,$A81,'S4_10-16_AOUT'!$O$3:$O$113),0)+IFERROR(SUMIF('S5_17-23_AOUT'!$A$3:$A$113,$A81,'S5_17-23_AOUT'!$O$3:$O$113),0)+IFERROR(SUMIF('S6_24-25_AOUT'!$A$3:$A$113,$A81,'S6_24-25_AOUT'!$J$3:$J$113),0)</f>
        <v>80.5</v>
      </c>
      <c r="N81" s="9">
        <f>IFERROR(SUMIF(S1_26_JUIL!$A$3:$A$113,$A81,S1_26_JUIL!$J$3:$J$113),0)+IFERROR(SUMIF('S2_27_JUIL-02_AOUT'!$A$3:$A$113,$A81,'S2_27_JUIL-02_AOUT'!$P$3:$P$113),0)+IFERROR(SUMIF('S3_03-09_AOUT'!$A$3:$A$113,$A81,'S3_03-09_AOUT'!$P$3:$P$113),0)+IFERROR(SUMIF('S4_10-16_AOUT'!$A$3:$A$113,$A81,'S4_10-16_AOUT'!$P$3:$P$113),0)+IFERROR(SUMIF('S5_17-23_AOUT'!$A$3:$A$113,$A81,'S5_17-23_AOUT'!$P$3:$P$113),0)+IFERROR(SUMIF('S6_24-25_AOUT'!$A$3:$A$113,$A81,'S6_24-25_AOUT'!$K$3:$K$113),0)</f>
        <v>0</v>
      </c>
      <c r="O81" s="9">
        <f>IFERROR(SUMIF(S1_26_JUIL!$A$3:$A$113,$A81,S1_26_JUIL!$K$3:$K$113),0)+IFERROR(SUMIF('S2_27_JUIL-02_AOUT'!$A$3:$A$113,$A81,'S2_27_JUIL-02_AOUT'!$Q$3:$Q$113),0)+IFERROR(SUMIF('S3_03-09_AOUT'!$A$3:$A$113,$A81,'S3_03-09_AOUT'!$Q$3:$Q$113),0)+IFERROR(SUMIF('S4_10-16_AOUT'!$A$3:$A$113,$A81,'S4_10-16_AOUT'!$Q$3:$Q$113),0)+IFERROR(SUMIF('S5_17-23_AOUT'!$A$3:$A$113,$A81,'S5_17-23_AOUT'!$Q$3:$Q$113),0)+IFERROR(SUMIF('S6_24-25_AOUT'!$A$3:$A$113,$A81,'S6_24-25_AOUT'!$L$3:$L$113),0)</f>
        <v>0</v>
      </c>
      <c r="P81" s="8">
        <f>IFERROR(SUMIF(S1_26_JUIL!$A$3:$A$113,$A81,S1_26_JUIL!$L$3:$L$113),0)+IFERROR(SUMIF('S2_27_JUIL-02_AOUT'!$A$3:$A$113,$A81,'S2_27_JUIL-02_AOUT'!$R$3:$R$113),0)+IFERROR(SUMIF('S3_03-09_AOUT'!$A$3:$A$113,$A81,'S3_03-09_AOUT'!$R$3:$R$113),0)+IFERROR(SUMIF('S4_10-16_AOUT'!$A$3:$A$113,$A81,'S4_10-16_AOUT'!$R$3:$R$113),0)+IFERROR(SUMIF('S5_17-23_AOUT'!$A$3:$A$113,$A81,'S5_17-23_AOUT'!$R$3:$R$113),0)+IFERROR(SUMIF('S6_24-25_AOUT'!$A$3:$A$113,$A81,'S6_24-25_AOUT'!$M$3:$M$113),0)</f>
        <v>1</v>
      </c>
      <c r="Q81" s="8">
        <f>IFERROR(SUMIF(S1_26_JUIL!$A$3:$A$113,$A81,S1_26_JUIL!$M$3:$M$113),0)+IFERROR(SUMIF('S2_27_JUIL-02_AOUT'!$A$3:$A$113,$A81,'S2_27_JUIL-02_AOUT'!$S$3:$S$113),0)+IFERROR(SUMIF('S3_03-09_AOUT'!$A$3:$A$113,$A81,'S3_03-09_AOUT'!$S$3:$S$113),0)+IFERROR(SUMIF('S4_10-16_AOUT'!$A$3:$A$113,$A81,'S4_10-16_AOUT'!$S$3:$S$113),0)+IFERROR(SUMIF('S5_17-23_AOUT'!$A$3:$A$113,$A81,'S5_17-23_AOUT'!$S$3:$S$113),0)+IFERROR(SUMIF('S6_24-25_AOUT'!$A$3:$A$113,$A81,'S6_24-25_AOUT'!$N$3:$N$113),0)</f>
        <v>0</v>
      </c>
      <c r="R81" s="11">
        <f>IFERROR(SUMIF(S1_26_JUIL!$A$3:$A$113,$A81,S1_26_JUIL!$N$3:$N$113),0)+IFERROR(SUMIF('S2_27_JUIL-02_AOUT'!$A$3:$A$113,$A81,'S2_27_JUIL-02_AOUT'!$T$3:$T$113),0)+IFERROR(SUMIF('S3_03-09_AOUT'!$A$3:$A$113,$A81,'S3_03-09_AOUT'!$T$3:$T$113),0)+IFERROR(SUMIF('S4_10-16_AOUT'!$A$3:$A$113,$A81,'S4_10-16_AOUT'!$T$3:$T$113),0)+IFERROR(SUMIF('S5_17-23_AOUT'!$A$3:$A$113,$A81,'S5_17-23_AOUT'!$T$3:$T$113),0)+IFERROR(SUMIF('S6_24-25_AOUT'!$A$3:$A$113,$A81,'S6_24-25_AOUT'!$O$3:$O$113),0)</f>
        <v>0</v>
      </c>
      <c r="S81" s="8">
        <f>208</f>
        <v>208</v>
      </c>
      <c r="T81" s="8">
        <f t="shared" si="5"/>
        <v>80.5</v>
      </c>
      <c r="U81" s="10" t="str">
        <f>IF(OR(IFERROR(INDEX(S1_26_JUIL!$P$3:$P$113,MATCH($A81,S1_26_JUIL!$A$3:$A$113,0)),"")="STC",IFERROR(INDEX('S2_27_JUIL-02_AOUT'!$V$3:$V$113,MATCH($A81,'S2_27_JUIL-02_AOUT'!$A$3:$A$113,0)),"")="STC",IFERROR(INDEX('S3_03-09_AOUT'!$V$3:$V$113,MATCH($A81,'S3_03-09_AOUT'!$A$3:$A$113,0)),"")="STC",IFERROR(INDEX('S4_10-16_AOUT'!$V$3:$V$113,MATCH($A81,'S4_10-16_AOUT'!$A$3:$A$113,0)),"")="STC",IFERROR(INDEX('S5_17-23_AOUT'!$V$3:$V$113,MATCH($A81,'S5_17-23_AOUT'!$A$3:$A$113,0)),"")="STC",IFERROR(INDEX('S6_24-25_AOUT'!$Q$3:$Q$113,MATCH($A81,'S6_24-25_AOUT'!$A$3:$A$113,0)),"")="STC"),"STC",IF(OR(IFERROR(INDEX(S1_26_JUIL!$P$3:$P$113,MATCH($A81,S1_26_JUIL!$A$3:$A$113,0)),"")="À vérifier",IFERROR(INDEX('S2_27_JUIL-02_AOUT'!$V$3:$V$113,MATCH($A81,'S2_27_JUIL-02_AOUT'!$A$3:$A$113,0)),"")="À vérifier",IFERROR(INDEX('S3_03-09_AOUT'!$V$3:$V$113,MATCH($A81,'S3_03-09_AOUT'!$A$3:$A$113,0)),"")="À vérifier",IFERROR(INDEX('S4_10-16_AOUT'!$V$3:$V$113,MATCH($A81,'S4_10-16_AOUT'!$A$3:$A$113,0)),"")="À vérifier",IFERROR(INDEX('S5_17-23_AOUT'!$V$3:$V$113,MATCH($A81,'S5_17-23_AOUT'!$A$3:$A$113,0)),"")="À vérifier",IFERROR(INDEX('S6_24-25_AOUT'!$Q$3:$Q$113,MATCH($A81,'S6_24-25_AOUT'!$A$3:$A$113,0)),"")="À vérifier",ABS(L81-T81)&gt;=0.01),"À vérifier","OK"))</f>
        <v>OK</v>
      </c>
    </row>
    <row r="82" spans="1:21">
      <c r="A82" s="12">
        <v>118</v>
      </c>
      <c r="B82" s="12" t="s">
        <v>224</v>
      </c>
      <c r="C82" s="13" t="s">
        <v>225</v>
      </c>
      <c r="D82" s="12" t="s">
        <v>31</v>
      </c>
      <c r="E82" s="10" t="s">
        <v>123</v>
      </c>
      <c r="F82" s="8">
        <f>IFERROR(SUMIF(S1_26_JUIL!$A$3:$A$113,$A82,S1_26_JUIL!$O$3:$O$113),0)</f>
        <v>0</v>
      </c>
      <c r="G82" s="8">
        <f>IFERROR(SUMIF('S2_27_JUIL-02_AOUT'!$A$3:$A$113,$A82,'S2_27_JUIL-02_AOUT'!$U$3:$U$113),0)</f>
        <v>43</v>
      </c>
      <c r="H82" s="8">
        <f>IFERROR(SUMIF('S3_03-09_AOUT'!$A$3:$A$113,$A82,'S3_03-09_AOUT'!$U$3:$U$113),0)</f>
        <v>0</v>
      </c>
      <c r="I82" s="8">
        <f>IFERROR(SUMIF('S4_10-16_AOUT'!$A$3:$A$113,$A82,'S4_10-16_AOUT'!$U$3:$U$113),0)</f>
        <v>0</v>
      </c>
      <c r="J82" s="8">
        <f>IFERROR(SUMIF('S5_17-23_AOUT'!$A$3:$A$113,$A82,'S5_17-23_AOUT'!$U$3:$U$113),0)</f>
        <v>0</v>
      </c>
      <c r="K82" s="8">
        <f>IFERROR(SUMIF('S6_24-25_AOUT'!$A$3:$A$113,$A82,'S6_24-25_AOUT'!$P$3:$P$113),0)</f>
        <v>0</v>
      </c>
      <c r="L82" s="8">
        <f t="shared" si="4"/>
        <v>43</v>
      </c>
      <c r="M82" s="8">
        <f>IFERROR(SUMIF(S1_26_JUIL!$A$3:$A$113,$A82,S1_26_JUIL!$I$3:$I$113),0)+IFERROR(SUMIF('S2_27_JUIL-02_AOUT'!$A$3:$A$113,$A82,'S2_27_JUIL-02_AOUT'!$O$3:$O$113),0)+IFERROR(SUMIF('S3_03-09_AOUT'!$A$3:$A$113,$A82,'S3_03-09_AOUT'!$O$3:$O$113),0)+IFERROR(SUMIF('S4_10-16_AOUT'!$A$3:$A$113,$A82,'S4_10-16_AOUT'!$O$3:$O$113),0)+IFERROR(SUMIF('S5_17-23_AOUT'!$A$3:$A$113,$A82,'S5_17-23_AOUT'!$O$3:$O$113),0)+IFERROR(SUMIF('S6_24-25_AOUT'!$A$3:$A$113,$A82,'S6_24-25_AOUT'!$J$3:$J$113),0)</f>
        <v>43</v>
      </c>
      <c r="N82" s="9">
        <f>IFERROR(SUMIF(S1_26_JUIL!$A$3:$A$113,$A82,S1_26_JUIL!$J$3:$J$113),0)+IFERROR(SUMIF('S2_27_JUIL-02_AOUT'!$A$3:$A$113,$A82,'S2_27_JUIL-02_AOUT'!$P$3:$P$113),0)+IFERROR(SUMIF('S3_03-09_AOUT'!$A$3:$A$113,$A82,'S3_03-09_AOUT'!$P$3:$P$113),0)+IFERROR(SUMIF('S4_10-16_AOUT'!$A$3:$A$113,$A82,'S4_10-16_AOUT'!$P$3:$P$113),0)+IFERROR(SUMIF('S5_17-23_AOUT'!$A$3:$A$113,$A82,'S5_17-23_AOUT'!$P$3:$P$113),0)+IFERROR(SUMIF('S6_24-25_AOUT'!$A$3:$A$113,$A82,'S6_24-25_AOUT'!$K$3:$K$113),0)</f>
        <v>0</v>
      </c>
      <c r="O82" s="9">
        <f>IFERROR(SUMIF(S1_26_JUIL!$A$3:$A$113,$A82,S1_26_JUIL!$K$3:$K$113),0)+IFERROR(SUMIF('S2_27_JUIL-02_AOUT'!$A$3:$A$113,$A82,'S2_27_JUIL-02_AOUT'!$Q$3:$Q$113),0)+IFERROR(SUMIF('S3_03-09_AOUT'!$A$3:$A$113,$A82,'S3_03-09_AOUT'!$Q$3:$Q$113),0)+IFERROR(SUMIF('S4_10-16_AOUT'!$A$3:$A$113,$A82,'S4_10-16_AOUT'!$Q$3:$Q$113),0)+IFERROR(SUMIF('S5_17-23_AOUT'!$A$3:$A$113,$A82,'S5_17-23_AOUT'!$Q$3:$Q$113),0)+IFERROR(SUMIF('S6_24-25_AOUT'!$A$3:$A$113,$A82,'S6_24-25_AOUT'!$L$3:$L$113),0)</f>
        <v>0</v>
      </c>
      <c r="P82" s="8">
        <f>IFERROR(SUMIF(S1_26_JUIL!$A$3:$A$113,$A82,S1_26_JUIL!$L$3:$L$113),0)+IFERROR(SUMIF('S2_27_JUIL-02_AOUT'!$A$3:$A$113,$A82,'S2_27_JUIL-02_AOUT'!$R$3:$R$113),0)+IFERROR(SUMIF('S3_03-09_AOUT'!$A$3:$A$113,$A82,'S3_03-09_AOUT'!$R$3:$R$113),0)+IFERROR(SUMIF('S4_10-16_AOUT'!$A$3:$A$113,$A82,'S4_10-16_AOUT'!$R$3:$R$113),0)+IFERROR(SUMIF('S5_17-23_AOUT'!$A$3:$A$113,$A82,'S5_17-23_AOUT'!$R$3:$R$113),0)+IFERROR(SUMIF('S6_24-25_AOUT'!$A$3:$A$113,$A82,'S6_24-25_AOUT'!$M$3:$M$113),0)</f>
        <v>0</v>
      </c>
      <c r="Q82" s="8">
        <f>IFERROR(SUMIF(S1_26_JUIL!$A$3:$A$113,$A82,S1_26_JUIL!$M$3:$M$113),0)+IFERROR(SUMIF('S2_27_JUIL-02_AOUT'!$A$3:$A$113,$A82,'S2_27_JUIL-02_AOUT'!$S$3:$S$113),0)+IFERROR(SUMIF('S3_03-09_AOUT'!$A$3:$A$113,$A82,'S3_03-09_AOUT'!$S$3:$S$113),0)+IFERROR(SUMIF('S4_10-16_AOUT'!$A$3:$A$113,$A82,'S4_10-16_AOUT'!$S$3:$S$113),0)+IFERROR(SUMIF('S5_17-23_AOUT'!$A$3:$A$113,$A82,'S5_17-23_AOUT'!$S$3:$S$113),0)+IFERROR(SUMIF('S6_24-25_AOUT'!$A$3:$A$113,$A82,'S6_24-25_AOUT'!$N$3:$N$113),0)</f>
        <v>0</v>
      </c>
      <c r="R82" s="11">
        <f>IFERROR(SUMIF(S1_26_JUIL!$A$3:$A$113,$A82,S1_26_JUIL!$N$3:$N$113),0)+IFERROR(SUMIF('S2_27_JUIL-02_AOUT'!$A$3:$A$113,$A82,'S2_27_JUIL-02_AOUT'!$T$3:$T$113),0)+IFERROR(SUMIF('S3_03-09_AOUT'!$A$3:$A$113,$A82,'S3_03-09_AOUT'!$T$3:$T$113),0)+IFERROR(SUMIF('S4_10-16_AOUT'!$A$3:$A$113,$A82,'S4_10-16_AOUT'!$T$3:$T$113),0)+IFERROR(SUMIF('S5_17-23_AOUT'!$A$3:$A$113,$A82,'S5_17-23_AOUT'!$T$3:$T$113),0)+IFERROR(SUMIF('S6_24-25_AOUT'!$A$3:$A$113,$A82,'S6_24-25_AOUT'!$O$3:$O$113),0)</f>
        <v>0</v>
      </c>
      <c r="S82" s="8">
        <f>208</f>
        <v>208</v>
      </c>
      <c r="T82" s="8">
        <f t="shared" si="5"/>
        <v>43</v>
      </c>
      <c r="U82" s="10" t="str">
        <f>IF(OR(IFERROR(INDEX(S1_26_JUIL!$P$3:$P$113,MATCH($A82,S1_26_JUIL!$A$3:$A$113,0)),"")="STC",IFERROR(INDEX('S2_27_JUIL-02_AOUT'!$V$3:$V$113,MATCH($A82,'S2_27_JUIL-02_AOUT'!$A$3:$A$113,0)),"")="STC",IFERROR(INDEX('S3_03-09_AOUT'!$V$3:$V$113,MATCH($A82,'S3_03-09_AOUT'!$A$3:$A$113,0)),"")="STC",IFERROR(INDEX('S4_10-16_AOUT'!$V$3:$V$113,MATCH($A82,'S4_10-16_AOUT'!$A$3:$A$113,0)),"")="STC",IFERROR(INDEX('S5_17-23_AOUT'!$V$3:$V$113,MATCH($A82,'S5_17-23_AOUT'!$A$3:$A$113,0)),"")="STC",IFERROR(INDEX('S6_24-25_AOUT'!$Q$3:$Q$113,MATCH($A82,'S6_24-25_AOUT'!$A$3:$A$113,0)),"")="STC"),"STC",IF(OR(IFERROR(INDEX(S1_26_JUIL!$P$3:$P$113,MATCH($A82,S1_26_JUIL!$A$3:$A$113,0)),"")="À vérifier",IFERROR(INDEX('S2_27_JUIL-02_AOUT'!$V$3:$V$113,MATCH($A82,'S2_27_JUIL-02_AOUT'!$A$3:$A$113,0)),"")="À vérifier",IFERROR(INDEX('S3_03-09_AOUT'!$V$3:$V$113,MATCH($A82,'S3_03-09_AOUT'!$A$3:$A$113,0)),"")="À vérifier",IFERROR(INDEX('S4_10-16_AOUT'!$V$3:$V$113,MATCH($A82,'S4_10-16_AOUT'!$A$3:$A$113,0)),"")="À vérifier",IFERROR(INDEX('S5_17-23_AOUT'!$V$3:$V$113,MATCH($A82,'S5_17-23_AOUT'!$A$3:$A$113,0)),"")="À vérifier",IFERROR(INDEX('S6_24-25_AOUT'!$Q$3:$Q$113,MATCH($A82,'S6_24-25_AOUT'!$A$3:$A$113,0)),"")="À vérifier",ABS(L82-T82)&gt;=0.01),"À vérifier","OK"))</f>
        <v>OK</v>
      </c>
    </row>
    <row r="83" spans="1:21">
      <c r="A83" s="12">
        <v>199</v>
      </c>
      <c r="B83" s="12" t="s">
        <v>226</v>
      </c>
      <c r="C83" s="13" t="s">
        <v>227</v>
      </c>
      <c r="D83" s="12" t="s">
        <v>31</v>
      </c>
      <c r="E83" s="10" t="s">
        <v>123</v>
      </c>
      <c r="F83" s="8">
        <f>IFERROR(SUMIF(S1_26_JUIL!$A$3:$A$113,$A83,S1_26_JUIL!$O$3:$O$113),0)</f>
        <v>0</v>
      </c>
      <c r="G83" s="8">
        <f>IFERROR(SUMIF('S2_27_JUIL-02_AOUT'!$A$3:$A$113,$A83,'S2_27_JUIL-02_AOUT'!$U$3:$U$113),0)</f>
        <v>35.999999999999993</v>
      </c>
      <c r="H83" s="8">
        <f>IFERROR(SUMIF('S3_03-09_AOUT'!$A$3:$A$113,$A83,'S3_03-09_AOUT'!$U$3:$U$113),0)</f>
        <v>0</v>
      </c>
      <c r="I83" s="8">
        <f>IFERROR(SUMIF('S4_10-16_AOUT'!$A$3:$A$113,$A83,'S4_10-16_AOUT'!$U$3:$U$113),0)</f>
        <v>0</v>
      </c>
      <c r="J83" s="8">
        <f>IFERROR(SUMIF('S5_17-23_AOUT'!$A$3:$A$113,$A83,'S5_17-23_AOUT'!$U$3:$U$113),0)</f>
        <v>0</v>
      </c>
      <c r="K83" s="8">
        <f>IFERROR(SUMIF('S6_24-25_AOUT'!$A$3:$A$113,$A83,'S6_24-25_AOUT'!$P$3:$P$113),0)</f>
        <v>0</v>
      </c>
      <c r="L83" s="8">
        <f t="shared" si="4"/>
        <v>35.999999999999993</v>
      </c>
      <c r="M83" s="8">
        <f>IFERROR(SUMIF(S1_26_JUIL!$A$3:$A$113,$A83,S1_26_JUIL!$I$3:$I$113),0)+IFERROR(SUMIF('S2_27_JUIL-02_AOUT'!$A$3:$A$113,$A83,'S2_27_JUIL-02_AOUT'!$O$3:$O$113),0)+IFERROR(SUMIF('S3_03-09_AOUT'!$A$3:$A$113,$A83,'S3_03-09_AOUT'!$O$3:$O$113),0)+IFERROR(SUMIF('S4_10-16_AOUT'!$A$3:$A$113,$A83,'S4_10-16_AOUT'!$O$3:$O$113),0)+IFERROR(SUMIF('S5_17-23_AOUT'!$A$3:$A$113,$A83,'S5_17-23_AOUT'!$O$3:$O$113),0)+IFERROR(SUMIF('S6_24-25_AOUT'!$A$3:$A$113,$A83,'S6_24-25_AOUT'!$J$3:$J$113),0)</f>
        <v>35.999999999999993</v>
      </c>
      <c r="N83" s="9">
        <f>IFERROR(SUMIF(S1_26_JUIL!$A$3:$A$113,$A83,S1_26_JUIL!$J$3:$J$113),0)+IFERROR(SUMIF('S2_27_JUIL-02_AOUT'!$A$3:$A$113,$A83,'S2_27_JUIL-02_AOUT'!$P$3:$P$113),0)+IFERROR(SUMIF('S3_03-09_AOUT'!$A$3:$A$113,$A83,'S3_03-09_AOUT'!$P$3:$P$113),0)+IFERROR(SUMIF('S4_10-16_AOUT'!$A$3:$A$113,$A83,'S4_10-16_AOUT'!$P$3:$P$113),0)+IFERROR(SUMIF('S5_17-23_AOUT'!$A$3:$A$113,$A83,'S5_17-23_AOUT'!$P$3:$P$113),0)+IFERROR(SUMIF('S6_24-25_AOUT'!$A$3:$A$113,$A83,'S6_24-25_AOUT'!$K$3:$K$113),0)</f>
        <v>0</v>
      </c>
      <c r="O83" s="9">
        <f>IFERROR(SUMIF(S1_26_JUIL!$A$3:$A$113,$A83,S1_26_JUIL!$K$3:$K$113),0)+IFERROR(SUMIF('S2_27_JUIL-02_AOUT'!$A$3:$A$113,$A83,'S2_27_JUIL-02_AOUT'!$Q$3:$Q$113),0)+IFERROR(SUMIF('S3_03-09_AOUT'!$A$3:$A$113,$A83,'S3_03-09_AOUT'!$Q$3:$Q$113),0)+IFERROR(SUMIF('S4_10-16_AOUT'!$A$3:$A$113,$A83,'S4_10-16_AOUT'!$Q$3:$Q$113),0)+IFERROR(SUMIF('S5_17-23_AOUT'!$A$3:$A$113,$A83,'S5_17-23_AOUT'!$Q$3:$Q$113),0)+IFERROR(SUMIF('S6_24-25_AOUT'!$A$3:$A$113,$A83,'S6_24-25_AOUT'!$L$3:$L$113),0)</f>
        <v>0</v>
      </c>
      <c r="P83" s="8">
        <f>IFERROR(SUMIF(S1_26_JUIL!$A$3:$A$113,$A83,S1_26_JUIL!$L$3:$L$113),0)+IFERROR(SUMIF('S2_27_JUIL-02_AOUT'!$A$3:$A$113,$A83,'S2_27_JUIL-02_AOUT'!$R$3:$R$113),0)+IFERROR(SUMIF('S3_03-09_AOUT'!$A$3:$A$113,$A83,'S3_03-09_AOUT'!$R$3:$R$113),0)+IFERROR(SUMIF('S4_10-16_AOUT'!$A$3:$A$113,$A83,'S4_10-16_AOUT'!$R$3:$R$113),0)+IFERROR(SUMIF('S5_17-23_AOUT'!$A$3:$A$113,$A83,'S5_17-23_AOUT'!$R$3:$R$113),0)+IFERROR(SUMIF('S6_24-25_AOUT'!$A$3:$A$113,$A83,'S6_24-25_AOUT'!$M$3:$M$113),0)</f>
        <v>1</v>
      </c>
      <c r="Q83" s="8">
        <f>IFERROR(SUMIF(S1_26_JUIL!$A$3:$A$113,$A83,S1_26_JUIL!$M$3:$M$113),0)+IFERROR(SUMIF('S2_27_JUIL-02_AOUT'!$A$3:$A$113,$A83,'S2_27_JUIL-02_AOUT'!$S$3:$S$113),0)+IFERROR(SUMIF('S3_03-09_AOUT'!$A$3:$A$113,$A83,'S3_03-09_AOUT'!$S$3:$S$113),0)+IFERROR(SUMIF('S4_10-16_AOUT'!$A$3:$A$113,$A83,'S4_10-16_AOUT'!$S$3:$S$113),0)+IFERROR(SUMIF('S5_17-23_AOUT'!$A$3:$A$113,$A83,'S5_17-23_AOUT'!$S$3:$S$113),0)+IFERROR(SUMIF('S6_24-25_AOUT'!$A$3:$A$113,$A83,'S6_24-25_AOUT'!$N$3:$N$113),0)</f>
        <v>0</v>
      </c>
      <c r="R83" s="11">
        <f>IFERROR(SUMIF(S1_26_JUIL!$A$3:$A$113,$A83,S1_26_JUIL!$N$3:$N$113),0)+IFERROR(SUMIF('S2_27_JUIL-02_AOUT'!$A$3:$A$113,$A83,'S2_27_JUIL-02_AOUT'!$T$3:$T$113),0)+IFERROR(SUMIF('S3_03-09_AOUT'!$A$3:$A$113,$A83,'S3_03-09_AOUT'!$T$3:$T$113),0)+IFERROR(SUMIF('S4_10-16_AOUT'!$A$3:$A$113,$A83,'S4_10-16_AOUT'!$T$3:$T$113),0)+IFERROR(SUMIF('S5_17-23_AOUT'!$A$3:$A$113,$A83,'S5_17-23_AOUT'!$T$3:$T$113),0)+IFERROR(SUMIF('S6_24-25_AOUT'!$A$3:$A$113,$A83,'S6_24-25_AOUT'!$O$3:$O$113),0)</f>
        <v>0</v>
      </c>
      <c r="S83" s="8">
        <f>208</f>
        <v>208</v>
      </c>
      <c r="T83" s="8">
        <f t="shared" si="5"/>
        <v>35.999999999999993</v>
      </c>
      <c r="U83" s="10" t="str">
        <f>IF(OR(IFERROR(INDEX(S1_26_JUIL!$P$3:$P$113,MATCH($A83,S1_26_JUIL!$A$3:$A$113,0)),"")="STC",IFERROR(INDEX('S2_27_JUIL-02_AOUT'!$V$3:$V$113,MATCH($A83,'S2_27_JUIL-02_AOUT'!$A$3:$A$113,0)),"")="STC",IFERROR(INDEX('S3_03-09_AOUT'!$V$3:$V$113,MATCH($A83,'S3_03-09_AOUT'!$A$3:$A$113,0)),"")="STC",IFERROR(INDEX('S4_10-16_AOUT'!$V$3:$V$113,MATCH($A83,'S4_10-16_AOUT'!$A$3:$A$113,0)),"")="STC",IFERROR(INDEX('S5_17-23_AOUT'!$V$3:$V$113,MATCH($A83,'S5_17-23_AOUT'!$A$3:$A$113,0)),"")="STC",IFERROR(INDEX('S6_24-25_AOUT'!$Q$3:$Q$113,MATCH($A83,'S6_24-25_AOUT'!$A$3:$A$113,0)),"")="STC"),"STC",IF(OR(IFERROR(INDEX(S1_26_JUIL!$P$3:$P$113,MATCH($A83,S1_26_JUIL!$A$3:$A$113,0)),"")="À vérifier",IFERROR(INDEX('S2_27_JUIL-02_AOUT'!$V$3:$V$113,MATCH($A83,'S2_27_JUIL-02_AOUT'!$A$3:$A$113,0)),"")="À vérifier",IFERROR(INDEX('S3_03-09_AOUT'!$V$3:$V$113,MATCH($A83,'S3_03-09_AOUT'!$A$3:$A$113,0)),"")="À vérifier",IFERROR(INDEX('S4_10-16_AOUT'!$V$3:$V$113,MATCH($A83,'S4_10-16_AOUT'!$A$3:$A$113,0)),"")="À vérifier",IFERROR(INDEX('S5_17-23_AOUT'!$V$3:$V$113,MATCH($A83,'S5_17-23_AOUT'!$A$3:$A$113,0)),"")="À vérifier",IFERROR(INDEX('S6_24-25_AOUT'!$Q$3:$Q$113,MATCH($A83,'S6_24-25_AOUT'!$A$3:$A$113,0)),"")="À vérifier",ABS(L83-T83)&gt;=0.01),"À vérifier","OK"))</f>
        <v>OK</v>
      </c>
    </row>
    <row r="84" spans="1:21">
      <c r="A84" s="12" t="s">
        <v>228</v>
      </c>
      <c r="B84" s="12" t="s">
        <v>226</v>
      </c>
      <c r="C84" s="13" t="s">
        <v>229</v>
      </c>
      <c r="D84" s="12" t="s">
        <v>31</v>
      </c>
      <c r="E84" s="10" t="s">
        <v>123</v>
      </c>
      <c r="F84" s="8">
        <f>IFERROR(SUMIF(S1_26_JUIL!$A$3:$A$113,$A84,S1_26_JUIL!$O$3:$O$113),0)</f>
        <v>0</v>
      </c>
      <c r="G84" s="8">
        <f>IFERROR(SUMIF('S2_27_JUIL-02_AOUT'!$A$3:$A$113,$A84,'S2_27_JUIL-02_AOUT'!$U$3:$U$113),0)</f>
        <v>37.499999999999993</v>
      </c>
      <c r="H84" s="8">
        <f>IFERROR(SUMIF('S3_03-09_AOUT'!$A$3:$A$113,$A84,'S3_03-09_AOUT'!$U$3:$U$113),0)</f>
        <v>0</v>
      </c>
      <c r="I84" s="8">
        <f>IFERROR(SUMIF('S4_10-16_AOUT'!$A$3:$A$113,$A84,'S4_10-16_AOUT'!$U$3:$U$113),0)</f>
        <v>0</v>
      </c>
      <c r="J84" s="8">
        <f>IFERROR(SUMIF('S5_17-23_AOUT'!$A$3:$A$113,$A84,'S5_17-23_AOUT'!$U$3:$U$113),0)</f>
        <v>0</v>
      </c>
      <c r="K84" s="8">
        <f>IFERROR(SUMIF('S6_24-25_AOUT'!$A$3:$A$113,$A84,'S6_24-25_AOUT'!$P$3:$P$113),0)</f>
        <v>0</v>
      </c>
      <c r="L84" s="8">
        <f t="shared" si="4"/>
        <v>37.499999999999993</v>
      </c>
      <c r="M84" s="8">
        <f>IFERROR(SUMIF(S1_26_JUIL!$A$3:$A$113,$A84,S1_26_JUIL!$I$3:$I$113),0)+IFERROR(SUMIF('S2_27_JUIL-02_AOUT'!$A$3:$A$113,$A84,'S2_27_JUIL-02_AOUT'!$O$3:$O$113),0)+IFERROR(SUMIF('S3_03-09_AOUT'!$A$3:$A$113,$A84,'S3_03-09_AOUT'!$O$3:$O$113),0)+IFERROR(SUMIF('S4_10-16_AOUT'!$A$3:$A$113,$A84,'S4_10-16_AOUT'!$O$3:$O$113),0)+IFERROR(SUMIF('S5_17-23_AOUT'!$A$3:$A$113,$A84,'S5_17-23_AOUT'!$O$3:$O$113),0)+IFERROR(SUMIF('S6_24-25_AOUT'!$A$3:$A$113,$A84,'S6_24-25_AOUT'!$J$3:$J$113),0)</f>
        <v>37.499999999999993</v>
      </c>
      <c r="N84" s="9">
        <f>IFERROR(SUMIF(S1_26_JUIL!$A$3:$A$113,$A84,S1_26_JUIL!$J$3:$J$113),0)+IFERROR(SUMIF('S2_27_JUIL-02_AOUT'!$A$3:$A$113,$A84,'S2_27_JUIL-02_AOUT'!$P$3:$P$113),0)+IFERROR(SUMIF('S3_03-09_AOUT'!$A$3:$A$113,$A84,'S3_03-09_AOUT'!$P$3:$P$113),0)+IFERROR(SUMIF('S4_10-16_AOUT'!$A$3:$A$113,$A84,'S4_10-16_AOUT'!$P$3:$P$113),0)+IFERROR(SUMIF('S5_17-23_AOUT'!$A$3:$A$113,$A84,'S5_17-23_AOUT'!$P$3:$P$113),0)+IFERROR(SUMIF('S6_24-25_AOUT'!$A$3:$A$113,$A84,'S6_24-25_AOUT'!$K$3:$K$113),0)</f>
        <v>0</v>
      </c>
      <c r="O84" s="9">
        <f>IFERROR(SUMIF(S1_26_JUIL!$A$3:$A$113,$A84,S1_26_JUIL!$K$3:$K$113),0)+IFERROR(SUMIF('S2_27_JUIL-02_AOUT'!$A$3:$A$113,$A84,'S2_27_JUIL-02_AOUT'!$Q$3:$Q$113),0)+IFERROR(SUMIF('S3_03-09_AOUT'!$A$3:$A$113,$A84,'S3_03-09_AOUT'!$Q$3:$Q$113),0)+IFERROR(SUMIF('S4_10-16_AOUT'!$A$3:$A$113,$A84,'S4_10-16_AOUT'!$Q$3:$Q$113),0)+IFERROR(SUMIF('S5_17-23_AOUT'!$A$3:$A$113,$A84,'S5_17-23_AOUT'!$Q$3:$Q$113),0)+IFERROR(SUMIF('S6_24-25_AOUT'!$A$3:$A$113,$A84,'S6_24-25_AOUT'!$L$3:$L$113),0)</f>
        <v>0</v>
      </c>
      <c r="P84" s="8">
        <f>IFERROR(SUMIF(S1_26_JUIL!$A$3:$A$113,$A84,S1_26_JUIL!$L$3:$L$113),0)+IFERROR(SUMIF('S2_27_JUIL-02_AOUT'!$A$3:$A$113,$A84,'S2_27_JUIL-02_AOUT'!$R$3:$R$113),0)+IFERROR(SUMIF('S3_03-09_AOUT'!$A$3:$A$113,$A84,'S3_03-09_AOUT'!$R$3:$R$113),0)+IFERROR(SUMIF('S4_10-16_AOUT'!$A$3:$A$113,$A84,'S4_10-16_AOUT'!$R$3:$R$113),0)+IFERROR(SUMIF('S5_17-23_AOUT'!$A$3:$A$113,$A84,'S5_17-23_AOUT'!$R$3:$R$113),0)+IFERROR(SUMIF('S6_24-25_AOUT'!$A$3:$A$113,$A84,'S6_24-25_AOUT'!$M$3:$M$113),0)</f>
        <v>1</v>
      </c>
      <c r="Q84" s="8">
        <f>IFERROR(SUMIF(S1_26_JUIL!$A$3:$A$113,$A84,S1_26_JUIL!$M$3:$M$113),0)+IFERROR(SUMIF('S2_27_JUIL-02_AOUT'!$A$3:$A$113,$A84,'S2_27_JUIL-02_AOUT'!$S$3:$S$113),0)+IFERROR(SUMIF('S3_03-09_AOUT'!$A$3:$A$113,$A84,'S3_03-09_AOUT'!$S$3:$S$113),0)+IFERROR(SUMIF('S4_10-16_AOUT'!$A$3:$A$113,$A84,'S4_10-16_AOUT'!$S$3:$S$113),0)+IFERROR(SUMIF('S5_17-23_AOUT'!$A$3:$A$113,$A84,'S5_17-23_AOUT'!$S$3:$S$113),0)+IFERROR(SUMIF('S6_24-25_AOUT'!$A$3:$A$113,$A84,'S6_24-25_AOUT'!$N$3:$N$113),0)</f>
        <v>0</v>
      </c>
      <c r="R84" s="11">
        <f>IFERROR(SUMIF(S1_26_JUIL!$A$3:$A$113,$A84,S1_26_JUIL!$N$3:$N$113),0)+IFERROR(SUMIF('S2_27_JUIL-02_AOUT'!$A$3:$A$113,$A84,'S2_27_JUIL-02_AOUT'!$T$3:$T$113),0)+IFERROR(SUMIF('S3_03-09_AOUT'!$A$3:$A$113,$A84,'S3_03-09_AOUT'!$T$3:$T$113),0)+IFERROR(SUMIF('S4_10-16_AOUT'!$A$3:$A$113,$A84,'S4_10-16_AOUT'!$T$3:$T$113),0)+IFERROR(SUMIF('S5_17-23_AOUT'!$A$3:$A$113,$A84,'S5_17-23_AOUT'!$T$3:$T$113),0)+IFERROR(SUMIF('S6_24-25_AOUT'!$A$3:$A$113,$A84,'S6_24-25_AOUT'!$O$3:$O$113),0)</f>
        <v>0</v>
      </c>
      <c r="S84" s="8">
        <f>208</f>
        <v>208</v>
      </c>
      <c r="T84" s="8">
        <f t="shared" si="5"/>
        <v>37.499999999999993</v>
      </c>
      <c r="U84" s="10" t="str">
        <f>IF(OR(IFERROR(INDEX(S1_26_JUIL!$P$3:$P$113,MATCH($A84,S1_26_JUIL!$A$3:$A$113,0)),"")="STC",IFERROR(INDEX('S2_27_JUIL-02_AOUT'!$V$3:$V$113,MATCH($A84,'S2_27_JUIL-02_AOUT'!$A$3:$A$113,0)),"")="STC",IFERROR(INDEX('S3_03-09_AOUT'!$V$3:$V$113,MATCH($A84,'S3_03-09_AOUT'!$A$3:$A$113,0)),"")="STC",IFERROR(INDEX('S4_10-16_AOUT'!$V$3:$V$113,MATCH($A84,'S4_10-16_AOUT'!$A$3:$A$113,0)),"")="STC",IFERROR(INDEX('S5_17-23_AOUT'!$V$3:$V$113,MATCH($A84,'S5_17-23_AOUT'!$A$3:$A$113,0)),"")="STC",IFERROR(INDEX('S6_24-25_AOUT'!$Q$3:$Q$113,MATCH($A84,'S6_24-25_AOUT'!$A$3:$A$113,0)),"")="STC"),"STC",IF(OR(IFERROR(INDEX(S1_26_JUIL!$P$3:$P$113,MATCH($A84,S1_26_JUIL!$A$3:$A$113,0)),"")="À vérifier",IFERROR(INDEX('S2_27_JUIL-02_AOUT'!$V$3:$V$113,MATCH($A84,'S2_27_JUIL-02_AOUT'!$A$3:$A$113,0)),"")="À vérifier",IFERROR(INDEX('S3_03-09_AOUT'!$V$3:$V$113,MATCH($A84,'S3_03-09_AOUT'!$A$3:$A$113,0)),"")="À vérifier",IFERROR(INDEX('S4_10-16_AOUT'!$V$3:$V$113,MATCH($A84,'S4_10-16_AOUT'!$A$3:$A$113,0)),"")="À vérifier",IFERROR(INDEX('S5_17-23_AOUT'!$V$3:$V$113,MATCH($A84,'S5_17-23_AOUT'!$A$3:$A$113,0)),"")="À vérifier",IFERROR(INDEX('S6_24-25_AOUT'!$Q$3:$Q$113,MATCH($A84,'S6_24-25_AOUT'!$A$3:$A$113,0)),"")="À vérifier",ABS(L84-T84)&gt;=0.01),"À vérifier","OK"))</f>
        <v>OK</v>
      </c>
    </row>
    <row r="85" spans="1:21">
      <c r="A85" s="12">
        <v>243</v>
      </c>
      <c r="B85" s="12" t="s">
        <v>230</v>
      </c>
      <c r="C85" s="13" t="s">
        <v>205</v>
      </c>
      <c r="D85" s="12" t="s">
        <v>31</v>
      </c>
      <c r="E85" s="10" t="s">
        <v>123</v>
      </c>
      <c r="F85" s="8">
        <f>IFERROR(SUMIF(S1_26_JUIL!$A$3:$A$113,$A85,S1_26_JUIL!$O$3:$O$113),0)</f>
        <v>0</v>
      </c>
      <c r="G85" s="8">
        <f>IFERROR(SUMIF('S2_27_JUIL-02_AOUT'!$A$3:$A$113,$A85,'S2_27_JUIL-02_AOUT'!$U$3:$U$113),0)</f>
        <v>35.999999999999993</v>
      </c>
      <c r="H85" s="8">
        <f>IFERROR(SUMIF('S3_03-09_AOUT'!$A$3:$A$113,$A85,'S3_03-09_AOUT'!$U$3:$U$113),0)</f>
        <v>0</v>
      </c>
      <c r="I85" s="8">
        <f>IFERROR(SUMIF('S4_10-16_AOUT'!$A$3:$A$113,$A85,'S4_10-16_AOUT'!$U$3:$U$113),0)</f>
        <v>0</v>
      </c>
      <c r="J85" s="8">
        <f>IFERROR(SUMIF('S5_17-23_AOUT'!$A$3:$A$113,$A85,'S5_17-23_AOUT'!$U$3:$U$113),0)</f>
        <v>0</v>
      </c>
      <c r="K85" s="8">
        <f>IFERROR(SUMIF('S6_24-25_AOUT'!$A$3:$A$113,$A85,'S6_24-25_AOUT'!$P$3:$P$113),0)</f>
        <v>0</v>
      </c>
      <c r="L85" s="8">
        <f t="shared" si="4"/>
        <v>35.999999999999993</v>
      </c>
      <c r="M85" s="8">
        <f>IFERROR(SUMIF(S1_26_JUIL!$A$3:$A$113,$A85,S1_26_JUIL!$I$3:$I$113),0)+IFERROR(SUMIF('S2_27_JUIL-02_AOUT'!$A$3:$A$113,$A85,'S2_27_JUIL-02_AOUT'!$O$3:$O$113),0)+IFERROR(SUMIF('S3_03-09_AOUT'!$A$3:$A$113,$A85,'S3_03-09_AOUT'!$O$3:$O$113),0)+IFERROR(SUMIF('S4_10-16_AOUT'!$A$3:$A$113,$A85,'S4_10-16_AOUT'!$O$3:$O$113),0)+IFERROR(SUMIF('S5_17-23_AOUT'!$A$3:$A$113,$A85,'S5_17-23_AOUT'!$O$3:$O$113),0)+IFERROR(SUMIF('S6_24-25_AOUT'!$A$3:$A$113,$A85,'S6_24-25_AOUT'!$J$3:$J$113),0)</f>
        <v>35.999999999999993</v>
      </c>
      <c r="N85" s="9">
        <f>IFERROR(SUMIF(S1_26_JUIL!$A$3:$A$113,$A85,S1_26_JUIL!$J$3:$J$113),0)+IFERROR(SUMIF('S2_27_JUIL-02_AOUT'!$A$3:$A$113,$A85,'S2_27_JUIL-02_AOUT'!$P$3:$P$113),0)+IFERROR(SUMIF('S3_03-09_AOUT'!$A$3:$A$113,$A85,'S3_03-09_AOUT'!$P$3:$P$113),0)+IFERROR(SUMIF('S4_10-16_AOUT'!$A$3:$A$113,$A85,'S4_10-16_AOUT'!$P$3:$P$113),0)+IFERROR(SUMIF('S5_17-23_AOUT'!$A$3:$A$113,$A85,'S5_17-23_AOUT'!$P$3:$P$113),0)+IFERROR(SUMIF('S6_24-25_AOUT'!$A$3:$A$113,$A85,'S6_24-25_AOUT'!$K$3:$K$113),0)</f>
        <v>0</v>
      </c>
      <c r="O85" s="9">
        <f>IFERROR(SUMIF(S1_26_JUIL!$A$3:$A$113,$A85,S1_26_JUIL!$K$3:$K$113),0)+IFERROR(SUMIF('S2_27_JUIL-02_AOUT'!$A$3:$A$113,$A85,'S2_27_JUIL-02_AOUT'!$Q$3:$Q$113),0)+IFERROR(SUMIF('S3_03-09_AOUT'!$A$3:$A$113,$A85,'S3_03-09_AOUT'!$Q$3:$Q$113),0)+IFERROR(SUMIF('S4_10-16_AOUT'!$A$3:$A$113,$A85,'S4_10-16_AOUT'!$Q$3:$Q$113),0)+IFERROR(SUMIF('S5_17-23_AOUT'!$A$3:$A$113,$A85,'S5_17-23_AOUT'!$Q$3:$Q$113),0)+IFERROR(SUMIF('S6_24-25_AOUT'!$A$3:$A$113,$A85,'S6_24-25_AOUT'!$L$3:$L$113),0)</f>
        <v>0</v>
      </c>
      <c r="P85" s="8">
        <f>IFERROR(SUMIF(S1_26_JUIL!$A$3:$A$113,$A85,S1_26_JUIL!$L$3:$L$113),0)+IFERROR(SUMIF('S2_27_JUIL-02_AOUT'!$A$3:$A$113,$A85,'S2_27_JUIL-02_AOUT'!$R$3:$R$113),0)+IFERROR(SUMIF('S3_03-09_AOUT'!$A$3:$A$113,$A85,'S3_03-09_AOUT'!$R$3:$R$113),0)+IFERROR(SUMIF('S4_10-16_AOUT'!$A$3:$A$113,$A85,'S4_10-16_AOUT'!$R$3:$R$113),0)+IFERROR(SUMIF('S5_17-23_AOUT'!$A$3:$A$113,$A85,'S5_17-23_AOUT'!$R$3:$R$113),0)+IFERROR(SUMIF('S6_24-25_AOUT'!$A$3:$A$113,$A85,'S6_24-25_AOUT'!$M$3:$M$113),0)</f>
        <v>1</v>
      </c>
      <c r="Q85" s="8">
        <f>IFERROR(SUMIF(S1_26_JUIL!$A$3:$A$113,$A85,S1_26_JUIL!$M$3:$M$113),0)+IFERROR(SUMIF('S2_27_JUIL-02_AOUT'!$A$3:$A$113,$A85,'S2_27_JUIL-02_AOUT'!$S$3:$S$113),0)+IFERROR(SUMIF('S3_03-09_AOUT'!$A$3:$A$113,$A85,'S3_03-09_AOUT'!$S$3:$S$113),0)+IFERROR(SUMIF('S4_10-16_AOUT'!$A$3:$A$113,$A85,'S4_10-16_AOUT'!$S$3:$S$113),0)+IFERROR(SUMIF('S5_17-23_AOUT'!$A$3:$A$113,$A85,'S5_17-23_AOUT'!$S$3:$S$113),0)+IFERROR(SUMIF('S6_24-25_AOUT'!$A$3:$A$113,$A85,'S6_24-25_AOUT'!$N$3:$N$113),0)</f>
        <v>0</v>
      </c>
      <c r="R85" s="11">
        <f>IFERROR(SUMIF(S1_26_JUIL!$A$3:$A$113,$A85,S1_26_JUIL!$N$3:$N$113),0)+IFERROR(SUMIF('S2_27_JUIL-02_AOUT'!$A$3:$A$113,$A85,'S2_27_JUIL-02_AOUT'!$T$3:$T$113),0)+IFERROR(SUMIF('S3_03-09_AOUT'!$A$3:$A$113,$A85,'S3_03-09_AOUT'!$T$3:$T$113),0)+IFERROR(SUMIF('S4_10-16_AOUT'!$A$3:$A$113,$A85,'S4_10-16_AOUT'!$T$3:$T$113),0)+IFERROR(SUMIF('S5_17-23_AOUT'!$A$3:$A$113,$A85,'S5_17-23_AOUT'!$T$3:$T$113),0)+IFERROR(SUMIF('S6_24-25_AOUT'!$A$3:$A$113,$A85,'S6_24-25_AOUT'!$O$3:$O$113),0)</f>
        <v>0</v>
      </c>
      <c r="S85" s="8">
        <f>208</f>
        <v>208</v>
      </c>
      <c r="T85" s="8">
        <f t="shared" si="5"/>
        <v>35.999999999999993</v>
      </c>
      <c r="U85" s="10" t="str">
        <f>IF(OR(IFERROR(INDEX(S1_26_JUIL!$P$3:$P$113,MATCH($A85,S1_26_JUIL!$A$3:$A$113,0)),"")="STC",IFERROR(INDEX('S2_27_JUIL-02_AOUT'!$V$3:$V$113,MATCH($A85,'S2_27_JUIL-02_AOUT'!$A$3:$A$113,0)),"")="STC",IFERROR(INDEX('S3_03-09_AOUT'!$V$3:$V$113,MATCH($A85,'S3_03-09_AOUT'!$A$3:$A$113,0)),"")="STC",IFERROR(INDEX('S4_10-16_AOUT'!$V$3:$V$113,MATCH($A85,'S4_10-16_AOUT'!$A$3:$A$113,0)),"")="STC",IFERROR(INDEX('S5_17-23_AOUT'!$V$3:$V$113,MATCH($A85,'S5_17-23_AOUT'!$A$3:$A$113,0)),"")="STC",IFERROR(INDEX('S6_24-25_AOUT'!$Q$3:$Q$113,MATCH($A85,'S6_24-25_AOUT'!$A$3:$A$113,0)),"")="STC"),"STC",IF(OR(IFERROR(INDEX(S1_26_JUIL!$P$3:$P$113,MATCH($A85,S1_26_JUIL!$A$3:$A$113,0)),"")="À vérifier",IFERROR(INDEX('S2_27_JUIL-02_AOUT'!$V$3:$V$113,MATCH($A85,'S2_27_JUIL-02_AOUT'!$A$3:$A$113,0)),"")="À vérifier",IFERROR(INDEX('S3_03-09_AOUT'!$V$3:$V$113,MATCH($A85,'S3_03-09_AOUT'!$A$3:$A$113,0)),"")="À vérifier",IFERROR(INDEX('S4_10-16_AOUT'!$V$3:$V$113,MATCH($A85,'S4_10-16_AOUT'!$A$3:$A$113,0)),"")="À vérifier",IFERROR(INDEX('S5_17-23_AOUT'!$V$3:$V$113,MATCH($A85,'S5_17-23_AOUT'!$A$3:$A$113,0)),"")="À vérifier",IFERROR(INDEX('S6_24-25_AOUT'!$Q$3:$Q$113,MATCH($A85,'S6_24-25_AOUT'!$A$3:$A$113,0)),"")="À vérifier",ABS(L85-T85)&gt;=0.01),"À vérifier","OK"))</f>
        <v>OK</v>
      </c>
    </row>
    <row r="86" spans="1:21">
      <c r="A86" s="12" t="s">
        <v>231</v>
      </c>
      <c r="B86" s="12" t="s">
        <v>232</v>
      </c>
      <c r="C86" s="13" t="s">
        <v>233</v>
      </c>
      <c r="D86" s="12" t="s">
        <v>31</v>
      </c>
      <c r="E86" s="10" t="s">
        <v>123</v>
      </c>
      <c r="F86" s="8">
        <f>IFERROR(SUMIF(S1_26_JUIL!$A$3:$A$113,$A86,S1_26_JUIL!$O$3:$O$113),0)</f>
        <v>0</v>
      </c>
      <c r="G86" s="8">
        <f>IFERROR(SUMIF('S2_27_JUIL-02_AOUT'!$A$3:$A$113,$A86,'S2_27_JUIL-02_AOUT'!$U$3:$U$113),0)</f>
        <v>17</v>
      </c>
      <c r="H86" s="8">
        <f>IFERROR(SUMIF('S3_03-09_AOUT'!$A$3:$A$113,$A86,'S3_03-09_AOUT'!$U$3:$U$113),0)</f>
        <v>0</v>
      </c>
      <c r="I86" s="8">
        <f>IFERROR(SUMIF('S4_10-16_AOUT'!$A$3:$A$113,$A86,'S4_10-16_AOUT'!$U$3:$U$113),0)</f>
        <v>0</v>
      </c>
      <c r="J86" s="8">
        <f>IFERROR(SUMIF('S5_17-23_AOUT'!$A$3:$A$113,$A86,'S5_17-23_AOUT'!$U$3:$U$113),0)</f>
        <v>0</v>
      </c>
      <c r="K86" s="8">
        <f>IFERROR(SUMIF('S6_24-25_AOUT'!$A$3:$A$113,$A86,'S6_24-25_AOUT'!$P$3:$P$113),0)</f>
        <v>0</v>
      </c>
      <c r="L86" s="8">
        <f t="shared" si="4"/>
        <v>17</v>
      </c>
      <c r="M86" s="8">
        <f>IFERROR(SUMIF(S1_26_JUIL!$A$3:$A$113,$A86,S1_26_JUIL!$I$3:$I$113),0)+IFERROR(SUMIF('S2_27_JUIL-02_AOUT'!$A$3:$A$113,$A86,'S2_27_JUIL-02_AOUT'!$O$3:$O$113),0)+IFERROR(SUMIF('S3_03-09_AOUT'!$A$3:$A$113,$A86,'S3_03-09_AOUT'!$O$3:$O$113),0)+IFERROR(SUMIF('S4_10-16_AOUT'!$A$3:$A$113,$A86,'S4_10-16_AOUT'!$O$3:$O$113),0)+IFERROR(SUMIF('S5_17-23_AOUT'!$A$3:$A$113,$A86,'S5_17-23_AOUT'!$O$3:$O$113),0)+IFERROR(SUMIF('S6_24-25_AOUT'!$A$3:$A$113,$A86,'S6_24-25_AOUT'!$J$3:$J$113),0)</f>
        <v>17</v>
      </c>
      <c r="N86" s="9">
        <f>IFERROR(SUMIF(S1_26_JUIL!$A$3:$A$113,$A86,S1_26_JUIL!$J$3:$J$113),0)+IFERROR(SUMIF('S2_27_JUIL-02_AOUT'!$A$3:$A$113,$A86,'S2_27_JUIL-02_AOUT'!$P$3:$P$113),0)+IFERROR(SUMIF('S3_03-09_AOUT'!$A$3:$A$113,$A86,'S3_03-09_AOUT'!$P$3:$P$113),0)+IFERROR(SUMIF('S4_10-16_AOUT'!$A$3:$A$113,$A86,'S4_10-16_AOUT'!$P$3:$P$113),0)+IFERROR(SUMIF('S5_17-23_AOUT'!$A$3:$A$113,$A86,'S5_17-23_AOUT'!$P$3:$P$113),0)+IFERROR(SUMIF('S6_24-25_AOUT'!$A$3:$A$113,$A86,'S6_24-25_AOUT'!$K$3:$K$113),0)</f>
        <v>0</v>
      </c>
      <c r="O86" s="9">
        <f>IFERROR(SUMIF(S1_26_JUIL!$A$3:$A$113,$A86,S1_26_JUIL!$K$3:$K$113),0)+IFERROR(SUMIF('S2_27_JUIL-02_AOUT'!$A$3:$A$113,$A86,'S2_27_JUIL-02_AOUT'!$Q$3:$Q$113),0)+IFERROR(SUMIF('S3_03-09_AOUT'!$A$3:$A$113,$A86,'S3_03-09_AOUT'!$Q$3:$Q$113),0)+IFERROR(SUMIF('S4_10-16_AOUT'!$A$3:$A$113,$A86,'S4_10-16_AOUT'!$Q$3:$Q$113),0)+IFERROR(SUMIF('S5_17-23_AOUT'!$A$3:$A$113,$A86,'S5_17-23_AOUT'!$Q$3:$Q$113),0)+IFERROR(SUMIF('S6_24-25_AOUT'!$A$3:$A$113,$A86,'S6_24-25_AOUT'!$L$3:$L$113),0)</f>
        <v>0</v>
      </c>
      <c r="P86" s="8">
        <f>IFERROR(SUMIF(S1_26_JUIL!$A$3:$A$113,$A86,S1_26_JUIL!$L$3:$L$113),0)+IFERROR(SUMIF('S2_27_JUIL-02_AOUT'!$A$3:$A$113,$A86,'S2_27_JUIL-02_AOUT'!$R$3:$R$113),0)+IFERROR(SUMIF('S3_03-09_AOUT'!$A$3:$A$113,$A86,'S3_03-09_AOUT'!$R$3:$R$113),0)+IFERROR(SUMIF('S4_10-16_AOUT'!$A$3:$A$113,$A86,'S4_10-16_AOUT'!$R$3:$R$113),0)+IFERROR(SUMIF('S5_17-23_AOUT'!$A$3:$A$113,$A86,'S5_17-23_AOUT'!$R$3:$R$113),0)+IFERROR(SUMIF('S6_24-25_AOUT'!$A$3:$A$113,$A86,'S6_24-25_AOUT'!$M$3:$M$113),0)</f>
        <v>3</v>
      </c>
      <c r="Q86" s="8">
        <f>IFERROR(SUMIF(S1_26_JUIL!$A$3:$A$113,$A86,S1_26_JUIL!$M$3:$M$113),0)+IFERROR(SUMIF('S2_27_JUIL-02_AOUT'!$A$3:$A$113,$A86,'S2_27_JUIL-02_AOUT'!$S$3:$S$113),0)+IFERROR(SUMIF('S3_03-09_AOUT'!$A$3:$A$113,$A86,'S3_03-09_AOUT'!$S$3:$S$113),0)+IFERROR(SUMIF('S4_10-16_AOUT'!$A$3:$A$113,$A86,'S4_10-16_AOUT'!$S$3:$S$113),0)+IFERROR(SUMIF('S5_17-23_AOUT'!$A$3:$A$113,$A86,'S5_17-23_AOUT'!$S$3:$S$113),0)+IFERROR(SUMIF('S6_24-25_AOUT'!$A$3:$A$113,$A86,'S6_24-25_AOUT'!$N$3:$N$113),0)</f>
        <v>0</v>
      </c>
      <c r="R86" s="11">
        <f>IFERROR(SUMIF(S1_26_JUIL!$A$3:$A$113,$A86,S1_26_JUIL!$N$3:$N$113),0)+IFERROR(SUMIF('S2_27_JUIL-02_AOUT'!$A$3:$A$113,$A86,'S2_27_JUIL-02_AOUT'!$T$3:$T$113),0)+IFERROR(SUMIF('S3_03-09_AOUT'!$A$3:$A$113,$A86,'S3_03-09_AOUT'!$T$3:$T$113),0)+IFERROR(SUMIF('S4_10-16_AOUT'!$A$3:$A$113,$A86,'S4_10-16_AOUT'!$T$3:$T$113),0)+IFERROR(SUMIF('S5_17-23_AOUT'!$A$3:$A$113,$A86,'S5_17-23_AOUT'!$T$3:$T$113),0)+IFERROR(SUMIF('S6_24-25_AOUT'!$A$3:$A$113,$A86,'S6_24-25_AOUT'!$O$3:$O$113),0)</f>
        <v>0</v>
      </c>
      <c r="S86" s="8">
        <f>208</f>
        <v>208</v>
      </c>
      <c r="T86" s="8">
        <f t="shared" si="5"/>
        <v>17</v>
      </c>
      <c r="U86" s="10" t="str">
        <f>IF(OR(IFERROR(INDEX(S1_26_JUIL!$P$3:$P$113,MATCH($A86,S1_26_JUIL!$A$3:$A$113,0)),"")="STC",IFERROR(INDEX('S2_27_JUIL-02_AOUT'!$V$3:$V$113,MATCH($A86,'S2_27_JUIL-02_AOUT'!$A$3:$A$113,0)),"")="STC",IFERROR(INDEX('S3_03-09_AOUT'!$V$3:$V$113,MATCH($A86,'S3_03-09_AOUT'!$A$3:$A$113,0)),"")="STC",IFERROR(INDEX('S4_10-16_AOUT'!$V$3:$V$113,MATCH($A86,'S4_10-16_AOUT'!$A$3:$A$113,0)),"")="STC",IFERROR(INDEX('S5_17-23_AOUT'!$V$3:$V$113,MATCH($A86,'S5_17-23_AOUT'!$A$3:$A$113,0)),"")="STC",IFERROR(INDEX('S6_24-25_AOUT'!$Q$3:$Q$113,MATCH($A86,'S6_24-25_AOUT'!$A$3:$A$113,0)),"")="STC"),"STC",IF(OR(IFERROR(INDEX(S1_26_JUIL!$P$3:$P$113,MATCH($A86,S1_26_JUIL!$A$3:$A$113,0)),"")="À vérifier",IFERROR(INDEX('S2_27_JUIL-02_AOUT'!$V$3:$V$113,MATCH($A86,'S2_27_JUIL-02_AOUT'!$A$3:$A$113,0)),"")="À vérifier",IFERROR(INDEX('S3_03-09_AOUT'!$V$3:$V$113,MATCH($A86,'S3_03-09_AOUT'!$A$3:$A$113,0)),"")="À vérifier",IFERROR(INDEX('S4_10-16_AOUT'!$V$3:$V$113,MATCH($A86,'S4_10-16_AOUT'!$A$3:$A$113,0)),"")="À vérifier",IFERROR(INDEX('S5_17-23_AOUT'!$V$3:$V$113,MATCH($A86,'S5_17-23_AOUT'!$A$3:$A$113,0)),"")="À vérifier",IFERROR(INDEX('S6_24-25_AOUT'!$Q$3:$Q$113,MATCH($A86,'S6_24-25_AOUT'!$A$3:$A$113,0)),"")="À vérifier",ABS(L86-T86)&gt;=0.01),"À vérifier","OK"))</f>
        <v>OK</v>
      </c>
    </row>
    <row r="87" spans="1:21">
      <c r="A87" s="12">
        <v>96</v>
      </c>
      <c r="B87" s="12" t="s">
        <v>232</v>
      </c>
      <c r="C87" s="13" t="s">
        <v>234</v>
      </c>
      <c r="D87" s="12" t="s">
        <v>31</v>
      </c>
      <c r="E87" s="10" t="s">
        <v>123</v>
      </c>
      <c r="F87" s="8">
        <f>IFERROR(SUMIF(S1_26_JUIL!$A$3:$A$113,$A87,S1_26_JUIL!$O$3:$O$113),0)</f>
        <v>0</v>
      </c>
      <c r="G87" s="8">
        <f>IFERROR(SUMIF('S2_27_JUIL-02_AOUT'!$A$3:$A$113,$A87,'S2_27_JUIL-02_AOUT'!$U$3:$U$113),0)</f>
        <v>35.999999999999993</v>
      </c>
      <c r="H87" s="8">
        <f>IFERROR(SUMIF('S3_03-09_AOUT'!$A$3:$A$113,$A87,'S3_03-09_AOUT'!$U$3:$U$113),0)</f>
        <v>0</v>
      </c>
      <c r="I87" s="8">
        <f>IFERROR(SUMIF('S4_10-16_AOUT'!$A$3:$A$113,$A87,'S4_10-16_AOUT'!$U$3:$U$113),0)</f>
        <v>0</v>
      </c>
      <c r="J87" s="8">
        <f>IFERROR(SUMIF('S5_17-23_AOUT'!$A$3:$A$113,$A87,'S5_17-23_AOUT'!$U$3:$U$113),0)</f>
        <v>0</v>
      </c>
      <c r="K87" s="8">
        <f>IFERROR(SUMIF('S6_24-25_AOUT'!$A$3:$A$113,$A87,'S6_24-25_AOUT'!$P$3:$P$113),0)</f>
        <v>0</v>
      </c>
      <c r="L87" s="8">
        <f t="shared" si="4"/>
        <v>35.999999999999993</v>
      </c>
      <c r="M87" s="8">
        <f>IFERROR(SUMIF(S1_26_JUIL!$A$3:$A$113,$A87,S1_26_JUIL!$I$3:$I$113),0)+IFERROR(SUMIF('S2_27_JUIL-02_AOUT'!$A$3:$A$113,$A87,'S2_27_JUIL-02_AOUT'!$O$3:$O$113),0)+IFERROR(SUMIF('S3_03-09_AOUT'!$A$3:$A$113,$A87,'S3_03-09_AOUT'!$O$3:$O$113),0)+IFERROR(SUMIF('S4_10-16_AOUT'!$A$3:$A$113,$A87,'S4_10-16_AOUT'!$O$3:$O$113),0)+IFERROR(SUMIF('S5_17-23_AOUT'!$A$3:$A$113,$A87,'S5_17-23_AOUT'!$O$3:$O$113),0)+IFERROR(SUMIF('S6_24-25_AOUT'!$A$3:$A$113,$A87,'S6_24-25_AOUT'!$J$3:$J$113),0)</f>
        <v>35.999999999999993</v>
      </c>
      <c r="N87" s="9">
        <f>IFERROR(SUMIF(S1_26_JUIL!$A$3:$A$113,$A87,S1_26_JUIL!$J$3:$J$113),0)+IFERROR(SUMIF('S2_27_JUIL-02_AOUT'!$A$3:$A$113,$A87,'S2_27_JUIL-02_AOUT'!$P$3:$P$113),0)+IFERROR(SUMIF('S3_03-09_AOUT'!$A$3:$A$113,$A87,'S3_03-09_AOUT'!$P$3:$P$113),0)+IFERROR(SUMIF('S4_10-16_AOUT'!$A$3:$A$113,$A87,'S4_10-16_AOUT'!$P$3:$P$113),0)+IFERROR(SUMIF('S5_17-23_AOUT'!$A$3:$A$113,$A87,'S5_17-23_AOUT'!$P$3:$P$113),0)+IFERROR(SUMIF('S6_24-25_AOUT'!$A$3:$A$113,$A87,'S6_24-25_AOUT'!$K$3:$K$113),0)</f>
        <v>0</v>
      </c>
      <c r="O87" s="9">
        <f>IFERROR(SUMIF(S1_26_JUIL!$A$3:$A$113,$A87,S1_26_JUIL!$K$3:$K$113),0)+IFERROR(SUMIF('S2_27_JUIL-02_AOUT'!$A$3:$A$113,$A87,'S2_27_JUIL-02_AOUT'!$Q$3:$Q$113),0)+IFERROR(SUMIF('S3_03-09_AOUT'!$A$3:$A$113,$A87,'S3_03-09_AOUT'!$Q$3:$Q$113),0)+IFERROR(SUMIF('S4_10-16_AOUT'!$A$3:$A$113,$A87,'S4_10-16_AOUT'!$Q$3:$Q$113),0)+IFERROR(SUMIF('S5_17-23_AOUT'!$A$3:$A$113,$A87,'S5_17-23_AOUT'!$Q$3:$Q$113),0)+IFERROR(SUMIF('S6_24-25_AOUT'!$A$3:$A$113,$A87,'S6_24-25_AOUT'!$L$3:$L$113),0)</f>
        <v>0</v>
      </c>
      <c r="P87" s="8">
        <f>IFERROR(SUMIF(S1_26_JUIL!$A$3:$A$113,$A87,S1_26_JUIL!$L$3:$L$113),0)+IFERROR(SUMIF('S2_27_JUIL-02_AOUT'!$A$3:$A$113,$A87,'S2_27_JUIL-02_AOUT'!$R$3:$R$113),0)+IFERROR(SUMIF('S3_03-09_AOUT'!$A$3:$A$113,$A87,'S3_03-09_AOUT'!$R$3:$R$113),0)+IFERROR(SUMIF('S4_10-16_AOUT'!$A$3:$A$113,$A87,'S4_10-16_AOUT'!$R$3:$R$113),0)+IFERROR(SUMIF('S5_17-23_AOUT'!$A$3:$A$113,$A87,'S5_17-23_AOUT'!$R$3:$R$113),0)+IFERROR(SUMIF('S6_24-25_AOUT'!$A$3:$A$113,$A87,'S6_24-25_AOUT'!$M$3:$M$113),0)</f>
        <v>1</v>
      </c>
      <c r="Q87" s="8">
        <f>IFERROR(SUMIF(S1_26_JUIL!$A$3:$A$113,$A87,S1_26_JUIL!$M$3:$M$113),0)+IFERROR(SUMIF('S2_27_JUIL-02_AOUT'!$A$3:$A$113,$A87,'S2_27_JUIL-02_AOUT'!$S$3:$S$113),0)+IFERROR(SUMIF('S3_03-09_AOUT'!$A$3:$A$113,$A87,'S3_03-09_AOUT'!$S$3:$S$113),0)+IFERROR(SUMIF('S4_10-16_AOUT'!$A$3:$A$113,$A87,'S4_10-16_AOUT'!$S$3:$S$113),0)+IFERROR(SUMIF('S5_17-23_AOUT'!$A$3:$A$113,$A87,'S5_17-23_AOUT'!$S$3:$S$113),0)+IFERROR(SUMIF('S6_24-25_AOUT'!$A$3:$A$113,$A87,'S6_24-25_AOUT'!$N$3:$N$113),0)</f>
        <v>0</v>
      </c>
      <c r="R87" s="11">
        <f>IFERROR(SUMIF(S1_26_JUIL!$A$3:$A$113,$A87,S1_26_JUIL!$N$3:$N$113),0)+IFERROR(SUMIF('S2_27_JUIL-02_AOUT'!$A$3:$A$113,$A87,'S2_27_JUIL-02_AOUT'!$T$3:$T$113),0)+IFERROR(SUMIF('S3_03-09_AOUT'!$A$3:$A$113,$A87,'S3_03-09_AOUT'!$T$3:$T$113),0)+IFERROR(SUMIF('S4_10-16_AOUT'!$A$3:$A$113,$A87,'S4_10-16_AOUT'!$T$3:$T$113),0)+IFERROR(SUMIF('S5_17-23_AOUT'!$A$3:$A$113,$A87,'S5_17-23_AOUT'!$T$3:$T$113),0)+IFERROR(SUMIF('S6_24-25_AOUT'!$A$3:$A$113,$A87,'S6_24-25_AOUT'!$O$3:$O$113),0)</f>
        <v>0</v>
      </c>
      <c r="S87" s="8">
        <f>208</f>
        <v>208</v>
      </c>
      <c r="T87" s="8">
        <f t="shared" si="5"/>
        <v>35.999999999999993</v>
      </c>
      <c r="U87" s="10" t="str">
        <f>IF(OR(IFERROR(INDEX(S1_26_JUIL!$P$3:$P$113,MATCH($A87,S1_26_JUIL!$A$3:$A$113,0)),"")="STC",IFERROR(INDEX('S2_27_JUIL-02_AOUT'!$V$3:$V$113,MATCH($A87,'S2_27_JUIL-02_AOUT'!$A$3:$A$113,0)),"")="STC",IFERROR(INDEX('S3_03-09_AOUT'!$V$3:$V$113,MATCH($A87,'S3_03-09_AOUT'!$A$3:$A$113,0)),"")="STC",IFERROR(INDEX('S4_10-16_AOUT'!$V$3:$V$113,MATCH($A87,'S4_10-16_AOUT'!$A$3:$A$113,0)),"")="STC",IFERROR(INDEX('S5_17-23_AOUT'!$V$3:$V$113,MATCH($A87,'S5_17-23_AOUT'!$A$3:$A$113,0)),"")="STC",IFERROR(INDEX('S6_24-25_AOUT'!$Q$3:$Q$113,MATCH($A87,'S6_24-25_AOUT'!$A$3:$A$113,0)),"")="STC"),"STC",IF(OR(IFERROR(INDEX(S1_26_JUIL!$P$3:$P$113,MATCH($A87,S1_26_JUIL!$A$3:$A$113,0)),"")="À vérifier",IFERROR(INDEX('S2_27_JUIL-02_AOUT'!$V$3:$V$113,MATCH($A87,'S2_27_JUIL-02_AOUT'!$A$3:$A$113,0)),"")="À vérifier",IFERROR(INDEX('S3_03-09_AOUT'!$V$3:$V$113,MATCH($A87,'S3_03-09_AOUT'!$A$3:$A$113,0)),"")="À vérifier",IFERROR(INDEX('S4_10-16_AOUT'!$V$3:$V$113,MATCH($A87,'S4_10-16_AOUT'!$A$3:$A$113,0)),"")="À vérifier",IFERROR(INDEX('S5_17-23_AOUT'!$V$3:$V$113,MATCH($A87,'S5_17-23_AOUT'!$A$3:$A$113,0)),"")="À vérifier",IFERROR(INDEX('S6_24-25_AOUT'!$Q$3:$Q$113,MATCH($A87,'S6_24-25_AOUT'!$A$3:$A$113,0)),"")="À vérifier",ABS(L87-T87)&gt;=0.01),"À vérifier","OK"))</f>
        <v>OK</v>
      </c>
    </row>
    <row r="88" spans="1:21">
      <c r="A88" s="12" t="s">
        <v>235</v>
      </c>
      <c r="B88" s="12" t="s">
        <v>232</v>
      </c>
      <c r="C88" s="13" t="s">
        <v>236</v>
      </c>
      <c r="D88" s="12" t="s">
        <v>31</v>
      </c>
      <c r="E88" s="10" t="s">
        <v>123</v>
      </c>
      <c r="F88" s="8">
        <f>IFERROR(SUMIF(S1_26_JUIL!$A$3:$A$113,$A88,S1_26_JUIL!$O$3:$O$113),0)</f>
        <v>0</v>
      </c>
      <c r="G88" s="8">
        <f>IFERROR(SUMIF('S2_27_JUIL-02_AOUT'!$A$3:$A$113,$A88,'S2_27_JUIL-02_AOUT'!$U$3:$U$113),0)</f>
        <v>38</v>
      </c>
      <c r="H88" s="8">
        <f>IFERROR(SUMIF('S3_03-09_AOUT'!$A$3:$A$113,$A88,'S3_03-09_AOUT'!$U$3:$U$113),0)</f>
        <v>0</v>
      </c>
      <c r="I88" s="8">
        <f>IFERROR(SUMIF('S4_10-16_AOUT'!$A$3:$A$113,$A88,'S4_10-16_AOUT'!$U$3:$U$113),0)</f>
        <v>0</v>
      </c>
      <c r="J88" s="8">
        <f>IFERROR(SUMIF('S5_17-23_AOUT'!$A$3:$A$113,$A88,'S5_17-23_AOUT'!$U$3:$U$113),0)</f>
        <v>0</v>
      </c>
      <c r="K88" s="8">
        <f>IFERROR(SUMIF('S6_24-25_AOUT'!$A$3:$A$113,$A88,'S6_24-25_AOUT'!$P$3:$P$113),0)</f>
        <v>0</v>
      </c>
      <c r="L88" s="8">
        <f t="shared" si="4"/>
        <v>38</v>
      </c>
      <c r="M88" s="8">
        <f>IFERROR(SUMIF(S1_26_JUIL!$A$3:$A$113,$A88,S1_26_JUIL!$I$3:$I$113),0)+IFERROR(SUMIF('S2_27_JUIL-02_AOUT'!$A$3:$A$113,$A88,'S2_27_JUIL-02_AOUT'!$O$3:$O$113),0)+IFERROR(SUMIF('S3_03-09_AOUT'!$A$3:$A$113,$A88,'S3_03-09_AOUT'!$O$3:$O$113),0)+IFERROR(SUMIF('S4_10-16_AOUT'!$A$3:$A$113,$A88,'S4_10-16_AOUT'!$O$3:$O$113),0)+IFERROR(SUMIF('S5_17-23_AOUT'!$A$3:$A$113,$A88,'S5_17-23_AOUT'!$O$3:$O$113),0)+IFERROR(SUMIF('S6_24-25_AOUT'!$A$3:$A$113,$A88,'S6_24-25_AOUT'!$J$3:$J$113),0)</f>
        <v>38</v>
      </c>
      <c r="N88" s="9">
        <f>IFERROR(SUMIF(S1_26_JUIL!$A$3:$A$113,$A88,S1_26_JUIL!$J$3:$J$113),0)+IFERROR(SUMIF('S2_27_JUIL-02_AOUT'!$A$3:$A$113,$A88,'S2_27_JUIL-02_AOUT'!$P$3:$P$113),0)+IFERROR(SUMIF('S3_03-09_AOUT'!$A$3:$A$113,$A88,'S3_03-09_AOUT'!$P$3:$P$113),0)+IFERROR(SUMIF('S4_10-16_AOUT'!$A$3:$A$113,$A88,'S4_10-16_AOUT'!$P$3:$P$113),0)+IFERROR(SUMIF('S5_17-23_AOUT'!$A$3:$A$113,$A88,'S5_17-23_AOUT'!$P$3:$P$113),0)+IFERROR(SUMIF('S6_24-25_AOUT'!$A$3:$A$113,$A88,'S6_24-25_AOUT'!$K$3:$K$113),0)</f>
        <v>0</v>
      </c>
      <c r="O88" s="9">
        <f>IFERROR(SUMIF(S1_26_JUIL!$A$3:$A$113,$A88,S1_26_JUIL!$K$3:$K$113),0)+IFERROR(SUMIF('S2_27_JUIL-02_AOUT'!$A$3:$A$113,$A88,'S2_27_JUIL-02_AOUT'!$Q$3:$Q$113),0)+IFERROR(SUMIF('S3_03-09_AOUT'!$A$3:$A$113,$A88,'S3_03-09_AOUT'!$Q$3:$Q$113),0)+IFERROR(SUMIF('S4_10-16_AOUT'!$A$3:$A$113,$A88,'S4_10-16_AOUT'!$Q$3:$Q$113),0)+IFERROR(SUMIF('S5_17-23_AOUT'!$A$3:$A$113,$A88,'S5_17-23_AOUT'!$Q$3:$Q$113),0)+IFERROR(SUMIF('S6_24-25_AOUT'!$A$3:$A$113,$A88,'S6_24-25_AOUT'!$L$3:$L$113),0)</f>
        <v>0</v>
      </c>
      <c r="P88" s="8">
        <f>IFERROR(SUMIF(S1_26_JUIL!$A$3:$A$113,$A88,S1_26_JUIL!$L$3:$L$113),0)+IFERROR(SUMIF('S2_27_JUIL-02_AOUT'!$A$3:$A$113,$A88,'S2_27_JUIL-02_AOUT'!$R$3:$R$113),0)+IFERROR(SUMIF('S3_03-09_AOUT'!$A$3:$A$113,$A88,'S3_03-09_AOUT'!$R$3:$R$113),0)+IFERROR(SUMIF('S4_10-16_AOUT'!$A$3:$A$113,$A88,'S4_10-16_AOUT'!$R$3:$R$113),0)+IFERROR(SUMIF('S5_17-23_AOUT'!$A$3:$A$113,$A88,'S5_17-23_AOUT'!$R$3:$R$113),0)+IFERROR(SUMIF('S6_24-25_AOUT'!$A$3:$A$113,$A88,'S6_24-25_AOUT'!$M$3:$M$113),0)</f>
        <v>1</v>
      </c>
      <c r="Q88" s="8">
        <f>IFERROR(SUMIF(S1_26_JUIL!$A$3:$A$113,$A88,S1_26_JUIL!$M$3:$M$113),0)+IFERROR(SUMIF('S2_27_JUIL-02_AOUT'!$A$3:$A$113,$A88,'S2_27_JUIL-02_AOUT'!$S$3:$S$113),0)+IFERROR(SUMIF('S3_03-09_AOUT'!$A$3:$A$113,$A88,'S3_03-09_AOUT'!$S$3:$S$113),0)+IFERROR(SUMIF('S4_10-16_AOUT'!$A$3:$A$113,$A88,'S4_10-16_AOUT'!$S$3:$S$113),0)+IFERROR(SUMIF('S5_17-23_AOUT'!$A$3:$A$113,$A88,'S5_17-23_AOUT'!$S$3:$S$113),0)+IFERROR(SUMIF('S6_24-25_AOUT'!$A$3:$A$113,$A88,'S6_24-25_AOUT'!$N$3:$N$113),0)</f>
        <v>0</v>
      </c>
      <c r="R88" s="11">
        <f>IFERROR(SUMIF(S1_26_JUIL!$A$3:$A$113,$A88,S1_26_JUIL!$N$3:$N$113),0)+IFERROR(SUMIF('S2_27_JUIL-02_AOUT'!$A$3:$A$113,$A88,'S2_27_JUIL-02_AOUT'!$T$3:$T$113),0)+IFERROR(SUMIF('S3_03-09_AOUT'!$A$3:$A$113,$A88,'S3_03-09_AOUT'!$T$3:$T$113),0)+IFERROR(SUMIF('S4_10-16_AOUT'!$A$3:$A$113,$A88,'S4_10-16_AOUT'!$T$3:$T$113),0)+IFERROR(SUMIF('S5_17-23_AOUT'!$A$3:$A$113,$A88,'S5_17-23_AOUT'!$T$3:$T$113),0)+IFERROR(SUMIF('S6_24-25_AOUT'!$A$3:$A$113,$A88,'S6_24-25_AOUT'!$O$3:$O$113),0)</f>
        <v>0</v>
      </c>
      <c r="S88" s="8">
        <f>208</f>
        <v>208</v>
      </c>
      <c r="T88" s="8">
        <f t="shared" si="5"/>
        <v>38</v>
      </c>
      <c r="U88" s="10" t="str">
        <f>IF(OR(IFERROR(INDEX(S1_26_JUIL!$P$3:$P$113,MATCH($A88,S1_26_JUIL!$A$3:$A$113,0)),"")="STC",IFERROR(INDEX('S2_27_JUIL-02_AOUT'!$V$3:$V$113,MATCH($A88,'S2_27_JUIL-02_AOUT'!$A$3:$A$113,0)),"")="STC",IFERROR(INDEX('S3_03-09_AOUT'!$V$3:$V$113,MATCH($A88,'S3_03-09_AOUT'!$A$3:$A$113,0)),"")="STC",IFERROR(INDEX('S4_10-16_AOUT'!$V$3:$V$113,MATCH($A88,'S4_10-16_AOUT'!$A$3:$A$113,0)),"")="STC",IFERROR(INDEX('S5_17-23_AOUT'!$V$3:$V$113,MATCH($A88,'S5_17-23_AOUT'!$A$3:$A$113,0)),"")="STC",IFERROR(INDEX('S6_24-25_AOUT'!$Q$3:$Q$113,MATCH($A88,'S6_24-25_AOUT'!$A$3:$A$113,0)),"")="STC"),"STC",IF(OR(IFERROR(INDEX(S1_26_JUIL!$P$3:$P$113,MATCH($A88,S1_26_JUIL!$A$3:$A$113,0)),"")="À vérifier",IFERROR(INDEX('S2_27_JUIL-02_AOUT'!$V$3:$V$113,MATCH($A88,'S2_27_JUIL-02_AOUT'!$A$3:$A$113,0)),"")="À vérifier",IFERROR(INDEX('S3_03-09_AOUT'!$V$3:$V$113,MATCH($A88,'S3_03-09_AOUT'!$A$3:$A$113,0)),"")="À vérifier",IFERROR(INDEX('S4_10-16_AOUT'!$V$3:$V$113,MATCH($A88,'S4_10-16_AOUT'!$A$3:$A$113,0)),"")="À vérifier",IFERROR(INDEX('S5_17-23_AOUT'!$V$3:$V$113,MATCH($A88,'S5_17-23_AOUT'!$A$3:$A$113,0)),"")="À vérifier",IFERROR(INDEX('S6_24-25_AOUT'!$Q$3:$Q$113,MATCH($A88,'S6_24-25_AOUT'!$A$3:$A$113,0)),"")="À vérifier",ABS(L88-T88)&gt;=0.01),"À vérifier","OK"))</f>
        <v>OK</v>
      </c>
    </row>
    <row r="89" spans="1:21">
      <c r="A89" s="12" t="s">
        <v>237</v>
      </c>
      <c r="B89" s="12" t="s">
        <v>238</v>
      </c>
      <c r="C89" s="13" t="s">
        <v>239</v>
      </c>
      <c r="D89" s="12" t="s">
        <v>31</v>
      </c>
      <c r="E89" s="10" t="s">
        <v>123</v>
      </c>
      <c r="F89" s="8">
        <f>IFERROR(SUMIF(S1_26_JUIL!$A$3:$A$113,$A89,S1_26_JUIL!$O$3:$O$113),0)</f>
        <v>0</v>
      </c>
      <c r="G89" s="8">
        <f>IFERROR(SUMIF('S2_27_JUIL-02_AOUT'!$A$3:$A$113,$A89,'S2_27_JUIL-02_AOUT'!$U$3:$U$113),0)</f>
        <v>47.5</v>
      </c>
      <c r="H89" s="8">
        <f>IFERROR(SUMIF('S3_03-09_AOUT'!$A$3:$A$113,$A89,'S3_03-09_AOUT'!$U$3:$U$113),0)</f>
        <v>0</v>
      </c>
      <c r="I89" s="8">
        <f>IFERROR(SUMIF('S4_10-16_AOUT'!$A$3:$A$113,$A89,'S4_10-16_AOUT'!$U$3:$U$113),0)</f>
        <v>0</v>
      </c>
      <c r="J89" s="8">
        <f>IFERROR(SUMIF('S5_17-23_AOUT'!$A$3:$A$113,$A89,'S5_17-23_AOUT'!$U$3:$U$113),0)</f>
        <v>0</v>
      </c>
      <c r="K89" s="8">
        <f>IFERROR(SUMIF('S6_24-25_AOUT'!$A$3:$A$113,$A89,'S6_24-25_AOUT'!$P$3:$P$113),0)</f>
        <v>0</v>
      </c>
      <c r="L89" s="8">
        <f t="shared" si="4"/>
        <v>47.5</v>
      </c>
      <c r="M89" s="8">
        <f>IFERROR(SUMIF(S1_26_JUIL!$A$3:$A$113,$A89,S1_26_JUIL!$I$3:$I$113),0)+IFERROR(SUMIF('S2_27_JUIL-02_AOUT'!$A$3:$A$113,$A89,'S2_27_JUIL-02_AOUT'!$O$3:$O$113),0)+IFERROR(SUMIF('S3_03-09_AOUT'!$A$3:$A$113,$A89,'S3_03-09_AOUT'!$O$3:$O$113),0)+IFERROR(SUMIF('S4_10-16_AOUT'!$A$3:$A$113,$A89,'S4_10-16_AOUT'!$O$3:$O$113),0)+IFERROR(SUMIF('S5_17-23_AOUT'!$A$3:$A$113,$A89,'S5_17-23_AOUT'!$O$3:$O$113),0)+IFERROR(SUMIF('S6_24-25_AOUT'!$A$3:$A$113,$A89,'S6_24-25_AOUT'!$J$3:$J$113),0)</f>
        <v>47.5</v>
      </c>
      <c r="N89" s="9">
        <f>IFERROR(SUMIF(S1_26_JUIL!$A$3:$A$113,$A89,S1_26_JUIL!$J$3:$J$113),0)+IFERROR(SUMIF('S2_27_JUIL-02_AOUT'!$A$3:$A$113,$A89,'S2_27_JUIL-02_AOUT'!$P$3:$P$113),0)+IFERROR(SUMIF('S3_03-09_AOUT'!$A$3:$A$113,$A89,'S3_03-09_AOUT'!$P$3:$P$113),0)+IFERROR(SUMIF('S4_10-16_AOUT'!$A$3:$A$113,$A89,'S4_10-16_AOUT'!$P$3:$P$113),0)+IFERROR(SUMIF('S5_17-23_AOUT'!$A$3:$A$113,$A89,'S5_17-23_AOUT'!$P$3:$P$113),0)+IFERROR(SUMIF('S6_24-25_AOUT'!$A$3:$A$113,$A89,'S6_24-25_AOUT'!$K$3:$K$113),0)</f>
        <v>0</v>
      </c>
      <c r="O89" s="9">
        <f>IFERROR(SUMIF(S1_26_JUIL!$A$3:$A$113,$A89,S1_26_JUIL!$K$3:$K$113),0)+IFERROR(SUMIF('S2_27_JUIL-02_AOUT'!$A$3:$A$113,$A89,'S2_27_JUIL-02_AOUT'!$Q$3:$Q$113),0)+IFERROR(SUMIF('S3_03-09_AOUT'!$A$3:$A$113,$A89,'S3_03-09_AOUT'!$Q$3:$Q$113),0)+IFERROR(SUMIF('S4_10-16_AOUT'!$A$3:$A$113,$A89,'S4_10-16_AOUT'!$Q$3:$Q$113),0)+IFERROR(SUMIF('S5_17-23_AOUT'!$A$3:$A$113,$A89,'S5_17-23_AOUT'!$Q$3:$Q$113),0)+IFERROR(SUMIF('S6_24-25_AOUT'!$A$3:$A$113,$A89,'S6_24-25_AOUT'!$L$3:$L$113),0)</f>
        <v>0</v>
      </c>
      <c r="P89" s="8">
        <f>IFERROR(SUMIF(S1_26_JUIL!$A$3:$A$113,$A89,S1_26_JUIL!$L$3:$L$113),0)+IFERROR(SUMIF('S2_27_JUIL-02_AOUT'!$A$3:$A$113,$A89,'S2_27_JUIL-02_AOUT'!$R$3:$R$113),0)+IFERROR(SUMIF('S3_03-09_AOUT'!$A$3:$A$113,$A89,'S3_03-09_AOUT'!$R$3:$R$113),0)+IFERROR(SUMIF('S4_10-16_AOUT'!$A$3:$A$113,$A89,'S4_10-16_AOUT'!$R$3:$R$113),0)+IFERROR(SUMIF('S5_17-23_AOUT'!$A$3:$A$113,$A89,'S5_17-23_AOUT'!$R$3:$R$113),0)+IFERROR(SUMIF('S6_24-25_AOUT'!$A$3:$A$113,$A89,'S6_24-25_AOUT'!$M$3:$M$113),0)</f>
        <v>0</v>
      </c>
      <c r="Q89" s="8">
        <f>IFERROR(SUMIF(S1_26_JUIL!$A$3:$A$113,$A89,S1_26_JUIL!$M$3:$M$113),0)+IFERROR(SUMIF('S2_27_JUIL-02_AOUT'!$A$3:$A$113,$A89,'S2_27_JUIL-02_AOUT'!$S$3:$S$113),0)+IFERROR(SUMIF('S3_03-09_AOUT'!$A$3:$A$113,$A89,'S3_03-09_AOUT'!$S$3:$S$113),0)+IFERROR(SUMIF('S4_10-16_AOUT'!$A$3:$A$113,$A89,'S4_10-16_AOUT'!$S$3:$S$113),0)+IFERROR(SUMIF('S5_17-23_AOUT'!$A$3:$A$113,$A89,'S5_17-23_AOUT'!$S$3:$S$113),0)+IFERROR(SUMIF('S6_24-25_AOUT'!$A$3:$A$113,$A89,'S6_24-25_AOUT'!$N$3:$N$113),0)</f>
        <v>0</v>
      </c>
      <c r="R89" s="11">
        <f>IFERROR(SUMIF(S1_26_JUIL!$A$3:$A$113,$A89,S1_26_JUIL!$N$3:$N$113),0)+IFERROR(SUMIF('S2_27_JUIL-02_AOUT'!$A$3:$A$113,$A89,'S2_27_JUIL-02_AOUT'!$T$3:$T$113),0)+IFERROR(SUMIF('S3_03-09_AOUT'!$A$3:$A$113,$A89,'S3_03-09_AOUT'!$T$3:$T$113),0)+IFERROR(SUMIF('S4_10-16_AOUT'!$A$3:$A$113,$A89,'S4_10-16_AOUT'!$T$3:$T$113),0)+IFERROR(SUMIF('S5_17-23_AOUT'!$A$3:$A$113,$A89,'S5_17-23_AOUT'!$T$3:$T$113),0)+IFERROR(SUMIF('S6_24-25_AOUT'!$A$3:$A$113,$A89,'S6_24-25_AOUT'!$O$3:$O$113),0)</f>
        <v>0</v>
      </c>
      <c r="S89" s="8">
        <f>208</f>
        <v>208</v>
      </c>
      <c r="T89" s="8">
        <f t="shared" si="5"/>
        <v>47.5</v>
      </c>
      <c r="U89" s="10" t="str">
        <f>IF(OR(IFERROR(INDEX(S1_26_JUIL!$P$3:$P$113,MATCH($A89,S1_26_JUIL!$A$3:$A$113,0)),"")="STC",IFERROR(INDEX('S2_27_JUIL-02_AOUT'!$V$3:$V$113,MATCH($A89,'S2_27_JUIL-02_AOUT'!$A$3:$A$113,0)),"")="STC",IFERROR(INDEX('S3_03-09_AOUT'!$V$3:$V$113,MATCH($A89,'S3_03-09_AOUT'!$A$3:$A$113,0)),"")="STC",IFERROR(INDEX('S4_10-16_AOUT'!$V$3:$V$113,MATCH($A89,'S4_10-16_AOUT'!$A$3:$A$113,0)),"")="STC",IFERROR(INDEX('S5_17-23_AOUT'!$V$3:$V$113,MATCH($A89,'S5_17-23_AOUT'!$A$3:$A$113,0)),"")="STC",IFERROR(INDEX('S6_24-25_AOUT'!$Q$3:$Q$113,MATCH($A89,'S6_24-25_AOUT'!$A$3:$A$113,0)),"")="STC"),"STC",IF(OR(IFERROR(INDEX(S1_26_JUIL!$P$3:$P$113,MATCH($A89,S1_26_JUIL!$A$3:$A$113,0)),"")="À vérifier",IFERROR(INDEX('S2_27_JUIL-02_AOUT'!$V$3:$V$113,MATCH($A89,'S2_27_JUIL-02_AOUT'!$A$3:$A$113,0)),"")="À vérifier",IFERROR(INDEX('S3_03-09_AOUT'!$V$3:$V$113,MATCH($A89,'S3_03-09_AOUT'!$A$3:$A$113,0)),"")="À vérifier",IFERROR(INDEX('S4_10-16_AOUT'!$V$3:$V$113,MATCH($A89,'S4_10-16_AOUT'!$A$3:$A$113,0)),"")="À vérifier",IFERROR(INDEX('S5_17-23_AOUT'!$V$3:$V$113,MATCH($A89,'S5_17-23_AOUT'!$A$3:$A$113,0)),"")="À vérifier",IFERROR(INDEX('S6_24-25_AOUT'!$Q$3:$Q$113,MATCH($A89,'S6_24-25_AOUT'!$A$3:$A$113,0)),"")="À vérifier",ABS(L89-T89)&gt;=0.01),"À vérifier","OK"))</f>
        <v>OK</v>
      </c>
    </row>
    <row r="90" spans="1:21">
      <c r="A90" s="12" t="s">
        <v>240</v>
      </c>
      <c r="B90" s="12" t="s">
        <v>241</v>
      </c>
      <c r="C90" s="13" t="s">
        <v>242</v>
      </c>
      <c r="D90" s="12" t="s">
        <v>31</v>
      </c>
      <c r="E90" s="10" t="s">
        <v>123</v>
      </c>
      <c r="F90" s="8">
        <f>IFERROR(SUMIF(S1_26_JUIL!$A$3:$A$113,$A90,S1_26_JUIL!$O$3:$O$113),0)</f>
        <v>0</v>
      </c>
      <c r="G90" s="8">
        <f>IFERROR(SUMIF('S2_27_JUIL-02_AOUT'!$A$3:$A$113,$A90,'S2_27_JUIL-02_AOUT'!$U$3:$U$113),0)</f>
        <v>47.5</v>
      </c>
      <c r="H90" s="8">
        <f>IFERROR(SUMIF('S3_03-09_AOUT'!$A$3:$A$113,$A90,'S3_03-09_AOUT'!$U$3:$U$113),0)</f>
        <v>0</v>
      </c>
      <c r="I90" s="8">
        <f>IFERROR(SUMIF('S4_10-16_AOUT'!$A$3:$A$113,$A90,'S4_10-16_AOUT'!$U$3:$U$113),0)</f>
        <v>0</v>
      </c>
      <c r="J90" s="8">
        <f>IFERROR(SUMIF('S5_17-23_AOUT'!$A$3:$A$113,$A90,'S5_17-23_AOUT'!$U$3:$U$113),0)</f>
        <v>0</v>
      </c>
      <c r="K90" s="8">
        <f>IFERROR(SUMIF('S6_24-25_AOUT'!$A$3:$A$113,$A90,'S6_24-25_AOUT'!$P$3:$P$113),0)</f>
        <v>0</v>
      </c>
      <c r="L90" s="8">
        <f t="shared" si="4"/>
        <v>47.5</v>
      </c>
      <c r="M90" s="8">
        <f>IFERROR(SUMIF(S1_26_JUIL!$A$3:$A$113,$A90,S1_26_JUIL!$I$3:$I$113),0)+IFERROR(SUMIF('S2_27_JUIL-02_AOUT'!$A$3:$A$113,$A90,'S2_27_JUIL-02_AOUT'!$O$3:$O$113),0)+IFERROR(SUMIF('S3_03-09_AOUT'!$A$3:$A$113,$A90,'S3_03-09_AOUT'!$O$3:$O$113),0)+IFERROR(SUMIF('S4_10-16_AOUT'!$A$3:$A$113,$A90,'S4_10-16_AOUT'!$O$3:$O$113),0)+IFERROR(SUMIF('S5_17-23_AOUT'!$A$3:$A$113,$A90,'S5_17-23_AOUT'!$O$3:$O$113),0)+IFERROR(SUMIF('S6_24-25_AOUT'!$A$3:$A$113,$A90,'S6_24-25_AOUT'!$J$3:$J$113),0)</f>
        <v>47.5</v>
      </c>
      <c r="N90" s="9">
        <f>IFERROR(SUMIF(S1_26_JUIL!$A$3:$A$113,$A90,S1_26_JUIL!$J$3:$J$113),0)+IFERROR(SUMIF('S2_27_JUIL-02_AOUT'!$A$3:$A$113,$A90,'S2_27_JUIL-02_AOUT'!$P$3:$P$113),0)+IFERROR(SUMIF('S3_03-09_AOUT'!$A$3:$A$113,$A90,'S3_03-09_AOUT'!$P$3:$P$113),0)+IFERROR(SUMIF('S4_10-16_AOUT'!$A$3:$A$113,$A90,'S4_10-16_AOUT'!$P$3:$P$113),0)+IFERROR(SUMIF('S5_17-23_AOUT'!$A$3:$A$113,$A90,'S5_17-23_AOUT'!$P$3:$P$113),0)+IFERROR(SUMIF('S6_24-25_AOUT'!$A$3:$A$113,$A90,'S6_24-25_AOUT'!$K$3:$K$113),0)</f>
        <v>0</v>
      </c>
      <c r="O90" s="9">
        <f>IFERROR(SUMIF(S1_26_JUIL!$A$3:$A$113,$A90,S1_26_JUIL!$K$3:$K$113),0)+IFERROR(SUMIF('S2_27_JUIL-02_AOUT'!$A$3:$A$113,$A90,'S2_27_JUIL-02_AOUT'!$Q$3:$Q$113),0)+IFERROR(SUMIF('S3_03-09_AOUT'!$A$3:$A$113,$A90,'S3_03-09_AOUT'!$Q$3:$Q$113),0)+IFERROR(SUMIF('S4_10-16_AOUT'!$A$3:$A$113,$A90,'S4_10-16_AOUT'!$Q$3:$Q$113),0)+IFERROR(SUMIF('S5_17-23_AOUT'!$A$3:$A$113,$A90,'S5_17-23_AOUT'!$Q$3:$Q$113),0)+IFERROR(SUMIF('S6_24-25_AOUT'!$A$3:$A$113,$A90,'S6_24-25_AOUT'!$L$3:$L$113),0)</f>
        <v>0</v>
      </c>
      <c r="P90" s="8">
        <f>IFERROR(SUMIF(S1_26_JUIL!$A$3:$A$113,$A90,S1_26_JUIL!$L$3:$L$113),0)+IFERROR(SUMIF('S2_27_JUIL-02_AOUT'!$A$3:$A$113,$A90,'S2_27_JUIL-02_AOUT'!$R$3:$R$113),0)+IFERROR(SUMIF('S3_03-09_AOUT'!$A$3:$A$113,$A90,'S3_03-09_AOUT'!$R$3:$R$113),0)+IFERROR(SUMIF('S4_10-16_AOUT'!$A$3:$A$113,$A90,'S4_10-16_AOUT'!$R$3:$R$113),0)+IFERROR(SUMIF('S5_17-23_AOUT'!$A$3:$A$113,$A90,'S5_17-23_AOUT'!$R$3:$R$113),0)+IFERROR(SUMIF('S6_24-25_AOUT'!$A$3:$A$113,$A90,'S6_24-25_AOUT'!$M$3:$M$113),0)</f>
        <v>0</v>
      </c>
      <c r="Q90" s="8">
        <f>IFERROR(SUMIF(S1_26_JUIL!$A$3:$A$113,$A90,S1_26_JUIL!$M$3:$M$113),0)+IFERROR(SUMIF('S2_27_JUIL-02_AOUT'!$A$3:$A$113,$A90,'S2_27_JUIL-02_AOUT'!$S$3:$S$113),0)+IFERROR(SUMIF('S3_03-09_AOUT'!$A$3:$A$113,$A90,'S3_03-09_AOUT'!$S$3:$S$113),0)+IFERROR(SUMIF('S4_10-16_AOUT'!$A$3:$A$113,$A90,'S4_10-16_AOUT'!$S$3:$S$113),0)+IFERROR(SUMIF('S5_17-23_AOUT'!$A$3:$A$113,$A90,'S5_17-23_AOUT'!$S$3:$S$113),0)+IFERROR(SUMIF('S6_24-25_AOUT'!$A$3:$A$113,$A90,'S6_24-25_AOUT'!$N$3:$N$113),0)</f>
        <v>0</v>
      </c>
      <c r="R90" s="11">
        <f>IFERROR(SUMIF(S1_26_JUIL!$A$3:$A$113,$A90,S1_26_JUIL!$N$3:$N$113),0)+IFERROR(SUMIF('S2_27_JUIL-02_AOUT'!$A$3:$A$113,$A90,'S2_27_JUIL-02_AOUT'!$T$3:$T$113),0)+IFERROR(SUMIF('S3_03-09_AOUT'!$A$3:$A$113,$A90,'S3_03-09_AOUT'!$T$3:$T$113),0)+IFERROR(SUMIF('S4_10-16_AOUT'!$A$3:$A$113,$A90,'S4_10-16_AOUT'!$T$3:$T$113),0)+IFERROR(SUMIF('S5_17-23_AOUT'!$A$3:$A$113,$A90,'S5_17-23_AOUT'!$T$3:$T$113),0)+IFERROR(SUMIF('S6_24-25_AOUT'!$A$3:$A$113,$A90,'S6_24-25_AOUT'!$O$3:$O$113),0)</f>
        <v>0</v>
      </c>
      <c r="S90" s="8">
        <f>208</f>
        <v>208</v>
      </c>
      <c r="T90" s="8">
        <f t="shared" si="5"/>
        <v>47.5</v>
      </c>
      <c r="U90" s="10" t="str">
        <f>IF(OR(IFERROR(INDEX(S1_26_JUIL!$P$3:$P$113,MATCH($A90,S1_26_JUIL!$A$3:$A$113,0)),"")="STC",IFERROR(INDEX('S2_27_JUIL-02_AOUT'!$V$3:$V$113,MATCH($A90,'S2_27_JUIL-02_AOUT'!$A$3:$A$113,0)),"")="STC",IFERROR(INDEX('S3_03-09_AOUT'!$V$3:$V$113,MATCH($A90,'S3_03-09_AOUT'!$A$3:$A$113,0)),"")="STC",IFERROR(INDEX('S4_10-16_AOUT'!$V$3:$V$113,MATCH($A90,'S4_10-16_AOUT'!$A$3:$A$113,0)),"")="STC",IFERROR(INDEX('S5_17-23_AOUT'!$V$3:$V$113,MATCH($A90,'S5_17-23_AOUT'!$A$3:$A$113,0)),"")="STC",IFERROR(INDEX('S6_24-25_AOUT'!$Q$3:$Q$113,MATCH($A90,'S6_24-25_AOUT'!$A$3:$A$113,0)),"")="STC"),"STC",IF(OR(IFERROR(INDEX(S1_26_JUIL!$P$3:$P$113,MATCH($A90,S1_26_JUIL!$A$3:$A$113,0)),"")="À vérifier",IFERROR(INDEX('S2_27_JUIL-02_AOUT'!$V$3:$V$113,MATCH($A90,'S2_27_JUIL-02_AOUT'!$A$3:$A$113,0)),"")="À vérifier",IFERROR(INDEX('S3_03-09_AOUT'!$V$3:$V$113,MATCH($A90,'S3_03-09_AOUT'!$A$3:$A$113,0)),"")="À vérifier",IFERROR(INDEX('S4_10-16_AOUT'!$V$3:$V$113,MATCH($A90,'S4_10-16_AOUT'!$A$3:$A$113,0)),"")="À vérifier",IFERROR(INDEX('S5_17-23_AOUT'!$V$3:$V$113,MATCH($A90,'S5_17-23_AOUT'!$A$3:$A$113,0)),"")="À vérifier",IFERROR(INDEX('S6_24-25_AOUT'!$Q$3:$Q$113,MATCH($A90,'S6_24-25_AOUT'!$A$3:$A$113,0)),"")="À vérifier",ABS(L90-T90)&gt;=0.01),"À vérifier","OK"))</f>
        <v>OK</v>
      </c>
    </row>
    <row r="91" spans="1:21">
      <c r="A91" s="12" t="s">
        <v>243</v>
      </c>
      <c r="B91" s="12" t="s">
        <v>244</v>
      </c>
      <c r="C91" s="13" t="s">
        <v>245</v>
      </c>
      <c r="D91" s="12" t="s">
        <v>31</v>
      </c>
      <c r="E91" s="10" t="s">
        <v>123</v>
      </c>
      <c r="F91" s="8">
        <f>IFERROR(SUMIF(S1_26_JUIL!$A$3:$A$113,$A91,S1_26_JUIL!$O$3:$O$113),0)</f>
        <v>0</v>
      </c>
      <c r="G91" s="8">
        <f>IFERROR(SUMIF('S2_27_JUIL-02_AOUT'!$A$3:$A$113,$A91,'S2_27_JUIL-02_AOUT'!$U$3:$U$113),0)</f>
        <v>9.5</v>
      </c>
      <c r="H91" s="8">
        <f>IFERROR(SUMIF('S3_03-09_AOUT'!$A$3:$A$113,$A91,'S3_03-09_AOUT'!$U$3:$U$113),0)</f>
        <v>0</v>
      </c>
      <c r="I91" s="8">
        <f>IFERROR(SUMIF('S4_10-16_AOUT'!$A$3:$A$113,$A91,'S4_10-16_AOUT'!$U$3:$U$113),0)</f>
        <v>0</v>
      </c>
      <c r="J91" s="8">
        <f>IFERROR(SUMIF('S5_17-23_AOUT'!$A$3:$A$113,$A91,'S5_17-23_AOUT'!$U$3:$U$113),0)</f>
        <v>0</v>
      </c>
      <c r="K91" s="8">
        <f>IFERROR(SUMIF('S6_24-25_AOUT'!$A$3:$A$113,$A91,'S6_24-25_AOUT'!$P$3:$P$113),0)</f>
        <v>0</v>
      </c>
      <c r="L91" s="8">
        <f t="shared" si="4"/>
        <v>9.5</v>
      </c>
      <c r="M91" s="8">
        <f>IFERROR(SUMIF(S1_26_JUIL!$A$3:$A$113,$A91,S1_26_JUIL!$I$3:$I$113),0)+IFERROR(SUMIF('S2_27_JUIL-02_AOUT'!$A$3:$A$113,$A91,'S2_27_JUIL-02_AOUT'!$O$3:$O$113),0)+IFERROR(SUMIF('S3_03-09_AOUT'!$A$3:$A$113,$A91,'S3_03-09_AOUT'!$O$3:$O$113),0)+IFERROR(SUMIF('S4_10-16_AOUT'!$A$3:$A$113,$A91,'S4_10-16_AOUT'!$O$3:$O$113),0)+IFERROR(SUMIF('S5_17-23_AOUT'!$A$3:$A$113,$A91,'S5_17-23_AOUT'!$O$3:$O$113),0)+IFERROR(SUMIF('S6_24-25_AOUT'!$A$3:$A$113,$A91,'S6_24-25_AOUT'!$J$3:$J$113),0)</f>
        <v>9.5</v>
      </c>
      <c r="N91" s="9">
        <f>IFERROR(SUMIF(S1_26_JUIL!$A$3:$A$113,$A91,S1_26_JUIL!$J$3:$J$113),0)+IFERROR(SUMIF('S2_27_JUIL-02_AOUT'!$A$3:$A$113,$A91,'S2_27_JUIL-02_AOUT'!$P$3:$P$113),0)+IFERROR(SUMIF('S3_03-09_AOUT'!$A$3:$A$113,$A91,'S3_03-09_AOUT'!$P$3:$P$113),0)+IFERROR(SUMIF('S4_10-16_AOUT'!$A$3:$A$113,$A91,'S4_10-16_AOUT'!$P$3:$P$113),0)+IFERROR(SUMIF('S5_17-23_AOUT'!$A$3:$A$113,$A91,'S5_17-23_AOUT'!$P$3:$P$113),0)+IFERROR(SUMIF('S6_24-25_AOUT'!$A$3:$A$113,$A91,'S6_24-25_AOUT'!$K$3:$K$113),0)</f>
        <v>0</v>
      </c>
      <c r="O91" s="9">
        <f>IFERROR(SUMIF(S1_26_JUIL!$A$3:$A$113,$A91,S1_26_JUIL!$K$3:$K$113),0)+IFERROR(SUMIF('S2_27_JUIL-02_AOUT'!$A$3:$A$113,$A91,'S2_27_JUIL-02_AOUT'!$Q$3:$Q$113),0)+IFERROR(SUMIF('S3_03-09_AOUT'!$A$3:$A$113,$A91,'S3_03-09_AOUT'!$Q$3:$Q$113),0)+IFERROR(SUMIF('S4_10-16_AOUT'!$A$3:$A$113,$A91,'S4_10-16_AOUT'!$Q$3:$Q$113),0)+IFERROR(SUMIF('S5_17-23_AOUT'!$A$3:$A$113,$A91,'S5_17-23_AOUT'!$Q$3:$Q$113),0)+IFERROR(SUMIF('S6_24-25_AOUT'!$A$3:$A$113,$A91,'S6_24-25_AOUT'!$L$3:$L$113),0)</f>
        <v>0</v>
      </c>
      <c r="P91" s="8">
        <f>IFERROR(SUMIF(S1_26_JUIL!$A$3:$A$113,$A91,S1_26_JUIL!$L$3:$L$113),0)+IFERROR(SUMIF('S2_27_JUIL-02_AOUT'!$A$3:$A$113,$A91,'S2_27_JUIL-02_AOUT'!$R$3:$R$113),0)+IFERROR(SUMIF('S3_03-09_AOUT'!$A$3:$A$113,$A91,'S3_03-09_AOUT'!$R$3:$R$113),0)+IFERROR(SUMIF('S4_10-16_AOUT'!$A$3:$A$113,$A91,'S4_10-16_AOUT'!$R$3:$R$113),0)+IFERROR(SUMIF('S5_17-23_AOUT'!$A$3:$A$113,$A91,'S5_17-23_AOUT'!$R$3:$R$113),0)+IFERROR(SUMIF('S6_24-25_AOUT'!$A$3:$A$113,$A91,'S6_24-25_AOUT'!$M$3:$M$113),0)</f>
        <v>0</v>
      </c>
      <c r="Q91" s="8">
        <f>IFERROR(SUMIF(S1_26_JUIL!$A$3:$A$113,$A91,S1_26_JUIL!$M$3:$M$113),0)+IFERROR(SUMIF('S2_27_JUIL-02_AOUT'!$A$3:$A$113,$A91,'S2_27_JUIL-02_AOUT'!$S$3:$S$113),0)+IFERROR(SUMIF('S3_03-09_AOUT'!$A$3:$A$113,$A91,'S3_03-09_AOUT'!$S$3:$S$113),0)+IFERROR(SUMIF('S4_10-16_AOUT'!$A$3:$A$113,$A91,'S4_10-16_AOUT'!$S$3:$S$113),0)+IFERROR(SUMIF('S5_17-23_AOUT'!$A$3:$A$113,$A91,'S5_17-23_AOUT'!$S$3:$S$113),0)+IFERROR(SUMIF('S6_24-25_AOUT'!$A$3:$A$113,$A91,'S6_24-25_AOUT'!$N$3:$N$113),0)</f>
        <v>0</v>
      </c>
      <c r="R91" s="11">
        <f>IFERROR(SUMIF(S1_26_JUIL!$A$3:$A$113,$A91,S1_26_JUIL!$N$3:$N$113),0)+IFERROR(SUMIF('S2_27_JUIL-02_AOUT'!$A$3:$A$113,$A91,'S2_27_JUIL-02_AOUT'!$T$3:$T$113),0)+IFERROR(SUMIF('S3_03-09_AOUT'!$A$3:$A$113,$A91,'S3_03-09_AOUT'!$T$3:$T$113),0)+IFERROR(SUMIF('S4_10-16_AOUT'!$A$3:$A$113,$A91,'S4_10-16_AOUT'!$T$3:$T$113),0)+IFERROR(SUMIF('S5_17-23_AOUT'!$A$3:$A$113,$A91,'S5_17-23_AOUT'!$T$3:$T$113),0)+IFERROR(SUMIF('S6_24-25_AOUT'!$A$3:$A$113,$A91,'S6_24-25_AOUT'!$O$3:$O$113),0)</f>
        <v>0</v>
      </c>
      <c r="S91" s="8">
        <f>208</f>
        <v>208</v>
      </c>
      <c r="T91" s="8">
        <f t="shared" si="5"/>
        <v>9.5</v>
      </c>
      <c r="U91" s="10" t="str">
        <f>IF(OR(IFERROR(INDEX(S1_26_JUIL!$P$3:$P$113,MATCH($A91,S1_26_JUIL!$A$3:$A$113,0)),"")="STC",IFERROR(INDEX('S2_27_JUIL-02_AOUT'!$V$3:$V$113,MATCH($A91,'S2_27_JUIL-02_AOUT'!$A$3:$A$113,0)),"")="STC",IFERROR(INDEX('S3_03-09_AOUT'!$V$3:$V$113,MATCH($A91,'S3_03-09_AOUT'!$A$3:$A$113,0)),"")="STC",IFERROR(INDEX('S4_10-16_AOUT'!$V$3:$V$113,MATCH($A91,'S4_10-16_AOUT'!$A$3:$A$113,0)),"")="STC",IFERROR(INDEX('S5_17-23_AOUT'!$V$3:$V$113,MATCH($A91,'S5_17-23_AOUT'!$A$3:$A$113,0)),"")="STC",IFERROR(INDEX('S6_24-25_AOUT'!$Q$3:$Q$113,MATCH($A91,'S6_24-25_AOUT'!$A$3:$A$113,0)),"")="STC"),"STC",IF(OR(IFERROR(INDEX(S1_26_JUIL!$P$3:$P$113,MATCH($A91,S1_26_JUIL!$A$3:$A$113,0)),"")="À vérifier",IFERROR(INDEX('S2_27_JUIL-02_AOUT'!$V$3:$V$113,MATCH($A91,'S2_27_JUIL-02_AOUT'!$A$3:$A$113,0)),"")="À vérifier",IFERROR(INDEX('S3_03-09_AOUT'!$V$3:$V$113,MATCH($A91,'S3_03-09_AOUT'!$A$3:$A$113,0)),"")="À vérifier",IFERROR(INDEX('S4_10-16_AOUT'!$V$3:$V$113,MATCH($A91,'S4_10-16_AOUT'!$A$3:$A$113,0)),"")="À vérifier",IFERROR(INDEX('S5_17-23_AOUT'!$V$3:$V$113,MATCH($A91,'S5_17-23_AOUT'!$A$3:$A$113,0)),"")="À vérifier",IFERROR(INDEX('S6_24-25_AOUT'!$Q$3:$Q$113,MATCH($A91,'S6_24-25_AOUT'!$A$3:$A$113,0)),"")="À vérifier",ABS(L91-T91)&gt;=0.01),"À vérifier","OK"))</f>
        <v>STC</v>
      </c>
    </row>
    <row r="92" spans="1:21">
      <c r="A92" s="12" t="s">
        <v>246</v>
      </c>
      <c r="B92" s="12" t="s">
        <v>247</v>
      </c>
      <c r="C92" s="13" t="s">
        <v>248</v>
      </c>
      <c r="D92" s="12" t="s">
        <v>31</v>
      </c>
      <c r="E92" s="10" t="s">
        <v>123</v>
      </c>
      <c r="F92" s="8">
        <f>IFERROR(SUMIF(S1_26_JUIL!$A$3:$A$113,$A92,S1_26_JUIL!$O$3:$O$113),0)</f>
        <v>0</v>
      </c>
      <c r="G92" s="8">
        <f>IFERROR(SUMIF('S2_27_JUIL-02_AOUT'!$A$3:$A$113,$A92,'S2_27_JUIL-02_AOUT'!$U$3:$U$113),0)</f>
        <v>47.5</v>
      </c>
      <c r="H92" s="8">
        <f>IFERROR(SUMIF('S3_03-09_AOUT'!$A$3:$A$113,$A92,'S3_03-09_AOUT'!$U$3:$U$113),0)</f>
        <v>0</v>
      </c>
      <c r="I92" s="8">
        <f>IFERROR(SUMIF('S4_10-16_AOUT'!$A$3:$A$113,$A92,'S4_10-16_AOUT'!$U$3:$U$113),0)</f>
        <v>0</v>
      </c>
      <c r="J92" s="8">
        <f>IFERROR(SUMIF('S5_17-23_AOUT'!$A$3:$A$113,$A92,'S5_17-23_AOUT'!$U$3:$U$113),0)</f>
        <v>0</v>
      </c>
      <c r="K92" s="8">
        <f>IFERROR(SUMIF('S6_24-25_AOUT'!$A$3:$A$113,$A92,'S6_24-25_AOUT'!$P$3:$P$113),0)</f>
        <v>0</v>
      </c>
      <c r="L92" s="8">
        <f t="shared" si="4"/>
        <v>47.5</v>
      </c>
      <c r="M92" s="8">
        <f>IFERROR(SUMIF(S1_26_JUIL!$A$3:$A$113,$A92,S1_26_JUIL!$I$3:$I$113),0)+IFERROR(SUMIF('S2_27_JUIL-02_AOUT'!$A$3:$A$113,$A92,'S2_27_JUIL-02_AOUT'!$O$3:$O$113),0)+IFERROR(SUMIF('S3_03-09_AOUT'!$A$3:$A$113,$A92,'S3_03-09_AOUT'!$O$3:$O$113),0)+IFERROR(SUMIF('S4_10-16_AOUT'!$A$3:$A$113,$A92,'S4_10-16_AOUT'!$O$3:$O$113),0)+IFERROR(SUMIF('S5_17-23_AOUT'!$A$3:$A$113,$A92,'S5_17-23_AOUT'!$O$3:$O$113),0)+IFERROR(SUMIF('S6_24-25_AOUT'!$A$3:$A$113,$A92,'S6_24-25_AOUT'!$J$3:$J$113),0)</f>
        <v>47.5</v>
      </c>
      <c r="N92" s="9">
        <f>IFERROR(SUMIF(S1_26_JUIL!$A$3:$A$113,$A92,S1_26_JUIL!$J$3:$J$113),0)+IFERROR(SUMIF('S2_27_JUIL-02_AOUT'!$A$3:$A$113,$A92,'S2_27_JUIL-02_AOUT'!$P$3:$P$113),0)+IFERROR(SUMIF('S3_03-09_AOUT'!$A$3:$A$113,$A92,'S3_03-09_AOUT'!$P$3:$P$113),0)+IFERROR(SUMIF('S4_10-16_AOUT'!$A$3:$A$113,$A92,'S4_10-16_AOUT'!$P$3:$P$113),0)+IFERROR(SUMIF('S5_17-23_AOUT'!$A$3:$A$113,$A92,'S5_17-23_AOUT'!$P$3:$P$113),0)+IFERROR(SUMIF('S6_24-25_AOUT'!$A$3:$A$113,$A92,'S6_24-25_AOUT'!$K$3:$K$113),0)</f>
        <v>0</v>
      </c>
      <c r="O92" s="9">
        <f>IFERROR(SUMIF(S1_26_JUIL!$A$3:$A$113,$A92,S1_26_JUIL!$K$3:$K$113),0)+IFERROR(SUMIF('S2_27_JUIL-02_AOUT'!$A$3:$A$113,$A92,'S2_27_JUIL-02_AOUT'!$Q$3:$Q$113),0)+IFERROR(SUMIF('S3_03-09_AOUT'!$A$3:$A$113,$A92,'S3_03-09_AOUT'!$Q$3:$Q$113),0)+IFERROR(SUMIF('S4_10-16_AOUT'!$A$3:$A$113,$A92,'S4_10-16_AOUT'!$Q$3:$Q$113),0)+IFERROR(SUMIF('S5_17-23_AOUT'!$A$3:$A$113,$A92,'S5_17-23_AOUT'!$Q$3:$Q$113),0)+IFERROR(SUMIF('S6_24-25_AOUT'!$A$3:$A$113,$A92,'S6_24-25_AOUT'!$L$3:$L$113),0)</f>
        <v>0</v>
      </c>
      <c r="P92" s="8">
        <f>IFERROR(SUMIF(S1_26_JUIL!$A$3:$A$113,$A92,S1_26_JUIL!$L$3:$L$113),0)+IFERROR(SUMIF('S2_27_JUIL-02_AOUT'!$A$3:$A$113,$A92,'S2_27_JUIL-02_AOUT'!$R$3:$R$113),0)+IFERROR(SUMIF('S3_03-09_AOUT'!$A$3:$A$113,$A92,'S3_03-09_AOUT'!$R$3:$R$113),0)+IFERROR(SUMIF('S4_10-16_AOUT'!$A$3:$A$113,$A92,'S4_10-16_AOUT'!$R$3:$R$113),0)+IFERROR(SUMIF('S5_17-23_AOUT'!$A$3:$A$113,$A92,'S5_17-23_AOUT'!$R$3:$R$113),0)+IFERROR(SUMIF('S6_24-25_AOUT'!$A$3:$A$113,$A92,'S6_24-25_AOUT'!$M$3:$M$113),0)</f>
        <v>0</v>
      </c>
      <c r="Q92" s="8">
        <f>IFERROR(SUMIF(S1_26_JUIL!$A$3:$A$113,$A92,S1_26_JUIL!$M$3:$M$113),0)+IFERROR(SUMIF('S2_27_JUIL-02_AOUT'!$A$3:$A$113,$A92,'S2_27_JUIL-02_AOUT'!$S$3:$S$113),0)+IFERROR(SUMIF('S3_03-09_AOUT'!$A$3:$A$113,$A92,'S3_03-09_AOUT'!$S$3:$S$113),0)+IFERROR(SUMIF('S4_10-16_AOUT'!$A$3:$A$113,$A92,'S4_10-16_AOUT'!$S$3:$S$113),0)+IFERROR(SUMIF('S5_17-23_AOUT'!$A$3:$A$113,$A92,'S5_17-23_AOUT'!$S$3:$S$113),0)+IFERROR(SUMIF('S6_24-25_AOUT'!$A$3:$A$113,$A92,'S6_24-25_AOUT'!$N$3:$N$113),0)</f>
        <v>0</v>
      </c>
      <c r="R92" s="11">
        <f>IFERROR(SUMIF(S1_26_JUIL!$A$3:$A$113,$A92,S1_26_JUIL!$N$3:$N$113),0)+IFERROR(SUMIF('S2_27_JUIL-02_AOUT'!$A$3:$A$113,$A92,'S2_27_JUIL-02_AOUT'!$T$3:$T$113),0)+IFERROR(SUMIF('S3_03-09_AOUT'!$A$3:$A$113,$A92,'S3_03-09_AOUT'!$T$3:$T$113),0)+IFERROR(SUMIF('S4_10-16_AOUT'!$A$3:$A$113,$A92,'S4_10-16_AOUT'!$T$3:$T$113),0)+IFERROR(SUMIF('S5_17-23_AOUT'!$A$3:$A$113,$A92,'S5_17-23_AOUT'!$T$3:$T$113),0)+IFERROR(SUMIF('S6_24-25_AOUT'!$A$3:$A$113,$A92,'S6_24-25_AOUT'!$O$3:$O$113),0)</f>
        <v>0</v>
      </c>
      <c r="S92" s="8">
        <f>208</f>
        <v>208</v>
      </c>
      <c r="T92" s="8">
        <f t="shared" si="5"/>
        <v>47.5</v>
      </c>
      <c r="U92" s="10" t="str">
        <f>IF(OR(IFERROR(INDEX(S1_26_JUIL!$P$3:$P$113,MATCH($A92,S1_26_JUIL!$A$3:$A$113,0)),"")="STC",IFERROR(INDEX('S2_27_JUIL-02_AOUT'!$V$3:$V$113,MATCH($A92,'S2_27_JUIL-02_AOUT'!$A$3:$A$113,0)),"")="STC",IFERROR(INDEX('S3_03-09_AOUT'!$V$3:$V$113,MATCH($A92,'S3_03-09_AOUT'!$A$3:$A$113,0)),"")="STC",IFERROR(INDEX('S4_10-16_AOUT'!$V$3:$V$113,MATCH($A92,'S4_10-16_AOUT'!$A$3:$A$113,0)),"")="STC",IFERROR(INDEX('S5_17-23_AOUT'!$V$3:$V$113,MATCH($A92,'S5_17-23_AOUT'!$A$3:$A$113,0)),"")="STC",IFERROR(INDEX('S6_24-25_AOUT'!$Q$3:$Q$113,MATCH($A92,'S6_24-25_AOUT'!$A$3:$A$113,0)),"")="STC"),"STC",IF(OR(IFERROR(INDEX(S1_26_JUIL!$P$3:$P$113,MATCH($A92,S1_26_JUIL!$A$3:$A$113,0)),"")="À vérifier",IFERROR(INDEX('S2_27_JUIL-02_AOUT'!$V$3:$V$113,MATCH($A92,'S2_27_JUIL-02_AOUT'!$A$3:$A$113,0)),"")="À vérifier",IFERROR(INDEX('S3_03-09_AOUT'!$V$3:$V$113,MATCH($A92,'S3_03-09_AOUT'!$A$3:$A$113,0)),"")="À vérifier",IFERROR(INDEX('S4_10-16_AOUT'!$V$3:$V$113,MATCH($A92,'S4_10-16_AOUT'!$A$3:$A$113,0)),"")="À vérifier",IFERROR(INDEX('S5_17-23_AOUT'!$V$3:$V$113,MATCH($A92,'S5_17-23_AOUT'!$A$3:$A$113,0)),"")="À vérifier",IFERROR(INDEX('S6_24-25_AOUT'!$Q$3:$Q$113,MATCH($A92,'S6_24-25_AOUT'!$A$3:$A$113,0)),"")="À vérifier",ABS(L92-T92)&gt;=0.01),"À vérifier","OK"))</f>
        <v>OK</v>
      </c>
    </row>
    <row r="93" spans="1:21">
      <c r="A93" s="12" t="s">
        <v>249</v>
      </c>
      <c r="B93" s="12" t="s">
        <v>250</v>
      </c>
      <c r="C93" s="13" t="s">
        <v>251</v>
      </c>
      <c r="D93" s="12" t="s">
        <v>31</v>
      </c>
      <c r="E93" s="10" t="s">
        <v>123</v>
      </c>
      <c r="F93" s="8">
        <f>IFERROR(SUMIF(S1_26_JUIL!$A$3:$A$113,$A93,S1_26_JUIL!$O$3:$O$113),0)</f>
        <v>0</v>
      </c>
      <c r="G93" s="8">
        <f>IFERROR(SUMIF('S2_27_JUIL-02_AOUT'!$A$3:$A$113,$A93,'S2_27_JUIL-02_AOUT'!$U$3:$U$113),0)</f>
        <v>35.999999999999993</v>
      </c>
      <c r="H93" s="8">
        <f>IFERROR(SUMIF('S3_03-09_AOUT'!$A$3:$A$113,$A93,'S3_03-09_AOUT'!$U$3:$U$113),0)</f>
        <v>0</v>
      </c>
      <c r="I93" s="8">
        <f>IFERROR(SUMIF('S4_10-16_AOUT'!$A$3:$A$113,$A93,'S4_10-16_AOUT'!$U$3:$U$113),0)</f>
        <v>0</v>
      </c>
      <c r="J93" s="8">
        <f>IFERROR(SUMIF('S5_17-23_AOUT'!$A$3:$A$113,$A93,'S5_17-23_AOUT'!$U$3:$U$113),0)</f>
        <v>0</v>
      </c>
      <c r="K93" s="8">
        <f>IFERROR(SUMIF('S6_24-25_AOUT'!$A$3:$A$113,$A93,'S6_24-25_AOUT'!$P$3:$P$113),0)</f>
        <v>0</v>
      </c>
      <c r="L93" s="8">
        <f t="shared" si="4"/>
        <v>35.999999999999993</v>
      </c>
      <c r="M93" s="8">
        <f>IFERROR(SUMIF(S1_26_JUIL!$A$3:$A$113,$A93,S1_26_JUIL!$I$3:$I$113),0)+IFERROR(SUMIF('S2_27_JUIL-02_AOUT'!$A$3:$A$113,$A93,'S2_27_JUIL-02_AOUT'!$O$3:$O$113),0)+IFERROR(SUMIF('S3_03-09_AOUT'!$A$3:$A$113,$A93,'S3_03-09_AOUT'!$O$3:$O$113),0)+IFERROR(SUMIF('S4_10-16_AOUT'!$A$3:$A$113,$A93,'S4_10-16_AOUT'!$O$3:$O$113),0)+IFERROR(SUMIF('S5_17-23_AOUT'!$A$3:$A$113,$A93,'S5_17-23_AOUT'!$O$3:$O$113),0)+IFERROR(SUMIF('S6_24-25_AOUT'!$A$3:$A$113,$A93,'S6_24-25_AOUT'!$J$3:$J$113),0)</f>
        <v>35.999999999999993</v>
      </c>
      <c r="N93" s="9">
        <f>IFERROR(SUMIF(S1_26_JUIL!$A$3:$A$113,$A93,S1_26_JUIL!$J$3:$J$113),0)+IFERROR(SUMIF('S2_27_JUIL-02_AOUT'!$A$3:$A$113,$A93,'S2_27_JUIL-02_AOUT'!$P$3:$P$113),0)+IFERROR(SUMIF('S3_03-09_AOUT'!$A$3:$A$113,$A93,'S3_03-09_AOUT'!$P$3:$P$113),0)+IFERROR(SUMIF('S4_10-16_AOUT'!$A$3:$A$113,$A93,'S4_10-16_AOUT'!$P$3:$P$113),0)+IFERROR(SUMIF('S5_17-23_AOUT'!$A$3:$A$113,$A93,'S5_17-23_AOUT'!$P$3:$P$113),0)+IFERROR(SUMIF('S6_24-25_AOUT'!$A$3:$A$113,$A93,'S6_24-25_AOUT'!$K$3:$K$113),0)</f>
        <v>0</v>
      </c>
      <c r="O93" s="9">
        <f>IFERROR(SUMIF(S1_26_JUIL!$A$3:$A$113,$A93,S1_26_JUIL!$K$3:$K$113),0)+IFERROR(SUMIF('S2_27_JUIL-02_AOUT'!$A$3:$A$113,$A93,'S2_27_JUIL-02_AOUT'!$Q$3:$Q$113),0)+IFERROR(SUMIF('S3_03-09_AOUT'!$A$3:$A$113,$A93,'S3_03-09_AOUT'!$Q$3:$Q$113),0)+IFERROR(SUMIF('S4_10-16_AOUT'!$A$3:$A$113,$A93,'S4_10-16_AOUT'!$Q$3:$Q$113),0)+IFERROR(SUMIF('S5_17-23_AOUT'!$A$3:$A$113,$A93,'S5_17-23_AOUT'!$Q$3:$Q$113),0)+IFERROR(SUMIF('S6_24-25_AOUT'!$A$3:$A$113,$A93,'S6_24-25_AOUT'!$L$3:$L$113),0)</f>
        <v>0</v>
      </c>
      <c r="P93" s="8">
        <f>IFERROR(SUMIF(S1_26_JUIL!$A$3:$A$113,$A93,S1_26_JUIL!$L$3:$L$113),0)+IFERROR(SUMIF('S2_27_JUIL-02_AOUT'!$A$3:$A$113,$A93,'S2_27_JUIL-02_AOUT'!$R$3:$R$113),0)+IFERROR(SUMIF('S3_03-09_AOUT'!$A$3:$A$113,$A93,'S3_03-09_AOUT'!$R$3:$R$113),0)+IFERROR(SUMIF('S4_10-16_AOUT'!$A$3:$A$113,$A93,'S4_10-16_AOUT'!$R$3:$R$113),0)+IFERROR(SUMIF('S5_17-23_AOUT'!$A$3:$A$113,$A93,'S5_17-23_AOUT'!$R$3:$R$113),0)+IFERROR(SUMIF('S6_24-25_AOUT'!$A$3:$A$113,$A93,'S6_24-25_AOUT'!$M$3:$M$113),0)</f>
        <v>1</v>
      </c>
      <c r="Q93" s="8">
        <f>IFERROR(SUMIF(S1_26_JUIL!$A$3:$A$113,$A93,S1_26_JUIL!$M$3:$M$113),0)+IFERROR(SUMIF('S2_27_JUIL-02_AOUT'!$A$3:$A$113,$A93,'S2_27_JUIL-02_AOUT'!$S$3:$S$113),0)+IFERROR(SUMIF('S3_03-09_AOUT'!$A$3:$A$113,$A93,'S3_03-09_AOUT'!$S$3:$S$113),0)+IFERROR(SUMIF('S4_10-16_AOUT'!$A$3:$A$113,$A93,'S4_10-16_AOUT'!$S$3:$S$113),0)+IFERROR(SUMIF('S5_17-23_AOUT'!$A$3:$A$113,$A93,'S5_17-23_AOUT'!$S$3:$S$113),0)+IFERROR(SUMIF('S6_24-25_AOUT'!$A$3:$A$113,$A93,'S6_24-25_AOUT'!$N$3:$N$113),0)</f>
        <v>0</v>
      </c>
      <c r="R93" s="11">
        <f>IFERROR(SUMIF(S1_26_JUIL!$A$3:$A$113,$A93,S1_26_JUIL!$N$3:$N$113),0)+IFERROR(SUMIF('S2_27_JUIL-02_AOUT'!$A$3:$A$113,$A93,'S2_27_JUIL-02_AOUT'!$T$3:$T$113),0)+IFERROR(SUMIF('S3_03-09_AOUT'!$A$3:$A$113,$A93,'S3_03-09_AOUT'!$T$3:$T$113),0)+IFERROR(SUMIF('S4_10-16_AOUT'!$A$3:$A$113,$A93,'S4_10-16_AOUT'!$T$3:$T$113),0)+IFERROR(SUMIF('S5_17-23_AOUT'!$A$3:$A$113,$A93,'S5_17-23_AOUT'!$T$3:$T$113),0)+IFERROR(SUMIF('S6_24-25_AOUT'!$A$3:$A$113,$A93,'S6_24-25_AOUT'!$O$3:$O$113),0)</f>
        <v>0</v>
      </c>
      <c r="S93" s="8">
        <f>208</f>
        <v>208</v>
      </c>
      <c r="T93" s="8">
        <f t="shared" si="5"/>
        <v>35.999999999999993</v>
      </c>
      <c r="U93" s="10" t="str">
        <f>IF(OR(IFERROR(INDEX(S1_26_JUIL!$P$3:$P$113,MATCH($A93,S1_26_JUIL!$A$3:$A$113,0)),"")="STC",IFERROR(INDEX('S2_27_JUIL-02_AOUT'!$V$3:$V$113,MATCH($A93,'S2_27_JUIL-02_AOUT'!$A$3:$A$113,0)),"")="STC",IFERROR(INDEX('S3_03-09_AOUT'!$V$3:$V$113,MATCH($A93,'S3_03-09_AOUT'!$A$3:$A$113,0)),"")="STC",IFERROR(INDEX('S4_10-16_AOUT'!$V$3:$V$113,MATCH($A93,'S4_10-16_AOUT'!$A$3:$A$113,0)),"")="STC",IFERROR(INDEX('S5_17-23_AOUT'!$V$3:$V$113,MATCH($A93,'S5_17-23_AOUT'!$A$3:$A$113,0)),"")="STC",IFERROR(INDEX('S6_24-25_AOUT'!$Q$3:$Q$113,MATCH($A93,'S6_24-25_AOUT'!$A$3:$A$113,0)),"")="STC"),"STC",IF(OR(IFERROR(INDEX(S1_26_JUIL!$P$3:$P$113,MATCH($A93,S1_26_JUIL!$A$3:$A$113,0)),"")="À vérifier",IFERROR(INDEX('S2_27_JUIL-02_AOUT'!$V$3:$V$113,MATCH($A93,'S2_27_JUIL-02_AOUT'!$A$3:$A$113,0)),"")="À vérifier",IFERROR(INDEX('S3_03-09_AOUT'!$V$3:$V$113,MATCH($A93,'S3_03-09_AOUT'!$A$3:$A$113,0)),"")="À vérifier",IFERROR(INDEX('S4_10-16_AOUT'!$V$3:$V$113,MATCH($A93,'S4_10-16_AOUT'!$A$3:$A$113,0)),"")="À vérifier",IFERROR(INDEX('S5_17-23_AOUT'!$V$3:$V$113,MATCH($A93,'S5_17-23_AOUT'!$A$3:$A$113,0)),"")="À vérifier",IFERROR(INDEX('S6_24-25_AOUT'!$Q$3:$Q$113,MATCH($A93,'S6_24-25_AOUT'!$A$3:$A$113,0)),"")="À vérifier",ABS(L93-T93)&gt;=0.01),"À vérifier","OK"))</f>
        <v>OK</v>
      </c>
    </row>
    <row r="94" spans="1:21">
      <c r="A94" s="12" t="s">
        <v>252</v>
      </c>
      <c r="B94" s="12" t="s">
        <v>253</v>
      </c>
      <c r="C94" s="13" t="s">
        <v>254</v>
      </c>
      <c r="D94" s="12" t="s">
        <v>31</v>
      </c>
      <c r="E94" s="10" t="s">
        <v>123</v>
      </c>
      <c r="F94" s="8">
        <f>IFERROR(SUMIF(S1_26_JUIL!$A$3:$A$113,$A94,S1_26_JUIL!$O$3:$O$113),0)</f>
        <v>0</v>
      </c>
      <c r="G94" s="8">
        <f>IFERROR(SUMIF('S2_27_JUIL-02_AOUT'!$A$3:$A$113,$A94,'S2_27_JUIL-02_AOUT'!$U$3:$U$113),0)</f>
        <v>35.999999999999993</v>
      </c>
      <c r="H94" s="8">
        <f>IFERROR(SUMIF('S3_03-09_AOUT'!$A$3:$A$113,$A94,'S3_03-09_AOUT'!$U$3:$U$113),0)</f>
        <v>0</v>
      </c>
      <c r="I94" s="8">
        <f>IFERROR(SUMIF('S4_10-16_AOUT'!$A$3:$A$113,$A94,'S4_10-16_AOUT'!$U$3:$U$113),0)</f>
        <v>0</v>
      </c>
      <c r="J94" s="8">
        <f>IFERROR(SUMIF('S5_17-23_AOUT'!$A$3:$A$113,$A94,'S5_17-23_AOUT'!$U$3:$U$113),0)</f>
        <v>0</v>
      </c>
      <c r="K94" s="8">
        <f>IFERROR(SUMIF('S6_24-25_AOUT'!$A$3:$A$113,$A94,'S6_24-25_AOUT'!$P$3:$P$113),0)</f>
        <v>0</v>
      </c>
      <c r="L94" s="8">
        <f t="shared" si="4"/>
        <v>35.999999999999993</v>
      </c>
      <c r="M94" s="8">
        <f>IFERROR(SUMIF(S1_26_JUIL!$A$3:$A$113,$A94,S1_26_JUIL!$I$3:$I$113),0)+IFERROR(SUMIF('S2_27_JUIL-02_AOUT'!$A$3:$A$113,$A94,'S2_27_JUIL-02_AOUT'!$O$3:$O$113),0)+IFERROR(SUMIF('S3_03-09_AOUT'!$A$3:$A$113,$A94,'S3_03-09_AOUT'!$O$3:$O$113),0)+IFERROR(SUMIF('S4_10-16_AOUT'!$A$3:$A$113,$A94,'S4_10-16_AOUT'!$O$3:$O$113),0)+IFERROR(SUMIF('S5_17-23_AOUT'!$A$3:$A$113,$A94,'S5_17-23_AOUT'!$O$3:$O$113),0)+IFERROR(SUMIF('S6_24-25_AOUT'!$A$3:$A$113,$A94,'S6_24-25_AOUT'!$J$3:$J$113),0)</f>
        <v>35.999999999999993</v>
      </c>
      <c r="N94" s="9">
        <f>IFERROR(SUMIF(S1_26_JUIL!$A$3:$A$113,$A94,S1_26_JUIL!$J$3:$J$113),0)+IFERROR(SUMIF('S2_27_JUIL-02_AOUT'!$A$3:$A$113,$A94,'S2_27_JUIL-02_AOUT'!$P$3:$P$113),0)+IFERROR(SUMIF('S3_03-09_AOUT'!$A$3:$A$113,$A94,'S3_03-09_AOUT'!$P$3:$P$113),0)+IFERROR(SUMIF('S4_10-16_AOUT'!$A$3:$A$113,$A94,'S4_10-16_AOUT'!$P$3:$P$113),0)+IFERROR(SUMIF('S5_17-23_AOUT'!$A$3:$A$113,$A94,'S5_17-23_AOUT'!$P$3:$P$113),0)+IFERROR(SUMIF('S6_24-25_AOUT'!$A$3:$A$113,$A94,'S6_24-25_AOUT'!$K$3:$K$113),0)</f>
        <v>0</v>
      </c>
      <c r="O94" s="9">
        <f>IFERROR(SUMIF(S1_26_JUIL!$A$3:$A$113,$A94,S1_26_JUIL!$K$3:$K$113),0)+IFERROR(SUMIF('S2_27_JUIL-02_AOUT'!$A$3:$A$113,$A94,'S2_27_JUIL-02_AOUT'!$Q$3:$Q$113),0)+IFERROR(SUMIF('S3_03-09_AOUT'!$A$3:$A$113,$A94,'S3_03-09_AOUT'!$Q$3:$Q$113),0)+IFERROR(SUMIF('S4_10-16_AOUT'!$A$3:$A$113,$A94,'S4_10-16_AOUT'!$Q$3:$Q$113),0)+IFERROR(SUMIF('S5_17-23_AOUT'!$A$3:$A$113,$A94,'S5_17-23_AOUT'!$Q$3:$Q$113),0)+IFERROR(SUMIF('S6_24-25_AOUT'!$A$3:$A$113,$A94,'S6_24-25_AOUT'!$L$3:$L$113),0)</f>
        <v>0</v>
      </c>
      <c r="P94" s="8">
        <f>IFERROR(SUMIF(S1_26_JUIL!$A$3:$A$113,$A94,S1_26_JUIL!$L$3:$L$113),0)+IFERROR(SUMIF('S2_27_JUIL-02_AOUT'!$A$3:$A$113,$A94,'S2_27_JUIL-02_AOUT'!$R$3:$R$113),0)+IFERROR(SUMIF('S3_03-09_AOUT'!$A$3:$A$113,$A94,'S3_03-09_AOUT'!$R$3:$R$113),0)+IFERROR(SUMIF('S4_10-16_AOUT'!$A$3:$A$113,$A94,'S4_10-16_AOUT'!$R$3:$R$113),0)+IFERROR(SUMIF('S5_17-23_AOUT'!$A$3:$A$113,$A94,'S5_17-23_AOUT'!$R$3:$R$113),0)+IFERROR(SUMIF('S6_24-25_AOUT'!$A$3:$A$113,$A94,'S6_24-25_AOUT'!$M$3:$M$113),0)</f>
        <v>1</v>
      </c>
      <c r="Q94" s="8">
        <f>IFERROR(SUMIF(S1_26_JUIL!$A$3:$A$113,$A94,S1_26_JUIL!$M$3:$M$113),0)+IFERROR(SUMIF('S2_27_JUIL-02_AOUT'!$A$3:$A$113,$A94,'S2_27_JUIL-02_AOUT'!$S$3:$S$113),0)+IFERROR(SUMIF('S3_03-09_AOUT'!$A$3:$A$113,$A94,'S3_03-09_AOUT'!$S$3:$S$113),0)+IFERROR(SUMIF('S4_10-16_AOUT'!$A$3:$A$113,$A94,'S4_10-16_AOUT'!$S$3:$S$113),0)+IFERROR(SUMIF('S5_17-23_AOUT'!$A$3:$A$113,$A94,'S5_17-23_AOUT'!$S$3:$S$113),0)+IFERROR(SUMIF('S6_24-25_AOUT'!$A$3:$A$113,$A94,'S6_24-25_AOUT'!$N$3:$N$113),0)</f>
        <v>0</v>
      </c>
      <c r="R94" s="11">
        <f>IFERROR(SUMIF(S1_26_JUIL!$A$3:$A$113,$A94,S1_26_JUIL!$N$3:$N$113),0)+IFERROR(SUMIF('S2_27_JUIL-02_AOUT'!$A$3:$A$113,$A94,'S2_27_JUIL-02_AOUT'!$T$3:$T$113),0)+IFERROR(SUMIF('S3_03-09_AOUT'!$A$3:$A$113,$A94,'S3_03-09_AOUT'!$T$3:$T$113),0)+IFERROR(SUMIF('S4_10-16_AOUT'!$A$3:$A$113,$A94,'S4_10-16_AOUT'!$T$3:$T$113),0)+IFERROR(SUMIF('S5_17-23_AOUT'!$A$3:$A$113,$A94,'S5_17-23_AOUT'!$T$3:$T$113),0)+IFERROR(SUMIF('S6_24-25_AOUT'!$A$3:$A$113,$A94,'S6_24-25_AOUT'!$O$3:$O$113),0)</f>
        <v>0</v>
      </c>
      <c r="S94" s="8">
        <f>208</f>
        <v>208</v>
      </c>
      <c r="T94" s="8">
        <f t="shared" si="5"/>
        <v>35.999999999999993</v>
      </c>
      <c r="U94" s="10" t="str">
        <f>IF(OR(IFERROR(INDEX(S1_26_JUIL!$P$3:$P$113,MATCH($A94,S1_26_JUIL!$A$3:$A$113,0)),"")="STC",IFERROR(INDEX('S2_27_JUIL-02_AOUT'!$V$3:$V$113,MATCH($A94,'S2_27_JUIL-02_AOUT'!$A$3:$A$113,0)),"")="STC",IFERROR(INDEX('S3_03-09_AOUT'!$V$3:$V$113,MATCH($A94,'S3_03-09_AOUT'!$A$3:$A$113,0)),"")="STC",IFERROR(INDEX('S4_10-16_AOUT'!$V$3:$V$113,MATCH($A94,'S4_10-16_AOUT'!$A$3:$A$113,0)),"")="STC",IFERROR(INDEX('S5_17-23_AOUT'!$V$3:$V$113,MATCH($A94,'S5_17-23_AOUT'!$A$3:$A$113,0)),"")="STC",IFERROR(INDEX('S6_24-25_AOUT'!$Q$3:$Q$113,MATCH($A94,'S6_24-25_AOUT'!$A$3:$A$113,0)),"")="STC"),"STC",IF(OR(IFERROR(INDEX(S1_26_JUIL!$P$3:$P$113,MATCH($A94,S1_26_JUIL!$A$3:$A$113,0)),"")="À vérifier",IFERROR(INDEX('S2_27_JUIL-02_AOUT'!$V$3:$V$113,MATCH($A94,'S2_27_JUIL-02_AOUT'!$A$3:$A$113,0)),"")="À vérifier",IFERROR(INDEX('S3_03-09_AOUT'!$V$3:$V$113,MATCH($A94,'S3_03-09_AOUT'!$A$3:$A$113,0)),"")="À vérifier",IFERROR(INDEX('S4_10-16_AOUT'!$V$3:$V$113,MATCH($A94,'S4_10-16_AOUT'!$A$3:$A$113,0)),"")="À vérifier",IFERROR(INDEX('S5_17-23_AOUT'!$V$3:$V$113,MATCH($A94,'S5_17-23_AOUT'!$A$3:$A$113,0)),"")="À vérifier",IFERROR(INDEX('S6_24-25_AOUT'!$Q$3:$Q$113,MATCH($A94,'S6_24-25_AOUT'!$A$3:$A$113,0)),"")="À vérifier",ABS(L94-T94)&gt;=0.01),"À vérifier","OK"))</f>
        <v>OK</v>
      </c>
    </row>
    <row r="95" spans="1:21">
      <c r="A95" s="12" t="s">
        <v>255</v>
      </c>
      <c r="B95" s="12" t="s">
        <v>256</v>
      </c>
      <c r="C95" s="13" t="s">
        <v>257</v>
      </c>
      <c r="D95" s="12" t="s">
        <v>31</v>
      </c>
      <c r="E95" s="10" t="s">
        <v>123</v>
      </c>
      <c r="F95" s="8">
        <f>IFERROR(SUMIF(S1_26_JUIL!$A$3:$A$113,$A95,S1_26_JUIL!$O$3:$O$113),0)</f>
        <v>0</v>
      </c>
      <c r="G95" s="8">
        <f>IFERROR(SUMIF('S2_27_JUIL-02_AOUT'!$A$3:$A$113,$A95,'S2_27_JUIL-02_AOUT'!$U$3:$U$113),0)</f>
        <v>47.5</v>
      </c>
      <c r="H95" s="8">
        <f>IFERROR(SUMIF('S3_03-09_AOUT'!$A$3:$A$113,$A95,'S3_03-09_AOUT'!$U$3:$U$113),0)</f>
        <v>0</v>
      </c>
      <c r="I95" s="8">
        <f>IFERROR(SUMIF('S4_10-16_AOUT'!$A$3:$A$113,$A95,'S4_10-16_AOUT'!$U$3:$U$113),0)</f>
        <v>0</v>
      </c>
      <c r="J95" s="8">
        <f>IFERROR(SUMIF('S5_17-23_AOUT'!$A$3:$A$113,$A95,'S5_17-23_AOUT'!$U$3:$U$113),0)</f>
        <v>0</v>
      </c>
      <c r="K95" s="8">
        <f>IFERROR(SUMIF('S6_24-25_AOUT'!$A$3:$A$113,$A95,'S6_24-25_AOUT'!$P$3:$P$113),0)</f>
        <v>0</v>
      </c>
      <c r="L95" s="8">
        <f t="shared" si="4"/>
        <v>47.5</v>
      </c>
      <c r="M95" s="8">
        <f>IFERROR(SUMIF(S1_26_JUIL!$A$3:$A$113,$A95,S1_26_JUIL!$I$3:$I$113),0)+IFERROR(SUMIF('S2_27_JUIL-02_AOUT'!$A$3:$A$113,$A95,'S2_27_JUIL-02_AOUT'!$O$3:$O$113),0)+IFERROR(SUMIF('S3_03-09_AOUT'!$A$3:$A$113,$A95,'S3_03-09_AOUT'!$O$3:$O$113),0)+IFERROR(SUMIF('S4_10-16_AOUT'!$A$3:$A$113,$A95,'S4_10-16_AOUT'!$O$3:$O$113),0)+IFERROR(SUMIF('S5_17-23_AOUT'!$A$3:$A$113,$A95,'S5_17-23_AOUT'!$O$3:$O$113),0)+IFERROR(SUMIF('S6_24-25_AOUT'!$A$3:$A$113,$A95,'S6_24-25_AOUT'!$J$3:$J$113),0)</f>
        <v>47.5</v>
      </c>
      <c r="N95" s="9">
        <f>IFERROR(SUMIF(S1_26_JUIL!$A$3:$A$113,$A95,S1_26_JUIL!$J$3:$J$113),0)+IFERROR(SUMIF('S2_27_JUIL-02_AOUT'!$A$3:$A$113,$A95,'S2_27_JUIL-02_AOUT'!$P$3:$P$113),0)+IFERROR(SUMIF('S3_03-09_AOUT'!$A$3:$A$113,$A95,'S3_03-09_AOUT'!$P$3:$P$113),0)+IFERROR(SUMIF('S4_10-16_AOUT'!$A$3:$A$113,$A95,'S4_10-16_AOUT'!$P$3:$P$113),0)+IFERROR(SUMIF('S5_17-23_AOUT'!$A$3:$A$113,$A95,'S5_17-23_AOUT'!$P$3:$P$113),0)+IFERROR(SUMIF('S6_24-25_AOUT'!$A$3:$A$113,$A95,'S6_24-25_AOUT'!$K$3:$K$113),0)</f>
        <v>0</v>
      </c>
      <c r="O95" s="9">
        <f>IFERROR(SUMIF(S1_26_JUIL!$A$3:$A$113,$A95,S1_26_JUIL!$K$3:$K$113),0)+IFERROR(SUMIF('S2_27_JUIL-02_AOUT'!$A$3:$A$113,$A95,'S2_27_JUIL-02_AOUT'!$Q$3:$Q$113),0)+IFERROR(SUMIF('S3_03-09_AOUT'!$A$3:$A$113,$A95,'S3_03-09_AOUT'!$Q$3:$Q$113),0)+IFERROR(SUMIF('S4_10-16_AOUT'!$A$3:$A$113,$A95,'S4_10-16_AOUT'!$Q$3:$Q$113),0)+IFERROR(SUMIF('S5_17-23_AOUT'!$A$3:$A$113,$A95,'S5_17-23_AOUT'!$Q$3:$Q$113),0)+IFERROR(SUMIF('S6_24-25_AOUT'!$A$3:$A$113,$A95,'S6_24-25_AOUT'!$L$3:$L$113),0)</f>
        <v>0</v>
      </c>
      <c r="P95" s="8">
        <f>IFERROR(SUMIF(S1_26_JUIL!$A$3:$A$113,$A95,S1_26_JUIL!$L$3:$L$113),0)+IFERROR(SUMIF('S2_27_JUIL-02_AOUT'!$A$3:$A$113,$A95,'S2_27_JUIL-02_AOUT'!$R$3:$R$113),0)+IFERROR(SUMIF('S3_03-09_AOUT'!$A$3:$A$113,$A95,'S3_03-09_AOUT'!$R$3:$R$113),0)+IFERROR(SUMIF('S4_10-16_AOUT'!$A$3:$A$113,$A95,'S4_10-16_AOUT'!$R$3:$R$113),0)+IFERROR(SUMIF('S5_17-23_AOUT'!$A$3:$A$113,$A95,'S5_17-23_AOUT'!$R$3:$R$113),0)+IFERROR(SUMIF('S6_24-25_AOUT'!$A$3:$A$113,$A95,'S6_24-25_AOUT'!$M$3:$M$113),0)</f>
        <v>0</v>
      </c>
      <c r="Q95" s="8">
        <f>IFERROR(SUMIF(S1_26_JUIL!$A$3:$A$113,$A95,S1_26_JUIL!$M$3:$M$113),0)+IFERROR(SUMIF('S2_27_JUIL-02_AOUT'!$A$3:$A$113,$A95,'S2_27_JUIL-02_AOUT'!$S$3:$S$113),0)+IFERROR(SUMIF('S3_03-09_AOUT'!$A$3:$A$113,$A95,'S3_03-09_AOUT'!$S$3:$S$113),0)+IFERROR(SUMIF('S4_10-16_AOUT'!$A$3:$A$113,$A95,'S4_10-16_AOUT'!$S$3:$S$113),0)+IFERROR(SUMIF('S5_17-23_AOUT'!$A$3:$A$113,$A95,'S5_17-23_AOUT'!$S$3:$S$113),0)+IFERROR(SUMIF('S6_24-25_AOUT'!$A$3:$A$113,$A95,'S6_24-25_AOUT'!$N$3:$N$113),0)</f>
        <v>0</v>
      </c>
      <c r="R95" s="11">
        <f>IFERROR(SUMIF(S1_26_JUIL!$A$3:$A$113,$A95,S1_26_JUIL!$N$3:$N$113),0)+IFERROR(SUMIF('S2_27_JUIL-02_AOUT'!$A$3:$A$113,$A95,'S2_27_JUIL-02_AOUT'!$T$3:$T$113),0)+IFERROR(SUMIF('S3_03-09_AOUT'!$A$3:$A$113,$A95,'S3_03-09_AOUT'!$T$3:$T$113),0)+IFERROR(SUMIF('S4_10-16_AOUT'!$A$3:$A$113,$A95,'S4_10-16_AOUT'!$T$3:$T$113),0)+IFERROR(SUMIF('S5_17-23_AOUT'!$A$3:$A$113,$A95,'S5_17-23_AOUT'!$T$3:$T$113),0)+IFERROR(SUMIF('S6_24-25_AOUT'!$A$3:$A$113,$A95,'S6_24-25_AOUT'!$O$3:$O$113),0)</f>
        <v>0</v>
      </c>
      <c r="S95" s="8">
        <f>208</f>
        <v>208</v>
      </c>
      <c r="T95" s="8">
        <f t="shared" si="5"/>
        <v>47.5</v>
      </c>
      <c r="U95" s="10" t="str">
        <f>IF(OR(IFERROR(INDEX(S1_26_JUIL!$P$3:$P$113,MATCH($A95,S1_26_JUIL!$A$3:$A$113,0)),"")="STC",IFERROR(INDEX('S2_27_JUIL-02_AOUT'!$V$3:$V$113,MATCH($A95,'S2_27_JUIL-02_AOUT'!$A$3:$A$113,0)),"")="STC",IFERROR(INDEX('S3_03-09_AOUT'!$V$3:$V$113,MATCH($A95,'S3_03-09_AOUT'!$A$3:$A$113,0)),"")="STC",IFERROR(INDEX('S4_10-16_AOUT'!$V$3:$V$113,MATCH($A95,'S4_10-16_AOUT'!$A$3:$A$113,0)),"")="STC",IFERROR(INDEX('S5_17-23_AOUT'!$V$3:$V$113,MATCH($A95,'S5_17-23_AOUT'!$A$3:$A$113,0)),"")="STC",IFERROR(INDEX('S6_24-25_AOUT'!$Q$3:$Q$113,MATCH($A95,'S6_24-25_AOUT'!$A$3:$A$113,0)),"")="STC"),"STC",IF(OR(IFERROR(INDEX(S1_26_JUIL!$P$3:$P$113,MATCH($A95,S1_26_JUIL!$A$3:$A$113,0)),"")="À vérifier",IFERROR(INDEX('S2_27_JUIL-02_AOUT'!$V$3:$V$113,MATCH($A95,'S2_27_JUIL-02_AOUT'!$A$3:$A$113,0)),"")="À vérifier",IFERROR(INDEX('S3_03-09_AOUT'!$V$3:$V$113,MATCH($A95,'S3_03-09_AOUT'!$A$3:$A$113,0)),"")="À vérifier",IFERROR(INDEX('S4_10-16_AOUT'!$V$3:$V$113,MATCH($A95,'S4_10-16_AOUT'!$A$3:$A$113,0)),"")="À vérifier",IFERROR(INDEX('S5_17-23_AOUT'!$V$3:$V$113,MATCH($A95,'S5_17-23_AOUT'!$A$3:$A$113,0)),"")="À vérifier",IFERROR(INDEX('S6_24-25_AOUT'!$Q$3:$Q$113,MATCH($A95,'S6_24-25_AOUT'!$A$3:$A$113,0)),"")="À vérifier",ABS(L95-T95)&gt;=0.01),"À vérifier","OK"))</f>
        <v>OK</v>
      </c>
    </row>
    <row r="96" spans="1:21">
      <c r="A96" s="12">
        <v>247</v>
      </c>
      <c r="B96" s="12" t="s">
        <v>258</v>
      </c>
      <c r="C96" s="13" t="s">
        <v>259</v>
      </c>
      <c r="D96" s="12" t="s">
        <v>31</v>
      </c>
      <c r="E96" s="10" t="s">
        <v>123</v>
      </c>
      <c r="F96" s="8">
        <f>IFERROR(SUMIF(S1_26_JUIL!$A$3:$A$113,$A96,S1_26_JUIL!$O$3:$O$113),0)</f>
        <v>0</v>
      </c>
      <c r="G96" s="8">
        <f>IFERROR(SUMIF('S2_27_JUIL-02_AOUT'!$A$3:$A$113,$A96,'S2_27_JUIL-02_AOUT'!$U$3:$U$113),0)</f>
        <v>47.5</v>
      </c>
      <c r="H96" s="8">
        <f>IFERROR(SUMIF('S3_03-09_AOUT'!$A$3:$A$113,$A96,'S3_03-09_AOUT'!$U$3:$U$113),0)</f>
        <v>0</v>
      </c>
      <c r="I96" s="8">
        <f>IFERROR(SUMIF('S4_10-16_AOUT'!$A$3:$A$113,$A96,'S4_10-16_AOUT'!$U$3:$U$113),0)</f>
        <v>0</v>
      </c>
      <c r="J96" s="8">
        <f>IFERROR(SUMIF('S5_17-23_AOUT'!$A$3:$A$113,$A96,'S5_17-23_AOUT'!$U$3:$U$113),0)</f>
        <v>0</v>
      </c>
      <c r="K96" s="8">
        <f>IFERROR(SUMIF('S6_24-25_AOUT'!$A$3:$A$113,$A96,'S6_24-25_AOUT'!$P$3:$P$113),0)</f>
        <v>0</v>
      </c>
      <c r="L96" s="8">
        <f t="shared" si="4"/>
        <v>47.5</v>
      </c>
      <c r="M96" s="8">
        <f>IFERROR(SUMIF(S1_26_JUIL!$A$3:$A$113,$A96,S1_26_JUIL!$I$3:$I$113),0)+IFERROR(SUMIF('S2_27_JUIL-02_AOUT'!$A$3:$A$113,$A96,'S2_27_JUIL-02_AOUT'!$O$3:$O$113),0)+IFERROR(SUMIF('S3_03-09_AOUT'!$A$3:$A$113,$A96,'S3_03-09_AOUT'!$O$3:$O$113),0)+IFERROR(SUMIF('S4_10-16_AOUT'!$A$3:$A$113,$A96,'S4_10-16_AOUT'!$O$3:$O$113),0)+IFERROR(SUMIF('S5_17-23_AOUT'!$A$3:$A$113,$A96,'S5_17-23_AOUT'!$O$3:$O$113),0)+IFERROR(SUMIF('S6_24-25_AOUT'!$A$3:$A$113,$A96,'S6_24-25_AOUT'!$J$3:$J$113),0)</f>
        <v>47.5</v>
      </c>
      <c r="N96" s="9">
        <f>IFERROR(SUMIF(S1_26_JUIL!$A$3:$A$113,$A96,S1_26_JUIL!$J$3:$J$113),0)+IFERROR(SUMIF('S2_27_JUIL-02_AOUT'!$A$3:$A$113,$A96,'S2_27_JUIL-02_AOUT'!$P$3:$P$113),0)+IFERROR(SUMIF('S3_03-09_AOUT'!$A$3:$A$113,$A96,'S3_03-09_AOUT'!$P$3:$P$113),0)+IFERROR(SUMIF('S4_10-16_AOUT'!$A$3:$A$113,$A96,'S4_10-16_AOUT'!$P$3:$P$113),0)+IFERROR(SUMIF('S5_17-23_AOUT'!$A$3:$A$113,$A96,'S5_17-23_AOUT'!$P$3:$P$113),0)+IFERROR(SUMIF('S6_24-25_AOUT'!$A$3:$A$113,$A96,'S6_24-25_AOUT'!$K$3:$K$113),0)</f>
        <v>0</v>
      </c>
      <c r="O96" s="9">
        <f>IFERROR(SUMIF(S1_26_JUIL!$A$3:$A$113,$A96,S1_26_JUIL!$K$3:$K$113),0)+IFERROR(SUMIF('S2_27_JUIL-02_AOUT'!$A$3:$A$113,$A96,'S2_27_JUIL-02_AOUT'!$Q$3:$Q$113),0)+IFERROR(SUMIF('S3_03-09_AOUT'!$A$3:$A$113,$A96,'S3_03-09_AOUT'!$Q$3:$Q$113),0)+IFERROR(SUMIF('S4_10-16_AOUT'!$A$3:$A$113,$A96,'S4_10-16_AOUT'!$Q$3:$Q$113),0)+IFERROR(SUMIF('S5_17-23_AOUT'!$A$3:$A$113,$A96,'S5_17-23_AOUT'!$Q$3:$Q$113),0)+IFERROR(SUMIF('S6_24-25_AOUT'!$A$3:$A$113,$A96,'S6_24-25_AOUT'!$L$3:$L$113),0)</f>
        <v>0</v>
      </c>
      <c r="P96" s="8">
        <f>IFERROR(SUMIF(S1_26_JUIL!$A$3:$A$113,$A96,S1_26_JUIL!$L$3:$L$113),0)+IFERROR(SUMIF('S2_27_JUIL-02_AOUT'!$A$3:$A$113,$A96,'S2_27_JUIL-02_AOUT'!$R$3:$R$113),0)+IFERROR(SUMIF('S3_03-09_AOUT'!$A$3:$A$113,$A96,'S3_03-09_AOUT'!$R$3:$R$113),0)+IFERROR(SUMIF('S4_10-16_AOUT'!$A$3:$A$113,$A96,'S4_10-16_AOUT'!$R$3:$R$113),0)+IFERROR(SUMIF('S5_17-23_AOUT'!$A$3:$A$113,$A96,'S5_17-23_AOUT'!$R$3:$R$113),0)+IFERROR(SUMIF('S6_24-25_AOUT'!$A$3:$A$113,$A96,'S6_24-25_AOUT'!$M$3:$M$113),0)</f>
        <v>0</v>
      </c>
      <c r="Q96" s="8">
        <f>IFERROR(SUMIF(S1_26_JUIL!$A$3:$A$113,$A96,S1_26_JUIL!$M$3:$M$113),0)+IFERROR(SUMIF('S2_27_JUIL-02_AOUT'!$A$3:$A$113,$A96,'S2_27_JUIL-02_AOUT'!$S$3:$S$113),0)+IFERROR(SUMIF('S3_03-09_AOUT'!$A$3:$A$113,$A96,'S3_03-09_AOUT'!$S$3:$S$113),0)+IFERROR(SUMIF('S4_10-16_AOUT'!$A$3:$A$113,$A96,'S4_10-16_AOUT'!$S$3:$S$113),0)+IFERROR(SUMIF('S5_17-23_AOUT'!$A$3:$A$113,$A96,'S5_17-23_AOUT'!$S$3:$S$113),0)+IFERROR(SUMIF('S6_24-25_AOUT'!$A$3:$A$113,$A96,'S6_24-25_AOUT'!$N$3:$N$113),0)</f>
        <v>0</v>
      </c>
      <c r="R96" s="11">
        <f>IFERROR(SUMIF(S1_26_JUIL!$A$3:$A$113,$A96,S1_26_JUIL!$N$3:$N$113),0)+IFERROR(SUMIF('S2_27_JUIL-02_AOUT'!$A$3:$A$113,$A96,'S2_27_JUIL-02_AOUT'!$T$3:$T$113),0)+IFERROR(SUMIF('S3_03-09_AOUT'!$A$3:$A$113,$A96,'S3_03-09_AOUT'!$T$3:$T$113),0)+IFERROR(SUMIF('S4_10-16_AOUT'!$A$3:$A$113,$A96,'S4_10-16_AOUT'!$T$3:$T$113),0)+IFERROR(SUMIF('S5_17-23_AOUT'!$A$3:$A$113,$A96,'S5_17-23_AOUT'!$T$3:$T$113),0)+IFERROR(SUMIF('S6_24-25_AOUT'!$A$3:$A$113,$A96,'S6_24-25_AOUT'!$O$3:$O$113),0)</f>
        <v>0</v>
      </c>
      <c r="S96" s="8">
        <f>208</f>
        <v>208</v>
      </c>
      <c r="T96" s="8">
        <f t="shared" si="5"/>
        <v>47.5</v>
      </c>
      <c r="U96" s="10" t="str">
        <f>IF(OR(IFERROR(INDEX(S1_26_JUIL!$P$3:$P$113,MATCH($A96,S1_26_JUIL!$A$3:$A$113,0)),"")="STC",IFERROR(INDEX('S2_27_JUIL-02_AOUT'!$V$3:$V$113,MATCH($A96,'S2_27_JUIL-02_AOUT'!$A$3:$A$113,0)),"")="STC",IFERROR(INDEX('S3_03-09_AOUT'!$V$3:$V$113,MATCH($A96,'S3_03-09_AOUT'!$A$3:$A$113,0)),"")="STC",IFERROR(INDEX('S4_10-16_AOUT'!$V$3:$V$113,MATCH($A96,'S4_10-16_AOUT'!$A$3:$A$113,0)),"")="STC",IFERROR(INDEX('S5_17-23_AOUT'!$V$3:$V$113,MATCH($A96,'S5_17-23_AOUT'!$A$3:$A$113,0)),"")="STC",IFERROR(INDEX('S6_24-25_AOUT'!$Q$3:$Q$113,MATCH($A96,'S6_24-25_AOUT'!$A$3:$A$113,0)),"")="STC"),"STC",IF(OR(IFERROR(INDEX(S1_26_JUIL!$P$3:$P$113,MATCH($A96,S1_26_JUIL!$A$3:$A$113,0)),"")="À vérifier",IFERROR(INDEX('S2_27_JUIL-02_AOUT'!$V$3:$V$113,MATCH($A96,'S2_27_JUIL-02_AOUT'!$A$3:$A$113,0)),"")="À vérifier",IFERROR(INDEX('S3_03-09_AOUT'!$V$3:$V$113,MATCH($A96,'S3_03-09_AOUT'!$A$3:$A$113,0)),"")="À vérifier",IFERROR(INDEX('S4_10-16_AOUT'!$V$3:$V$113,MATCH($A96,'S4_10-16_AOUT'!$A$3:$A$113,0)),"")="À vérifier",IFERROR(INDEX('S5_17-23_AOUT'!$V$3:$V$113,MATCH($A96,'S5_17-23_AOUT'!$A$3:$A$113,0)),"")="À vérifier",IFERROR(INDEX('S6_24-25_AOUT'!$Q$3:$Q$113,MATCH($A96,'S6_24-25_AOUT'!$A$3:$A$113,0)),"")="À vérifier",ABS(L96-T96)&gt;=0.01),"À vérifier","OK"))</f>
        <v>OK</v>
      </c>
    </row>
    <row r="97" spans="1:21">
      <c r="A97" s="12" t="s">
        <v>260</v>
      </c>
      <c r="B97" s="12" t="s">
        <v>261</v>
      </c>
      <c r="C97" s="13" t="s">
        <v>188</v>
      </c>
      <c r="D97" s="12" t="s">
        <v>31</v>
      </c>
      <c r="E97" s="10" t="s">
        <v>123</v>
      </c>
      <c r="F97" s="8">
        <f>IFERROR(SUMIF(S1_26_JUIL!$A$3:$A$113,$A97,S1_26_JUIL!$O$3:$O$113),0)</f>
        <v>0</v>
      </c>
      <c r="G97" s="8">
        <f>IFERROR(SUMIF('S2_27_JUIL-02_AOUT'!$A$3:$A$113,$A97,'S2_27_JUIL-02_AOUT'!$U$3:$U$113),0)</f>
        <v>35.999999999999993</v>
      </c>
      <c r="H97" s="8">
        <f>IFERROR(SUMIF('S3_03-09_AOUT'!$A$3:$A$113,$A97,'S3_03-09_AOUT'!$U$3:$U$113),0)</f>
        <v>0</v>
      </c>
      <c r="I97" s="8">
        <f>IFERROR(SUMIF('S4_10-16_AOUT'!$A$3:$A$113,$A97,'S4_10-16_AOUT'!$U$3:$U$113),0)</f>
        <v>0</v>
      </c>
      <c r="J97" s="8">
        <f>IFERROR(SUMIF('S5_17-23_AOUT'!$A$3:$A$113,$A97,'S5_17-23_AOUT'!$U$3:$U$113),0)</f>
        <v>0</v>
      </c>
      <c r="K97" s="8">
        <f>IFERROR(SUMIF('S6_24-25_AOUT'!$A$3:$A$113,$A97,'S6_24-25_AOUT'!$P$3:$P$113),0)</f>
        <v>0</v>
      </c>
      <c r="L97" s="8">
        <f t="shared" si="4"/>
        <v>35.999999999999993</v>
      </c>
      <c r="M97" s="8">
        <f>IFERROR(SUMIF(S1_26_JUIL!$A$3:$A$113,$A97,S1_26_JUIL!$I$3:$I$113),0)+IFERROR(SUMIF('S2_27_JUIL-02_AOUT'!$A$3:$A$113,$A97,'S2_27_JUIL-02_AOUT'!$O$3:$O$113),0)+IFERROR(SUMIF('S3_03-09_AOUT'!$A$3:$A$113,$A97,'S3_03-09_AOUT'!$O$3:$O$113),0)+IFERROR(SUMIF('S4_10-16_AOUT'!$A$3:$A$113,$A97,'S4_10-16_AOUT'!$O$3:$O$113),0)+IFERROR(SUMIF('S5_17-23_AOUT'!$A$3:$A$113,$A97,'S5_17-23_AOUT'!$O$3:$O$113),0)+IFERROR(SUMIF('S6_24-25_AOUT'!$A$3:$A$113,$A97,'S6_24-25_AOUT'!$J$3:$J$113),0)</f>
        <v>35.999999999999993</v>
      </c>
      <c r="N97" s="9">
        <f>IFERROR(SUMIF(S1_26_JUIL!$A$3:$A$113,$A97,S1_26_JUIL!$J$3:$J$113),0)+IFERROR(SUMIF('S2_27_JUIL-02_AOUT'!$A$3:$A$113,$A97,'S2_27_JUIL-02_AOUT'!$P$3:$P$113),0)+IFERROR(SUMIF('S3_03-09_AOUT'!$A$3:$A$113,$A97,'S3_03-09_AOUT'!$P$3:$P$113),0)+IFERROR(SUMIF('S4_10-16_AOUT'!$A$3:$A$113,$A97,'S4_10-16_AOUT'!$P$3:$P$113),0)+IFERROR(SUMIF('S5_17-23_AOUT'!$A$3:$A$113,$A97,'S5_17-23_AOUT'!$P$3:$P$113),0)+IFERROR(SUMIF('S6_24-25_AOUT'!$A$3:$A$113,$A97,'S6_24-25_AOUT'!$K$3:$K$113),0)</f>
        <v>0</v>
      </c>
      <c r="O97" s="9">
        <f>IFERROR(SUMIF(S1_26_JUIL!$A$3:$A$113,$A97,S1_26_JUIL!$K$3:$K$113),0)+IFERROR(SUMIF('S2_27_JUIL-02_AOUT'!$A$3:$A$113,$A97,'S2_27_JUIL-02_AOUT'!$Q$3:$Q$113),0)+IFERROR(SUMIF('S3_03-09_AOUT'!$A$3:$A$113,$A97,'S3_03-09_AOUT'!$Q$3:$Q$113),0)+IFERROR(SUMIF('S4_10-16_AOUT'!$A$3:$A$113,$A97,'S4_10-16_AOUT'!$Q$3:$Q$113),0)+IFERROR(SUMIF('S5_17-23_AOUT'!$A$3:$A$113,$A97,'S5_17-23_AOUT'!$Q$3:$Q$113),0)+IFERROR(SUMIF('S6_24-25_AOUT'!$A$3:$A$113,$A97,'S6_24-25_AOUT'!$L$3:$L$113),0)</f>
        <v>0</v>
      </c>
      <c r="P97" s="8">
        <f>IFERROR(SUMIF(S1_26_JUIL!$A$3:$A$113,$A97,S1_26_JUIL!$L$3:$L$113),0)+IFERROR(SUMIF('S2_27_JUIL-02_AOUT'!$A$3:$A$113,$A97,'S2_27_JUIL-02_AOUT'!$R$3:$R$113),0)+IFERROR(SUMIF('S3_03-09_AOUT'!$A$3:$A$113,$A97,'S3_03-09_AOUT'!$R$3:$R$113),0)+IFERROR(SUMIF('S4_10-16_AOUT'!$A$3:$A$113,$A97,'S4_10-16_AOUT'!$R$3:$R$113),0)+IFERROR(SUMIF('S5_17-23_AOUT'!$A$3:$A$113,$A97,'S5_17-23_AOUT'!$R$3:$R$113),0)+IFERROR(SUMIF('S6_24-25_AOUT'!$A$3:$A$113,$A97,'S6_24-25_AOUT'!$M$3:$M$113),0)</f>
        <v>1</v>
      </c>
      <c r="Q97" s="8">
        <f>IFERROR(SUMIF(S1_26_JUIL!$A$3:$A$113,$A97,S1_26_JUIL!$M$3:$M$113),0)+IFERROR(SUMIF('S2_27_JUIL-02_AOUT'!$A$3:$A$113,$A97,'S2_27_JUIL-02_AOUT'!$S$3:$S$113),0)+IFERROR(SUMIF('S3_03-09_AOUT'!$A$3:$A$113,$A97,'S3_03-09_AOUT'!$S$3:$S$113),0)+IFERROR(SUMIF('S4_10-16_AOUT'!$A$3:$A$113,$A97,'S4_10-16_AOUT'!$S$3:$S$113),0)+IFERROR(SUMIF('S5_17-23_AOUT'!$A$3:$A$113,$A97,'S5_17-23_AOUT'!$S$3:$S$113),0)+IFERROR(SUMIF('S6_24-25_AOUT'!$A$3:$A$113,$A97,'S6_24-25_AOUT'!$N$3:$N$113),0)</f>
        <v>0</v>
      </c>
      <c r="R97" s="11">
        <f>IFERROR(SUMIF(S1_26_JUIL!$A$3:$A$113,$A97,S1_26_JUIL!$N$3:$N$113),0)+IFERROR(SUMIF('S2_27_JUIL-02_AOUT'!$A$3:$A$113,$A97,'S2_27_JUIL-02_AOUT'!$T$3:$T$113),0)+IFERROR(SUMIF('S3_03-09_AOUT'!$A$3:$A$113,$A97,'S3_03-09_AOUT'!$T$3:$T$113),0)+IFERROR(SUMIF('S4_10-16_AOUT'!$A$3:$A$113,$A97,'S4_10-16_AOUT'!$T$3:$T$113),0)+IFERROR(SUMIF('S5_17-23_AOUT'!$A$3:$A$113,$A97,'S5_17-23_AOUT'!$T$3:$T$113),0)+IFERROR(SUMIF('S6_24-25_AOUT'!$A$3:$A$113,$A97,'S6_24-25_AOUT'!$O$3:$O$113),0)</f>
        <v>0</v>
      </c>
      <c r="S97" s="8">
        <f>208</f>
        <v>208</v>
      </c>
      <c r="T97" s="8">
        <f t="shared" si="5"/>
        <v>35.999999999999993</v>
      </c>
      <c r="U97" s="10" t="str">
        <f>IF(OR(IFERROR(INDEX(S1_26_JUIL!$P$3:$P$113,MATCH($A97,S1_26_JUIL!$A$3:$A$113,0)),"")="STC",IFERROR(INDEX('S2_27_JUIL-02_AOUT'!$V$3:$V$113,MATCH($A97,'S2_27_JUIL-02_AOUT'!$A$3:$A$113,0)),"")="STC",IFERROR(INDEX('S3_03-09_AOUT'!$V$3:$V$113,MATCH($A97,'S3_03-09_AOUT'!$A$3:$A$113,0)),"")="STC",IFERROR(INDEX('S4_10-16_AOUT'!$V$3:$V$113,MATCH($A97,'S4_10-16_AOUT'!$A$3:$A$113,0)),"")="STC",IFERROR(INDEX('S5_17-23_AOUT'!$V$3:$V$113,MATCH($A97,'S5_17-23_AOUT'!$A$3:$A$113,0)),"")="STC",IFERROR(INDEX('S6_24-25_AOUT'!$Q$3:$Q$113,MATCH($A97,'S6_24-25_AOUT'!$A$3:$A$113,0)),"")="STC"),"STC",IF(OR(IFERROR(INDEX(S1_26_JUIL!$P$3:$P$113,MATCH($A97,S1_26_JUIL!$A$3:$A$113,0)),"")="À vérifier",IFERROR(INDEX('S2_27_JUIL-02_AOUT'!$V$3:$V$113,MATCH($A97,'S2_27_JUIL-02_AOUT'!$A$3:$A$113,0)),"")="À vérifier",IFERROR(INDEX('S3_03-09_AOUT'!$V$3:$V$113,MATCH($A97,'S3_03-09_AOUT'!$A$3:$A$113,0)),"")="À vérifier",IFERROR(INDEX('S4_10-16_AOUT'!$V$3:$V$113,MATCH($A97,'S4_10-16_AOUT'!$A$3:$A$113,0)),"")="À vérifier",IFERROR(INDEX('S5_17-23_AOUT'!$V$3:$V$113,MATCH($A97,'S5_17-23_AOUT'!$A$3:$A$113,0)),"")="À vérifier",IFERROR(INDEX('S6_24-25_AOUT'!$Q$3:$Q$113,MATCH($A97,'S6_24-25_AOUT'!$A$3:$A$113,0)),"")="À vérifier",ABS(L97-T97)&gt;=0.01),"À vérifier","OK"))</f>
        <v>OK</v>
      </c>
    </row>
    <row r="98" spans="1:21">
      <c r="A98" s="12">
        <v>242</v>
      </c>
      <c r="B98" s="12" t="s">
        <v>262</v>
      </c>
      <c r="C98" s="13" t="s">
        <v>263</v>
      </c>
      <c r="D98" s="12" t="s">
        <v>31</v>
      </c>
      <c r="E98" s="10" t="s">
        <v>123</v>
      </c>
      <c r="F98" s="8">
        <f>IFERROR(SUMIF(S1_26_JUIL!$A$3:$A$113,$A98,S1_26_JUIL!$O$3:$O$113),0)</f>
        <v>0</v>
      </c>
      <c r="G98" s="8">
        <f>IFERROR(SUMIF('S2_27_JUIL-02_AOUT'!$A$3:$A$113,$A98,'S2_27_JUIL-02_AOUT'!$U$3:$U$113),0)</f>
        <v>35.999999999999993</v>
      </c>
      <c r="H98" s="8">
        <f>IFERROR(SUMIF('S3_03-09_AOUT'!$A$3:$A$113,$A98,'S3_03-09_AOUT'!$U$3:$U$113),0)</f>
        <v>0</v>
      </c>
      <c r="I98" s="8">
        <f>IFERROR(SUMIF('S4_10-16_AOUT'!$A$3:$A$113,$A98,'S4_10-16_AOUT'!$U$3:$U$113),0)</f>
        <v>0</v>
      </c>
      <c r="J98" s="8">
        <f>IFERROR(SUMIF('S5_17-23_AOUT'!$A$3:$A$113,$A98,'S5_17-23_AOUT'!$U$3:$U$113),0)</f>
        <v>0</v>
      </c>
      <c r="K98" s="8">
        <f>IFERROR(SUMIF('S6_24-25_AOUT'!$A$3:$A$113,$A98,'S6_24-25_AOUT'!$P$3:$P$113),0)</f>
        <v>0</v>
      </c>
      <c r="L98" s="8">
        <f t="shared" si="4"/>
        <v>35.999999999999993</v>
      </c>
      <c r="M98" s="8">
        <f>IFERROR(SUMIF(S1_26_JUIL!$A$3:$A$113,$A98,S1_26_JUIL!$I$3:$I$113),0)+IFERROR(SUMIF('S2_27_JUIL-02_AOUT'!$A$3:$A$113,$A98,'S2_27_JUIL-02_AOUT'!$O$3:$O$113),0)+IFERROR(SUMIF('S3_03-09_AOUT'!$A$3:$A$113,$A98,'S3_03-09_AOUT'!$O$3:$O$113),0)+IFERROR(SUMIF('S4_10-16_AOUT'!$A$3:$A$113,$A98,'S4_10-16_AOUT'!$O$3:$O$113),0)+IFERROR(SUMIF('S5_17-23_AOUT'!$A$3:$A$113,$A98,'S5_17-23_AOUT'!$O$3:$O$113),0)+IFERROR(SUMIF('S6_24-25_AOUT'!$A$3:$A$113,$A98,'S6_24-25_AOUT'!$J$3:$J$113),0)</f>
        <v>35.999999999999993</v>
      </c>
      <c r="N98" s="9">
        <f>IFERROR(SUMIF(S1_26_JUIL!$A$3:$A$113,$A98,S1_26_JUIL!$J$3:$J$113),0)+IFERROR(SUMIF('S2_27_JUIL-02_AOUT'!$A$3:$A$113,$A98,'S2_27_JUIL-02_AOUT'!$P$3:$P$113),0)+IFERROR(SUMIF('S3_03-09_AOUT'!$A$3:$A$113,$A98,'S3_03-09_AOUT'!$P$3:$P$113),0)+IFERROR(SUMIF('S4_10-16_AOUT'!$A$3:$A$113,$A98,'S4_10-16_AOUT'!$P$3:$P$113),0)+IFERROR(SUMIF('S5_17-23_AOUT'!$A$3:$A$113,$A98,'S5_17-23_AOUT'!$P$3:$P$113),0)+IFERROR(SUMIF('S6_24-25_AOUT'!$A$3:$A$113,$A98,'S6_24-25_AOUT'!$K$3:$K$113),0)</f>
        <v>0</v>
      </c>
      <c r="O98" s="9">
        <f>IFERROR(SUMIF(S1_26_JUIL!$A$3:$A$113,$A98,S1_26_JUIL!$K$3:$K$113),0)+IFERROR(SUMIF('S2_27_JUIL-02_AOUT'!$A$3:$A$113,$A98,'S2_27_JUIL-02_AOUT'!$Q$3:$Q$113),0)+IFERROR(SUMIF('S3_03-09_AOUT'!$A$3:$A$113,$A98,'S3_03-09_AOUT'!$Q$3:$Q$113),0)+IFERROR(SUMIF('S4_10-16_AOUT'!$A$3:$A$113,$A98,'S4_10-16_AOUT'!$Q$3:$Q$113),0)+IFERROR(SUMIF('S5_17-23_AOUT'!$A$3:$A$113,$A98,'S5_17-23_AOUT'!$Q$3:$Q$113),0)+IFERROR(SUMIF('S6_24-25_AOUT'!$A$3:$A$113,$A98,'S6_24-25_AOUT'!$L$3:$L$113),0)</f>
        <v>0</v>
      </c>
      <c r="P98" s="8">
        <f>IFERROR(SUMIF(S1_26_JUIL!$A$3:$A$113,$A98,S1_26_JUIL!$L$3:$L$113),0)+IFERROR(SUMIF('S2_27_JUIL-02_AOUT'!$A$3:$A$113,$A98,'S2_27_JUIL-02_AOUT'!$R$3:$R$113),0)+IFERROR(SUMIF('S3_03-09_AOUT'!$A$3:$A$113,$A98,'S3_03-09_AOUT'!$R$3:$R$113),0)+IFERROR(SUMIF('S4_10-16_AOUT'!$A$3:$A$113,$A98,'S4_10-16_AOUT'!$R$3:$R$113),0)+IFERROR(SUMIF('S5_17-23_AOUT'!$A$3:$A$113,$A98,'S5_17-23_AOUT'!$R$3:$R$113),0)+IFERROR(SUMIF('S6_24-25_AOUT'!$A$3:$A$113,$A98,'S6_24-25_AOUT'!$M$3:$M$113),0)</f>
        <v>1</v>
      </c>
      <c r="Q98" s="8">
        <f>IFERROR(SUMIF(S1_26_JUIL!$A$3:$A$113,$A98,S1_26_JUIL!$M$3:$M$113),0)+IFERROR(SUMIF('S2_27_JUIL-02_AOUT'!$A$3:$A$113,$A98,'S2_27_JUIL-02_AOUT'!$S$3:$S$113),0)+IFERROR(SUMIF('S3_03-09_AOUT'!$A$3:$A$113,$A98,'S3_03-09_AOUT'!$S$3:$S$113),0)+IFERROR(SUMIF('S4_10-16_AOUT'!$A$3:$A$113,$A98,'S4_10-16_AOUT'!$S$3:$S$113),0)+IFERROR(SUMIF('S5_17-23_AOUT'!$A$3:$A$113,$A98,'S5_17-23_AOUT'!$S$3:$S$113),0)+IFERROR(SUMIF('S6_24-25_AOUT'!$A$3:$A$113,$A98,'S6_24-25_AOUT'!$N$3:$N$113),0)</f>
        <v>0</v>
      </c>
      <c r="R98" s="11">
        <f>IFERROR(SUMIF(S1_26_JUIL!$A$3:$A$113,$A98,S1_26_JUIL!$N$3:$N$113),0)+IFERROR(SUMIF('S2_27_JUIL-02_AOUT'!$A$3:$A$113,$A98,'S2_27_JUIL-02_AOUT'!$T$3:$T$113),0)+IFERROR(SUMIF('S3_03-09_AOUT'!$A$3:$A$113,$A98,'S3_03-09_AOUT'!$T$3:$T$113),0)+IFERROR(SUMIF('S4_10-16_AOUT'!$A$3:$A$113,$A98,'S4_10-16_AOUT'!$T$3:$T$113),0)+IFERROR(SUMIF('S5_17-23_AOUT'!$A$3:$A$113,$A98,'S5_17-23_AOUT'!$T$3:$T$113),0)+IFERROR(SUMIF('S6_24-25_AOUT'!$A$3:$A$113,$A98,'S6_24-25_AOUT'!$O$3:$O$113),0)</f>
        <v>0</v>
      </c>
      <c r="S98" s="8">
        <f>208</f>
        <v>208</v>
      </c>
      <c r="T98" s="8">
        <f t="shared" si="5"/>
        <v>35.999999999999993</v>
      </c>
      <c r="U98" s="10" t="str">
        <f>IF(OR(IFERROR(INDEX(S1_26_JUIL!$P$3:$P$113,MATCH($A98,S1_26_JUIL!$A$3:$A$113,0)),"")="STC",IFERROR(INDEX('S2_27_JUIL-02_AOUT'!$V$3:$V$113,MATCH($A98,'S2_27_JUIL-02_AOUT'!$A$3:$A$113,0)),"")="STC",IFERROR(INDEX('S3_03-09_AOUT'!$V$3:$V$113,MATCH($A98,'S3_03-09_AOUT'!$A$3:$A$113,0)),"")="STC",IFERROR(INDEX('S4_10-16_AOUT'!$V$3:$V$113,MATCH($A98,'S4_10-16_AOUT'!$A$3:$A$113,0)),"")="STC",IFERROR(INDEX('S5_17-23_AOUT'!$V$3:$V$113,MATCH($A98,'S5_17-23_AOUT'!$A$3:$A$113,0)),"")="STC",IFERROR(INDEX('S6_24-25_AOUT'!$Q$3:$Q$113,MATCH($A98,'S6_24-25_AOUT'!$A$3:$A$113,0)),"")="STC"),"STC",IF(OR(IFERROR(INDEX(S1_26_JUIL!$P$3:$P$113,MATCH($A98,S1_26_JUIL!$A$3:$A$113,0)),"")="À vérifier",IFERROR(INDEX('S2_27_JUIL-02_AOUT'!$V$3:$V$113,MATCH($A98,'S2_27_JUIL-02_AOUT'!$A$3:$A$113,0)),"")="À vérifier",IFERROR(INDEX('S3_03-09_AOUT'!$V$3:$V$113,MATCH($A98,'S3_03-09_AOUT'!$A$3:$A$113,0)),"")="À vérifier",IFERROR(INDEX('S4_10-16_AOUT'!$V$3:$V$113,MATCH($A98,'S4_10-16_AOUT'!$A$3:$A$113,0)),"")="À vérifier",IFERROR(INDEX('S5_17-23_AOUT'!$V$3:$V$113,MATCH($A98,'S5_17-23_AOUT'!$A$3:$A$113,0)),"")="À vérifier",IFERROR(INDEX('S6_24-25_AOUT'!$Q$3:$Q$113,MATCH($A98,'S6_24-25_AOUT'!$A$3:$A$113,0)),"")="À vérifier",ABS(L98-T98)&gt;=0.01),"À vérifier","OK"))</f>
        <v>OK</v>
      </c>
    </row>
    <row r="99" spans="1:21">
      <c r="A99" s="12">
        <v>94</v>
      </c>
      <c r="B99" s="12" t="s">
        <v>264</v>
      </c>
      <c r="C99" s="13" t="s">
        <v>265</v>
      </c>
      <c r="D99" s="12" t="s">
        <v>31</v>
      </c>
      <c r="E99" s="10" t="s">
        <v>123</v>
      </c>
      <c r="F99" s="8">
        <f>IFERROR(SUMIF(S1_26_JUIL!$A$3:$A$113,$A99,S1_26_JUIL!$O$3:$O$113),0)</f>
        <v>0</v>
      </c>
      <c r="G99" s="8">
        <f>IFERROR(SUMIF('S2_27_JUIL-02_AOUT'!$A$3:$A$113,$A99,'S2_27_JUIL-02_AOUT'!$U$3:$U$113),0)</f>
        <v>80.5</v>
      </c>
      <c r="H99" s="8">
        <f>IFERROR(SUMIF('S3_03-09_AOUT'!$A$3:$A$113,$A99,'S3_03-09_AOUT'!$U$3:$U$113),0)</f>
        <v>0</v>
      </c>
      <c r="I99" s="8">
        <f>IFERROR(SUMIF('S4_10-16_AOUT'!$A$3:$A$113,$A99,'S4_10-16_AOUT'!$U$3:$U$113),0)</f>
        <v>0</v>
      </c>
      <c r="J99" s="8">
        <f>IFERROR(SUMIF('S5_17-23_AOUT'!$A$3:$A$113,$A99,'S5_17-23_AOUT'!$U$3:$U$113),0)</f>
        <v>0</v>
      </c>
      <c r="K99" s="8">
        <f>IFERROR(SUMIF('S6_24-25_AOUT'!$A$3:$A$113,$A99,'S6_24-25_AOUT'!$P$3:$P$113),0)</f>
        <v>0</v>
      </c>
      <c r="L99" s="8">
        <f t="shared" ref="L99:L113" si="6">SUM(F99:K99)</f>
        <v>80.5</v>
      </c>
      <c r="M99" s="8">
        <f>IFERROR(SUMIF(S1_26_JUIL!$A$3:$A$113,$A99,S1_26_JUIL!$I$3:$I$113),0)+IFERROR(SUMIF('S2_27_JUIL-02_AOUT'!$A$3:$A$113,$A99,'S2_27_JUIL-02_AOUT'!$O$3:$O$113),0)+IFERROR(SUMIF('S3_03-09_AOUT'!$A$3:$A$113,$A99,'S3_03-09_AOUT'!$O$3:$O$113),0)+IFERROR(SUMIF('S4_10-16_AOUT'!$A$3:$A$113,$A99,'S4_10-16_AOUT'!$O$3:$O$113),0)+IFERROR(SUMIF('S5_17-23_AOUT'!$A$3:$A$113,$A99,'S5_17-23_AOUT'!$O$3:$O$113),0)+IFERROR(SUMIF('S6_24-25_AOUT'!$A$3:$A$113,$A99,'S6_24-25_AOUT'!$J$3:$J$113),0)</f>
        <v>80.5</v>
      </c>
      <c r="N99" s="9">
        <f>IFERROR(SUMIF(S1_26_JUIL!$A$3:$A$113,$A99,S1_26_JUIL!$J$3:$J$113),0)+IFERROR(SUMIF('S2_27_JUIL-02_AOUT'!$A$3:$A$113,$A99,'S2_27_JUIL-02_AOUT'!$P$3:$P$113),0)+IFERROR(SUMIF('S3_03-09_AOUT'!$A$3:$A$113,$A99,'S3_03-09_AOUT'!$P$3:$P$113),0)+IFERROR(SUMIF('S4_10-16_AOUT'!$A$3:$A$113,$A99,'S4_10-16_AOUT'!$P$3:$P$113),0)+IFERROR(SUMIF('S5_17-23_AOUT'!$A$3:$A$113,$A99,'S5_17-23_AOUT'!$P$3:$P$113),0)+IFERROR(SUMIF('S6_24-25_AOUT'!$A$3:$A$113,$A99,'S6_24-25_AOUT'!$K$3:$K$113),0)</f>
        <v>0</v>
      </c>
      <c r="O99" s="9">
        <f>IFERROR(SUMIF(S1_26_JUIL!$A$3:$A$113,$A99,S1_26_JUIL!$K$3:$K$113),0)+IFERROR(SUMIF('S2_27_JUIL-02_AOUT'!$A$3:$A$113,$A99,'S2_27_JUIL-02_AOUT'!$Q$3:$Q$113),0)+IFERROR(SUMIF('S3_03-09_AOUT'!$A$3:$A$113,$A99,'S3_03-09_AOUT'!$Q$3:$Q$113),0)+IFERROR(SUMIF('S4_10-16_AOUT'!$A$3:$A$113,$A99,'S4_10-16_AOUT'!$Q$3:$Q$113),0)+IFERROR(SUMIF('S5_17-23_AOUT'!$A$3:$A$113,$A99,'S5_17-23_AOUT'!$Q$3:$Q$113),0)+IFERROR(SUMIF('S6_24-25_AOUT'!$A$3:$A$113,$A99,'S6_24-25_AOUT'!$L$3:$L$113),0)</f>
        <v>0</v>
      </c>
      <c r="P99" s="8">
        <f>IFERROR(SUMIF(S1_26_JUIL!$A$3:$A$113,$A99,S1_26_JUIL!$L$3:$L$113),0)+IFERROR(SUMIF('S2_27_JUIL-02_AOUT'!$A$3:$A$113,$A99,'S2_27_JUIL-02_AOUT'!$R$3:$R$113),0)+IFERROR(SUMIF('S3_03-09_AOUT'!$A$3:$A$113,$A99,'S3_03-09_AOUT'!$R$3:$R$113),0)+IFERROR(SUMIF('S4_10-16_AOUT'!$A$3:$A$113,$A99,'S4_10-16_AOUT'!$R$3:$R$113),0)+IFERROR(SUMIF('S5_17-23_AOUT'!$A$3:$A$113,$A99,'S5_17-23_AOUT'!$R$3:$R$113),0)+IFERROR(SUMIF('S6_24-25_AOUT'!$A$3:$A$113,$A99,'S6_24-25_AOUT'!$M$3:$M$113),0)</f>
        <v>1</v>
      </c>
      <c r="Q99" s="8">
        <f>IFERROR(SUMIF(S1_26_JUIL!$A$3:$A$113,$A99,S1_26_JUIL!$M$3:$M$113),0)+IFERROR(SUMIF('S2_27_JUIL-02_AOUT'!$A$3:$A$113,$A99,'S2_27_JUIL-02_AOUT'!$S$3:$S$113),0)+IFERROR(SUMIF('S3_03-09_AOUT'!$A$3:$A$113,$A99,'S3_03-09_AOUT'!$S$3:$S$113),0)+IFERROR(SUMIF('S4_10-16_AOUT'!$A$3:$A$113,$A99,'S4_10-16_AOUT'!$S$3:$S$113),0)+IFERROR(SUMIF('S5_17-23_AOUT'!$A$3:$A$113,$A99,'S5_17-23_AOUT'!$S$3:$S$113),0)+IFERROR(SUMIF('S6_24-25_AOUT'!$A$3:$A$113,$A99,'S6_24-25_AOUT'!$N$3:$N$113),0)</f>
        <v>0</v>
      </c>
      <c r="R99" s="11">
        <f>IFERROR(SUMIF(S1_26_JUIL!$A$3:$A$113,$A99,S1_26_JUIL!$N$3:$N$113),0)+IFERROR(SUMIF('S2_27_JUIL-02_AOUT'!$A$3:$A$113,$A99,'S2_27_JUIL-02_AOUT'!$T$3:$T$113),0)+IFERROR(SUMIF('S3_03-09_AOUT'!$A$3:$A$113,$A99,'S3_03-09_AOUT'!$T$3:$T$113),0)+IFERROR(SUMIF('S4_10-16_AOUT'!$A$3:$A$113,$A99,'S4_10-16_AOUT'!$T$3:$T$113),0)+IFERROR(SUMIF('S5_17-23_AOUT'!$A$3:$A$113,$A99,'S5_17-23_AOUT'!$T$3:$T$113),0)+IFERROR(SUMIF('S6_24-25_AOUT'!$A$3:$A$113,$A99,'S6_24-25_AOUT'!$O$3:$O$113),0)</f>
        <v>0</v>
      </c>
      <c r="S99" s="8">
        <f>208</f>
        <v>208</v>
      </c>
      <c r="T99" s="8">
        <f t="shared" ref="T99:T113" si="7">M99+N99+O99+(R99*8.5)</f>
        <v>80.5</v>
      </c>
      <c r="U99" s="10" t="str">
        <f>IF(OR(IFERROR(INDEX(S1_26_JUIL!$P$3:$P$113,MATCH($A99,S1_26_JUIL!$A$3:$A$113,0)),"")="STC",IFERROR(INDEX('S2_27_JUIL-02_AOUT'!$V$3:$V$113,MATCH($A99,'S2_27_JUIL-02_AOUT'!$A$3:$A$113,0)),"")="STC",IFERROR(INDEX('S3_03-09_AOUT'!$V$3:$V$113,MATCH($A99,'S3_03-09_AOUT'!$A$3:$A$113,0)),"")="STC",IFERROR(INDEX('S4_10-16_AOUT'!$V$3:$V$113,MATCH($A99,'S4_10-16_AOUT'!$A$3:$A$113,0)),"")="STC",IFERROR(INDEX('S5_17-23_AOUT'!$V$3:$V$113,MATCH($A99,'S5_17-23_AOUT'!$A$3:$A$113,0)),"")="STC",IFERROR(INDEX('S6_24-25_AOUT'!$Q$3:$Q$113,MATCH($A99,'S6_24-25_AOUT'!$A$3:$A$113,0)),"")="STC"),"STC",IF(OR(IFERROR(INDEX(S1_26_JUIL!$P$3:$P$113,MATCH($A99,S1_26_JUIL!$A$3:$A$113,0)),"")="À vérifier",IFERROR(INDEX('S2_27_JUIL-02_AOUT'!$V$3:$V$113,MATCH($A99,'S2_27_JUIL-02_AOUT'!$A$3:$A$113,0)),"")="À vérifier",IFERROR(INDEX('S3_03-09_AOUT'!$V$3:$V$113,MATCH($A99,'S3_03-09_AOUT'!$A$3:$A$113,0)),"")="À vérifier",IFERROR(INDEX('S4_10-16_AOUT'!$V$3:$V$113,MATCH($A99,'S4_10-16_AOUT'!$A$3:$A$113,0)),"")="À vérifier",IFERROR(INDEX('S5_17-23_AOUT'!$V$3:$V$113,MATCH($A99,'S5_17-23_AOUT'!$A$3:$A$113,0)),"")="À vérifier",IFERROR(INDEX('S6_24-25_AOUT'!$Q$3:$Q$113,MATCH($A99,'S6_24-25_AOUT'!$A$3:$A$113,0)),"")="À vérifier",ABS(L99-T99)&gt;=0.01),"À vérifier","OK"))</f>
        <v>OK</v>
      </c>
    </row>
    <row r="100" spans="1:21">
      <c r="A100" s="12" t="s">
        <v>266</v>
      </c>
      <c r="B100" s="12" t="s">
        <v>267</v>
      </c>
      <c r="C100" s="13" t="s">
        <v>63</v>
      </c>
      <c r="D100" s="12" t="s">
        <v>31</v>
      </c>
      <c r="E100" s="10" t="s">
        <v>123</v>
      </c>
      <c r="F100" s="8">
        <f>IFERROR(SUMIF(S1_26_JUIL!$A$3:$A$113,$A100,S1_26_JUIL!$O$3:$O$113),0)</f>
        <v>0</v>
      </c>
      <c r="G100" s="8">
        <f>IFERROR(SUMIF('S2_27_JUIL-02_AOUT'!$A$3:$A$113,$A100,'S2_27_JUIL-02_AOUT'!$U$3:$U$113),0)</f>
        <v>44</v>
      </c>
      <c r="H100" s="8">
        <f>IFERROR(SUMIF('S3_03-09_AOUT'!$A$3:$A$113,$A100,'S3_03-09_AOUT'!$U$3:$U$113),0)</f>
        <v>0</v>
      </c>
      <c r="I100" s="8">
        <f>IFERROR(SUMIF('S4_10-16_AOUT'!$A$3:$A$113,$A100,'S4_10-16_AOUT'!$U$3:$U$113),0)</f>
        <v>0</v>
      </c>
      <c r="J100" s="8">
        <f>IFERROR(SUMIF('S5_17-23_AOUT'!$A$3:$A$113,$A100,'S5_17-23_AOUT'!$U$3:$U$113),0)</f>
        <v>0</v>
      </c>
      <c r="K100" s="8">
        <f>IFERROR(SUMIF('S6_24-25_AOUT'!$A$3:$A$113,$A100,'S6_24-25_AOUT'!$P$3:$P$113),0)</f>
        <v>0</v>
      </c>
      <c r="L100" s="8">
        <f t="shared" si="6"/>
        <v>44</v>
      </c>
      <c r="M100" s="8">
        <f>IFERROR(SUMIF(S1_26_JUIL!$A$3:$A$113,$A100,S1_26_JUIL!$I$3:$I$113),0)+IFERROR(SUMIF('S2_27_JUIL-02_AOUT'!$A$3:$A$113,$A100,'S2_27_JUIL-02_AOUT'!$O$3:$O$113),0)+IFERROR(SUMIF('S3_03-09_AOUT'!$A$3:$A$113,$A100,'S3_03-09_AOUT'!$O$3:$O$113),0)+IFERROR(SUMIF('S4_10-16_AOUT'!$A$3:$A$113,$A100,'S4_10-16_AOUT'!$O$3:$O$113),0)+IFERROR(SUMIF('S5_17-23_AOUT'!$A$3:$A$113,$A100,'S5_17-23_AOUT'!$O$3:$O$113),0)+IFERROR(SUMIF('S6_24-25_AOUT'!$A$3:$A$113,$A100,'S6_24-25_AOUT'!$J$3:$J$113),0)</f>
        <v>44</v>
      </c>
      <c r="N100" s="9">
        <f>IFERROR(SUMIF(S1_26_JUIL!$A$3:$A$113,$A100,S1_26_JUIL!$J$3:$J$113),0)+IFERROR(SUMIF('S2_27_JUIL-02_AOUT'!$A$3:$A$113,$A100,'S2_27_JUIL-02_AOUT'!$P$3:$P$113),0)+IFERROR(SUMIF('S3_03-09_AOUT'!$A$3:$A$113,$A100,'S3_03-09_AOUT'!$P$3:$P$113),0)+IFERROR(SUMIF('S4_10-16_AOUT'!$A$3:$A$113,$A100,'S4_10-16_AOUT'!$P$3:$P$113),0)+IFERROR(SUMIF('S5_17-23_AOUT'!$A$3:$A$113,$A100,'S5_17-23_AOUT'!$P$3:$P$113),0)+IFERROR(SUMIF('S6_24-25_AOUT'!$A$3:$A$113,$A100,'S6_24-25_AOUT'!$K$3:$K$113),0)</f>
        <v>0</v>
      </c>
      <c r="O100" s="9">
        <f>IFERROR(SUMIF(S1_26_JUIL!$A$3:$A$113,$A100,S1_26_JUIL!$K$3:$K$113),0)+IFERROR(SUMIF('S2_27_JUIL-02_AOUT'!$A$3:$A$113,$A100,'S2_27_JUIL-02_AOUT'!$Q$3:$Q$113),0)+IFERROR(SUMIF('S3_03-09_AOUT'!$A$3:$A$113,$A100,'S3_03-09_AOUT'!$Q$3:$Q$113),0)+IFERROR(SUMIF('S4_10-16_AOUT'!$A$3:$A$113,$A100,'S4_10-16_AOUT'!$Q$3:$Q$113),0)+IFERROR(SUMIF('S5_17-23_AOUT'!$A$3:$A$113,$A100,'S5_17-23_AOUT'!$Q$3:$Q$113),0)+IFERROR(SUMIF('S6_24-25_AOUT'!$A$3:$A$113,$A100,'S6_24-25_AOUT'!$L$3:$L$113),0)</f>
        <v>0</v>
      </c>
      <c r="P100" s="8">
        <f>IFERROR(SUMIF(S1_26_JUIL!$A$3:$A$113,$A100,S1_26_JUIL!$L$3:$L$113),0)+IFERROR(SUMIF('S2_27_JUIL-02_AOUT'!$A$3:$A$113,$A100,'S2_27_JUIL-02_AOUT'!$R$3:$R$113),0)+IFERROR(SUMIF('S3_03-09_AOUT'!$A$3:$A$113,$A100,'S3_03-09_AOUT'!$R$3:$R$113),0)+IFERROR(SUMIF('S4_10-16_AOUT'!$A$3:$A$113,$A100,'S4_10-16_AOUT'!$R$3:$R$113),0)+IFERROR(SUMIF('S5_17-23_AOUT'!$A$3:$A$113,$A100,'S5_17-23_AOUT'!$R$3:$R$113),0)+IFERROR(SUMIF('S6_24-25_AOUT'!$A$3:$A$113,$A100,'S6_24-25_AOUT'!$M$3:$M$113),0)</f>
        <v>0</v>
      </c>
      <c r="Q100" s="8">
        <f>IFERROR(SUMIF(S1_26_JUIL!$A$3:$A$113,$A100,S1_26_JUIL!$M$3:$M$113),0)+IFERROR(SUMIF('S2_27_JUIL-02_AOUT'!$A$3:$A$113,$A100,'S2_27_JUIL-02_AOUT'!$S$3:$S$113),0)+IFERROR(SUMIF('S3_03-09_AOUT'!$A$3:$A$113,$A100,'S3_03-09_AOUT'!$S$3:$S$113),0)+IFERROR(SUMIF('S4_10-16_AOUT'!$A$3:$A$113,$A100,'S4_10-16_AOUT'!$S$3:$S$113),0)+IFERROR(SUMIF('S5_17-23_AOUT'!$A$3:$A$113,$A100,'S5_17-23_AOUT'!$S$3:$S$113),0)+IFERROR(SUMIF('S6_24-25_AOUT'!$A$3:$A$113,$A100,'S6_24-25_AOUT'!$N$3:$N$113),0)</f>
        <v>0</v>
      </c>
      <c r="R100" s="11">
        <f>IFERROR(SUMIF(S1_26_JUIL!$A$3:$A$113,$A100,S1_26_JUIL!$N$3:$N$113),0)+IFERROR(SUMIF('S2_27_JUIL-02_AOUT'!$A$3:$A$113,$A100,'S2_27_JUIL-02_AOUT'!$T$3:$T$113),0)+IFERROR(SUMIF('S3_03-09_AOUT'!$A$3:$A$113,$A100,'S3_03-09_AOUT'!$T$3:$T$113),0)+IFERROR(SUMIF('S4_10-16_AOUT'!$A$3:$A$113,$A100,'S4_10-16_AOUT'!$T$3:$T$113),0)+IFERROR(SUMIF('S5_17-23_AOUT'!$A$3:$A$113,$A100,'S5_17-23_AOUT'!$T$3:$T$113),0)+IFERROR(SUMIF('S6_24-25_AOUT'!$A$3:$A$113,$A100,'S6_24-25_AOUT'!$O$3:$O$113),0)</f>
        <v>0</v>
      </c>
      <c r="S100" s="8">
        <f>208</f>
        <v>208</v>
      </c>
      <c r="T100" s="8">
        <f t="shared" si="7"/>
        <v>44</v>
      </c>
      <c r="U100" s="10" t="str">
        <f>IF(OR(IFERROR(INDEX(S1_26_JUIL!$P$3:$P$113,MATCH($A100,S1_26_JUIL!$A$3:$A$113,0)),"")="STC",IFERROR(INDEX('S2_27_JUIL-02_AOUT'!$V$3:$V$113,MATCH($A100,'S2_27_JUIL-02_AOUT'!$A$3:$A$113,0)),"")="STC",IFERROR(INDEX('S3_03-09_AOUT'!$V$3:$V$113,MATCH($A100,'S3_03-09_AOUT'!$A$3:$A$113,0)),"")="STC",IFERROR(INDEX('S4_10-16_AOUT'!$V$3:$V$113,MATCH($A100,'S4_10-16_AOUT'!$A$3:$A$113,0)),"")="STC",IFERROR(INDEX('S5_17-23_AOUT'!$V$3:$V$113,MATCH($A100,'S5_17-23_AOUT'!$A$3:$A$113,0)),"")="STC",IFERROR(INDEX('S6_24-25_AOUT'!$Q$3:$Q$113,MATCH($A100,'S6_24-25_AOUT'!$A$3:$A$113,0)),"")="STC"),"STC",IF(OR(IFERROR(INDEX(S1_26_JUIL!$P$3:$P$113,MATCH($A100,S1_26_JUIL!$A$3:$A$113,0)),"")="À vérifier",IFERROR(INDEX('S2_27_JUIL-02_AOUT'!$V$3:$V$113,MATCH($A100,'S2_27_JUIL-02_AOUT'!$A$3:$A$113,0)),"")="À vérifier",IFERROR(INDEX('S3_03-09_AOUT'!$V$3:$V$113,MATCH($A100,'S3_03-09_AOUT'!$A$3:$A$113,0)),"")="À vérifier",IFERROR(INDEX('S4_10-16_AOUT'!$V$3:$V$113,MATCH($A100,'S4_10-16_AOUT'!$A$3:$A$113,0)),"")="À vérifier",IFERROR(INDEX('S5_17-23_AOUT'!$V$3:$V$113,MATCH($A100,'S5_17-23_AOUT'!$A$3:$A$113,0)),"")="À vérifier",IFERROR(INDEX('S6_24-25_AOUT'!$Q$3:$Q$113,MATCH($A100,'S6_24-25_AOUT'!$A$3:$A$113,0)),"")="À vérifier",ABS(L100-T100)&gt;=0.01),"À vérifier","OK"))</f>
        <v>OK</v>
      </c>
    </row>
    <row r="101" spans="1:21">
      <c r="A101" s="12" t="s">
        <v>268</v>
      </c>
      <c r="B101" s="12" t="s">
        <v>269</v>
      </c>
      <c r="C101" s="13" t="s">
        <v>270</v>
      </c>
      <c r="D101" s="12" t="s">
        <v>31</v>
      </c>
      <c r="E101" s="10" t="s">
        <v>123</v>
      </c>
      <c r="F101" s="8">
        <f>IFERROR(SUMIF(S1_26_JUIL!$A$3:$A$113,$A101,S1_26_JUIL!$O$3:$O$113),0)</f>
        <v>0</v>
      </c>
      <c r="G101" s="8">
        <f>IFERROR(SUMIF('S2_27_JUIL-02_AOUT'!$A$3:$A$113,$A101,'S2_27_JUIL-02_AOUT'!$U$3:$U$113),0)</f>
        <v>43</v>
      </c>
      <c r="H101" s="8">
        <f>IFERROR(SUMIF('S3_03-09_AOUT'!$A$3:$A$113,$A101,'S3_03-09_AOUT'!$U$3:$U$113),0)</f>
        <v>0</v>
      </c>
      <c r="I101" s="8">
        <f>IFERROR(SUMIF('S4_10-16_AOUT'!$A$3:$A$113,$A101,'S4_10-16_AOUT'!$U$3:$U$113),0)</f>
        <v>0</v>
      </c>
      <c r="J101" s="8">
        <f>IFERROR(SUMIF('S5_17-23_AOUT'!$A$3:$A$113,$A101,'S5_17-23_AOUT'!$U$3:$U$113),0)</f>
        <v>0</v>
      </c>
      <c r="K101" s="8">
        <f>IFERROR(SUMIF('S6_24-25_AOUT'!$A$3:$A$113,$A101,'S6_24-25_AOUT'!$P$3:$P$113),0)</f>
        <v>0</v>
      </c>
      <c r="L101" s="8">
        <f t="shared" si="6"/>
        <v>43</v>
      </c>
      <c r="M101" s="8">
        <f>IFERROR(SUMIF(S1_26_JUIL!$A$3:$A$113,$A101,S1_26_JUIL!$I$3:$I$113),0)+IFERROR(SUMIF('S2_27_JUIL-02_AOUT'!$A$3:$A$113,$A101,'S2_27_JUIL-02_AOUT'!$O$3:$O$113),0)+IFERROR(SUMIF('S3_03-09_AOUT'!$A$3:$A$113,$A101,'S3_03-09_AOUT'!$O$3:$O$113),0)+IFERROR(SUMIF('S4_10-16_AOUT'!$A$3:$A$113,$A101,'S4_10-16_AOUT'!$O$3:$O$113),0)+IFERROR(SUMIF('S5_17-23_AOUT'!$A$3:$A$113,$A101,'S5_17-23_AOUT'!$O$3:$O$113),0)+IFERROR(SUMIF('S6_24-25_AOUT'!$A$3:$A$113,$A101,'S6_24-25_AOUT'!$J$3:$J$113),0)</f>
        <v>43</v>
      </c>
      <c r="N101" s="9">
        <f>IFERROR(SUMIF(S1_26_JUIL!$A$3:$A$113,$A101,S1_26_JUIL!$J$3:$J$113),0)+IFERROR(SUMIF('S2_27_JUIL-02_AOUT'!$A$3:$A$113,$A101,'S2_27_JUIL-02_AOUT'!$P$3:$P$113),0)+IFERROR(SUMIF('S3_03-09_AOUT'!$A$3:$A$113,$A101,'S3_03-09_AOUT'!$P$3:$P$113),0)+IFERROR(SUMIF('S4_10-16_AOUT'!$A$3:$A$113,$A101,'S4_10-16_AOUT'!$P$3:$P$113),0)+IFERROR(SUMIF('S5_17-23_AOUT'!$A$3:$A$113,$A101,'S5_17-23_AOUT'!$P$3:$P$113),0)+IFERROR(SUMIF('S6_24-25_AOUT'!$A$3:$A$113,$A101,'S6_24-25_AOUT'!$K$3:$K$113),0)</f>
        <v>0</v>
      </c>
      <c r="O101" s="9">
        <f>IFERROR(SUMIF(S1_26_JUIL!$A$3:$A$113,$A101,S1_26_JUIL!$K$3:$K$113),0)+IFERROR(SUMIF('S2_27_JUIL-02_AOUT'!$A$3:$A$113,$A101,'S2_27_JUIL-02_AOUT'!$Q$3:$Q$113),0)+IFERROR(SUMIF('S3_03-09_AOUT'!$A$3:$A$113,$A101,'S3_03-09_AOUT'!$Q$3:$Q$113),0)+IFERROR(SUMIF('S4_10-16_AOUT'!$A$3:$A$113,$A101,'S4_10-16_AOUT'!$Q$3:$Q$113),0)+IFERROR(SUMIF('S5_17-23_AOUT'!$A$3:$A$113,$A101,'S5_17-23_AOUT'!$Q$3:$Q$113),0)+IFERROR(SUMIF('S6_24-25_AOUT'!$A$3:$A$113,$A101,'S6_24-25_AOUT'!$L$3:$L$113),0)</f>
        <v>0</v>
      </c>
      <c r="P101" s="8">
        <f>IFERROR(SUMIF(S1_26_JUIL!$A$3:$A$113,$A101,S1_26_JUIL!$L$3:$L$113),0)+IFERROR(SUMIF('S2_27_JUIL-02_AOUT'!$A$3:$A$113,$A101,'S2_27_JUIL-02_AOUT'!$R$3:$R$113),0)+IFERROR(SUMIF('S3_03-09_AOUT'!$A$3:$A$113,$A101,'S3_03-09_AOUT'!$R$3:$R$113),0)+IFERROR(SUMIF('S4_10-16_AOUT'!$A$3:$A$113,$A101,'S4_10-16_AOUT'!$R$3:$R$113),0)+IFERROR(SUMIF('S5_17-23_AOUT'!$A$3:$A$113,$A101,'S5_17-23_AOUT'!$R$3:$R$113),0)+IFERROR(SUMIF('S6_24-25_AOUT'!$A$3:$A$113,$A101,'S6_24-25_AOUT'!$M$3:$M$113),0)</f>
        <v>0</v>
      </c>
      <c r="Q101" s="8">
        <f>IFERROR(SUMIF(S1_26_JUIL!$A$3:$A$113,$A101,S1_26_JUIL!$M$3:$M$113),0)+IFERROR(SUMIF('S2_27_JUIL-02_AOUT'!$A$3:$A$113,$A101,'S2_27_JUIL-02_AOUT'!$S$3:$S$113),0)+IFERROR(SUMIF('S3_03-09_AOUT'!$A$3:$A$113,$A101,'S3_03-09_AOUT'!$S$3:$S$113),0)+IFERROR(SUMIF('S4_10-16_AOUT'!$A$3:$A$113,$A101,'S4_10-16_AOUT'!$S$3:$S$113),0)+IFERROR(SUMIF('S5_17-23_AOUT'!$A$3:$A$113,$A101,'S5_17-23_AOUT'!$S$3:$S$113),0)+IFERROR(SUMIF('S6_24-25_AOUT'!$A$3:$A$113,$A101,'S6_24-25_AOUT'!$N$3:$N$113),0)</f>
        <v>0</v>
      </c>
      <c r="R101" s="11">
        <f>IFERROR(SUMIF(S1_26_JUIL!$A$3:$A$113,$A101,S1_26_JUIL!$N$3:$N$113),0)+IFERROR(SUMIF('S2_27_JUIL-02_AOUT'!$A$3:$A$113,$A101,'S2_27_JUIL-02_AOUT'!$T$3:$T$113),0)+IFERROR(SUMIF('S3_03-09_AOUT'!$A$3:$A$113,$A101,'S3_03-09_AOUT'!$T$3:$T$113),0)+IFERROR(SUMIF('S4_10-16_AOUT'!$A$3:$A$113,$A101,'S4_10-16_AOUT'!$T$3:$T$113),0)+IFERROR(SUMIF('S5_17-23_AOUT'!$A$3:$A$113,$A101,'S5_17-23_AOUT'!$T$3:$T$113),0)+IFERROR(SUMIF('S6_24-25_AOUT'!$A$3:$A$113,$A101,'S6_24-25_AOUT'!$O$3:$O$113),0)</f>
        <v>0</v>
      </c>
      <c r="S101" s="8">
        <f>208</f>
        <v>208</v>
      </c>
      <c r="T101" s="8">
        <f t="shared" si="7"/>
        <v>43</v>
      </c>
      <c r="U101" s="10" t="str">
        <f>IF(OR(IFERROR(INDEX(S1_26_JUIL!$P$3:$P$113,MATCH($A101,S1_26_JUIL!$A$3:$A$113,0)),"")="STC",IFERROR(INDEX('S2_27_JUIL-02_AOUT'!$V$3:$V$113,MATCH($A101,'S2_27_JUIL-02_AOUT'!$A$3:$A$113,0)),"")="STC",IFERROR(INDEX('S3_03-09_AOUT'!$V$3:$V$113,MATCH($A101,'S3_03-09_AOUT'!$A$3:$A$113,0)),"")="STC",IFERROR(INDEX('S4_10-16_AOUT'!$V$3:$V$113,MATCH($A101,'S4_10-16_AOUT'!$A$3:$A$113,0)),"")="STC",IFERROR(INDEX('S5_17-23_AOUT'!$V$3:$V$113,MATCH($A101,'S5_17-23_AOUT'!$A$3:$A$113,0)),"")="STC",IFERROR(INDEX('S6_24-25_AOUT'!$Q$3:$Q$113,MATCH($A101,'S6_24-25_AOUT'!$A$3:$A$113,0)),"")="STC"),"STC",IF(OR(IFERROR(INDEX(S1_26_JUIL!$P$3:$P$113,MATCH($A101,S1_26_JUIL!$A$3:$A$113,0)),"")="À vérifier",IFERROR(INDEX('S2_27_JUIL-02_AOUT'!$V$3:$V$113,MATCH($A101,'S2_27_JUIL-02_AOUT'!$A$3:$A$113,0)),"")="À vérifier",IFERROR(INDEX('S3_03-09_AOUT'!$V$3:$V$113,MATCH($A101,'S3_03-09_AOUT'!$A$3:$A$113,0)),"")="À vérifier",IFERROR(INDEX('S4_10-16_AOUT'!$V$3:$V$113,MATCH($A101,'S4_10-16_AOUT'!$A$3:$A$113,0)),"")="À vérifier",IFERROR(INDEX('S5_17-23_AOUT'!$V$3:$V$113,MATCH($A101,'S5_17-23_AOUT'!$A$3:$A$113,0)),"")="À vérifier",IFERROR(INDEX('S6_24-25_AOUT'!$Q$3:$Q$113,MATCH($A101,'S6_24-25_AOUT'!$A$3:$A$113,0)),"")="À vérifier",ABS(L101-T101)&gt;=0.01),"À vérifier","OK"))</f>
        <v>OK</v>
      </c>
    </row>
    <row r="102" spans="1:21">
      <c r="A102" s="12" t="s">
        <v>271</v>
      </c>
      <c r="B102" s="12" t="s">
        <v>272</v>
      </c>
      <c r="C102" s="13" t="s">
        <v>273</v>
      </c>
      <c r="D102" s="12" t="s">
        <v>31</v>
      </c>
      <c r="E102" s="10" t="s">
        <v>123</v>
      </c>
      <c r="F102" s="8">
        <f>IFERROR(SUMIF(S1_26_JUIL!$A$3:$A$113,$A102,S1_26_JUIL!$O$3:$O$113),0)</f>
        <v>0</v>
      </c>
      <c r="G102" s="8">
        <f>IFERROR(SUMIF('S2_27_JUIL-02_AOUT'!$A$3:$A$113,$A102,'S2_27_JUIL-02_AOUT'!$U$3:$U$113),0)</f>
        <v>34</v>
      </c>
      <c r="H102" s="8">
        <f>IFERROR(SUMIF('S3_03-09_AOUT'!$A$3:$A$113,$A102,'S3_03-09_AOUT'!$U$3:$U$113),0)</f>
        <v>0</v>
      </c>
      <c r="I102" s="8">
        <f>IFERROR(SUMIF('S4_10-16_AOUT'!$A$3:$A$113,$A102,'S4_10-16_AOUT'!$U$3:$U$113),0)</f>
        <v>0</v>
      </c>
      <c r="J102" s="8">
        <f>IFERROR(SUMIF('S5_17-23_AOUT'!$A$3:$A$113,$A102,'S5_17-23_AOUT'!$U$3:$U$113),0)</f>
        <v>0</v>
      </c>
      <c r="K102" s="8">
        <f>IFERROR(SUMIF('S6_24-25_AOUT'!$A$3:$A$113,$A102,'S6_24-25_AOUT'!$P$3:$P$113),0)</f>
        <v>0</v>
      </c>
      <c r="L102" s="8">
        <f t="shared" si="6"/>
        <v>34</v>
      </c>
      <c r="M102" s="8">
        <f>IFERROR(SUMIF(S1_26_JUIL!$A$3:$A$113,$A102,S1_26_JUIL!$I$3:$I$113),0)+IFERROR(SUMIF('S2_27_JUIL-02_AOUT'!$A$3:$A$113,$A102,'S2_27_JUIL-02_AOUT'!$O$3:$O$113),0)+IFERROR(SUMIF('S3_03-09_AOUT'!$A$3:$A$113,$A102,'S3_03-09_AOUT'!$O$3:$O$113),0)+IFERROR(SUMIF('S4_10-16_AOUT'!$A$3:$A$113,$A102,'S4_10-16_AOUT'!$O$3:$O$113),0)+IFERROR(SUMIF('S5_17-23_AOUT'!$A$3:$A$113,$A102,'S5_17-23_AOUT'!$O$3:$O$113),0)+IFERROR(SUMIF('S6_24-25_AOUT'!$A$3:$A$113,$A102,'S6_24-25_AOUT'!$J$3:$J$113),0)</f>
        <v>34</v>
      </c>
      <c r="N102" s="9">
        <f>IFERROR(SUMIF(S1_26_JUIL!$A$3:$A$113,$A102,S1_26_JUIL!$J$3:$J$113),0)+IFERROR(SUMIF('S2_27_JUIL-02_AOUT'!$A$3:$A$113,$A102,'S2_27_JUIL-02_AOUT'!$P$3:$P$113),0)+IFERROR(SUMIF('S3_03-09_AOUT'!$A$3:$A$113,$A102,'S3_03-09_AOUT'!$P$3:$P$113),0)+IFERROR(SUMIF('S4_10-16_AOUT'!$A$3:$A$113,$A102,'S4_10-16_AOUT'!$P$3:$P$113),0)+IFERROR(SUMIF('S5_17-23_AOUT'!$A$3:$A$113,$A102,'S5_17-23_AOUT'!$P$3:$P$113),0)+IFERROR(SUMIF('S6_24-25_AOUT'!$A$3:$A$113,$A102,'S6_24-25_AOUT'!$K$3:$K$113),0)</f>
        <v>0</v>
      </c>
      <c r="O102" s="9">
        <f>IFERROR(SUMIF(S1_26_JUIL!$A$3:$A$113,$A102,S1_26_JUIL!$K$3:$K$113),0)+IFERROR(SUMIF('S2_27_JUIL-02_AOUT'!$A$3:$A$113,$A102,'S2_27_JUIL-02_AOUT'!$Q$3:$Q$113),0)+IFERROR(SUMIF('S3_03-09_AOUT'!$A$3:$A$113,$A102,'S3_03-09_AOUT'!$Q$3:$Q$113),0)+IFERROR(SUMIF('S4_10-16_AOUT'!$A$3:$A$113,$A102,'S4_10-16_AOUT'!$Q$3:$Q$113),0)+IFERROR(SUMIF('S5_17-23_AOUT'!$A$3:$A$113,$A102,'S5_17-23_AOUT'!$Q$3:$Q$113),0)+IFERROR(SUMIF('S6_24-25_AOUT'!$A$3:$A$113,$A102,'S6_24-25_AOUT'!$L$3:$L$113),0)</f>
        <v>0</v>
      </c>
      <c r="P102" s="8">
        <f>IFERROR(SUMIF(S1_26_JUIL!$A$3:$A$113,$A102,S1_26_JUIL!$L$3:$L$113),0)+IFERROR(SUMIF('S2_27_JUIL-02_AOUT'!$A$3:$A$113,$A102,'S2_27_JUIL-02_AOUT'!$R$3:$R$113),0)+IFERROR(SUMIF('S3_03-09_AOUT'!$A$3:$A$113,$A102,'S3_03-09_AOUT'!$R$3:$R$113),0)+IFERROR(SUMIF('S4_10-16_AOUT'!$A$3:$A$113,$A102,'S4_10-16_AOUT'!$R$3:$R$113),0)+IFERROR(SUMIF('S5_17-23_AOUT'!$A$3:$A$113,$A102,'S5_17-23_AOUT'!$R$3:$R$113),0)+IFERROR(SUMIF('S6_24-25_AOUT'!$A$3:$A$113,$A102,'S6_24-25_AOUT'!$M$3:$M$113),0)</f>
        <v>1</v>
      </c>
      <c r="Q102" s="8">
        <f>IFERROR(SUMIF(S1_26_JUIL!$A$3:$A$113,$A102,S1_26_JUIL!$M$3:$M$113),0)+IFERROR(SUMIF('S2_27_JUIL-02_AOUT'!$A$3:$A$113,$A102,'S2_27_JUIL-02_AOUT'!$S$3:$S$113),0)+IFERROR(SUMIF('S3_03-09_AOUT'!$A$3:$A$113,$A102,'S3_03-09_AOUT'!$S$3:$S$113),0)+IFERROR(SUMIF('S4_10-16_AOUT'!$A$3:$A$113,$A102,'S4_10-16_AOUT'!$S$3:$S$113),0)+IFERROR(SUMIF('S5_17-23_AOUT'!$A$3:$A$113,$A102,'S5_17-23_AOUT'!$S$3:$S$113),0)+IFERROR(SUMIF('S6_24-25_AOUT'!$A$3:$A$113,$A102,'S6_24-25_AOUT'!$N$3:$N$113),0)</f>
        <v>0</v>
      </c>
      <c r="R102" s="11">
        <f>IFERROR(SUMIF(S1_26_JUIL!$A$3:$A$113,$A102,S1_26_JUIL!$N$3:$N$113),0)+IFERROR(SUMIF('S2_27_JUIL-02_AOUT'!$A$3:$A$113,$A102,'S2_27_JUIL-02_AOUT'!$T$3:$T$113),0)+IFERROR(SUMIF('S3_03-09_AOUT'!$A$3:$A$113,$A102,'S3_03-09_AOUT'!$T$3:$T$113),0)+IFERROR(SUMIF('S4_10-16_AOUT'!$A$3:$A$113,$A102,'S4_10-16_AOUT'!$T$3:$T$113),0)+IFERROR(SUMIF('S5_17-23_AOUT'!$A$3:$A$113,$A102,'S5_17-23_AOUT'!$T$3:$T$113),0)+IFERROR(SUMIF('S6_24-25_AOUT'!$A$3:$A$113,$A102,'S6_24-25_AOUT'!$O$3:$O$113),0)</f>
        <v>0</v>
      </c>
      <c r="S102" s="8">
        <f>208</f>
        <v>208</v>
      </c>
      <c r="T102" s="8">
        <f t="shared" si="7"/>
        <v>34</v>
      </c>
      <c r="U102" s="10" t="str">
        <f>IF(OR(IFERROR(INDEX(S1_26_JUIL!$P$3:$P$113,MATCH($A102,S1_26_JUIL!$A$3:$A$113,0)),"")="STC",IFERROR(INDEX('S2_27_JUIL-02_AOUT'!$V$3:$V$113,MATCH($A102,'S2_27_JUIL-02_AOUT'!$A$3:$A$113,0)),"")="STC",IFERROR(INDEX('S3_03-09_AOUT'!$V$3:$V$113,MATCH($A102,'S3_03-09_AOUT'!$A$3:$A$113,0)),"")="STC",IFERROR(INDEX('S4_10-16_AOUT'!$V$3:$V$113,MATCH($A102,'S4_10-16_AOUT'!$A$3:$A$113,0)),"")="STC",IFERROR(INDEX('S5_17-23_AOUT'!$V$3:$V$113,MATCH($A102,'S5_17-23_AOUT'!$A$3:$A$113,0)),"")="STC",IFERROR(INDEX('S6_24-25_AOUT'!$Q$3:$Q$113,MATCH($A102,'S6_24-25_AOUT'!$A$3:$A$113,0)),"")="STC"),"STC",IF(OR(IFERROR(INDEX(S1_26_JUIL!$P$3:$P$113,MATCH($A102,S1_26_JUIL!$A$3:$A$113,0)),"")="À vérifier",IFERROR(INDEX('S2_27_JUIL-02_AOUT'!$V$3:$V$113,MATCH($A102,'S2_27_JUIL-02_AOUT'!$A$3:$A$113,0)),"")="À vérifier",IFERROR(INDEX('S3_03-09_AOUT'!$V$3:$V$113,MATCH($A102,'S3_03-09_AOUT'!$A$3:$A$113,0)),"")="À vérifier",IFERROR(INDEX('S4_10-16_AOUT'!$V$3:$V$113,MATCH($A102,'S4_10-16_AOUT'!$A$3:$A$113,0)),"")="À vérifier",IFERROR(INDEX('S5_17-23_AOUT'!$V$3:$V$113,MATCH($A102,'S5_17-23_AOUT'!$A$3:$A$113,0)),"")="À vérifier",IFERROR(INDEX('S6_24-25_AOUT'!$Q$3:$Q$113,MATCH($A102,'S6_24-25_AOUT'!$A$3:$A$113,0)),"")="À vérifier",ABS(L102-T102)&gt;=0.01),"À vérifier","OK"))</f>
        <v>OK</v>
      </c>
    </row>
    <row r="103" spans="1:21">
      <c r="A103" s="12" t="s">
        <v>274</v>
      </c>
      <c r="B103" s="12" t="s">
        <v>272</v>
      </c>
      <c r="C103" s="13" t="s">
        <v>275</v>
      </c>
      <c r="D103" s="12" t="s">
        <v>31</v>
      </c>
      <c r="E103" s="10" t="s">
        <v>123</v>
      </c>
      <c r="F103" s="8">
        <f>IFERROR(SUMIF(S1_26_JUIL!$A$3:$A$113,$A103,S1_26_JUIL!$O$3:$O$113),0)</f>
        <v>0</v>
      </c>
      <c r="G103" s="8">
        <f>IFERROR(SUMIF('S2_27_JUIL-02_AOUT'!$A$3:$A$113,$A103,'S2_27_JUIL-02_AOUT'!$U$3:$U$113),0)</f>
        <v>35.999999999999993</v>
      </c>
      <c r="H103" s="8">
        <f>IFERROR(SUMIF('S3_03-09_AOUT'!$A$3:$A$113,$A103,'S3_03-09_AOUT'!$U$3:$U$113),0)</f>
        <v>0</v>
      </c>
      <c r="I103" s="8">
        <f>IFERROR(SUMIF('S4_10-16_AOUT'!$A$3:$A$113,$A103,'S4_10-16_AOUT'!$U$3:$U$113),0)</f>
        <v>0</v>
      </c>
      <c r="J103" s="8">
        <f>IFERROR(SUMIF('S5_17-23_AOUT'!$A$3:$A$113,$A103,'S5_17-23_AOUT'!$U$3:$U$113),0)</f>
        <v>0</v>
      </c>
      <c r="K103" s="8">
        <f>IFERROR(SUMIF('S6_24-25_AOUT'!$A$3:$A$113,$A103,'S6_24-25_AOUT'!$P$3:$P$113),0)</f>
        <v>0</v>
      </c>
      <c r="L103" s="8">
        <f t="shared" si="6"/>
        <v>35.999999999999993</v>
      </c>
      <c r="M103" s="8">
        <f>IFERROR(SUMIF(S1_26_JUIL!$A$3:$A$113,$A103,S1_26_JUIL!$I$3:$I$113),0)+IFERROR(SUMIF('S2_27_JUIL-02_AOUT'!$A$3:$A$113,$A103,'S2_27_JUIL-02_AOUT'!$O$3:$O$113),0)+IFERROR(SUMIF('S3_03-09_AOUT'!$A$3:$A$113,$A103,'S3_03-09_AOUT'!$O$3:$O$113),0)+IFERROR(SUMIF('S4_10-16_AOUT'!$A$3:$A$113,$A103,'S4_10-16_AOUT'!$O$3:$O$113),0)+IFERROR(SUMIF('S5_17-23_AOUT'!$A$3:$A$113,$A103,'S5_17-23_AOUT'!$O$3:$O$113),0)+IFERROR(SUMIF('S6_24-25_AOUT'!$A$3:$A$113,$A103,'S6_24-25_AOUT'!$J$3:$J$113),0)</f>
        <v>35.999999999999993</v>
      </c>
      <c r="N103" s="9">
        <f>IFERROR(SUMIF(S1_26_JUIL!$A$3:$A$113,$A103,S1_26_JUIL!$J$3:$J$113),0)+IFERROR(SUMIF('S2_27_JUIL-02_AOUT'!$A$3:$A$113,$A103,'S2_27_JUIL-02_AOUT'!$P$3:$P$113),0)+IFERROR(SUMIF('S3_03-09_AOUT'!$A$3:$A$113,$A103,'S3_03-09_AOUT'!$P$3:$P$113),0)+IFERROR(SUMIF('S4_10-16_AOUT'!$A$3:$A$113,$A103,'S4_10-16_AOUT'!$P$3:$P$113),0)+IFERROR(SUMIF('S5_17-23_AOUT'!$A$3:$A$113,$A103,'S5_17-23_AOUT'!$P$3:$P$113),0)+IFERROR(SUMIF('S6_24-25_AOUT'!$A$3:$A$113,$A103,'S6_24-25_AOUT'!$K$3:$K$113),0)</f>
        <v>0</v>
      </c>
      <c r="O103" s="9">
        <f>IFERROR(SUMIF(S1_26_JUIL!$A$3:$A$113,$A103,S1_26_JUIL!$K$3:$K$113),0)+IFERROR(SUMIF('S2_27_JUIL-02_AOUT'!$A$3:$A$113,$A103,'S2_27_JUIL-02_AOUT'!$Q$3:$Q$113),0)+IFERROR(SUMIF('S3_03-09_AOUT'!$A$3:$A$113,$A103,'S3_03-09_AOUT'!$Q$3:$Q$113),0)+IFERROR(SUMIF('S4_10-16_AOUT'!$A$3:$A$113,$A103,'S4_10-16_AOUT'!$Q$3:$Q$113),0)+IFERROR(SUMIF('S5_17-23_AOUT'!$A$3:$A$113,$A103,'S5_17-23_AOUT'!$Q$3:$Q$113),0)+IFERROR(SUMIF('S6_24-25_AOUT'!$A$3:$A$113,$A103,'S6_24-25_AOUT'!$L$3:$L$113),0)</f>
        <v>0</v>
      </c>
      <c r="P103" s="8">
        <f>IFERROR(SUMIF(S1_26_JUIL!$A$3:$A$113,$A103,S1_26_JUIL!$L$3:$L$113),0)+IFERROR(SUMIF('S2_27_JUIL-02_AOUT'!$A$3:$A$113,$A103,'S2_27_JUIL-02_AOUT'!$R$3:$R$113),0)+IFERROR(SUMIF('S3_03-09_AOUT'!$A$3:$A$113,$A103,'S3_03-09_AOUT'!$R$3:$R$113),0)+IFERROR(SUMIF('S4_10-16_AOUT'!$A$3:$A$113,$A103,'S4_10-16_AOUT'!$R$3:$R$113),0)+IFERROR(SUMIF('S5_17-23_AOUT'!$A$3:$A$113,$A103,'S5_17-23_AOUT'!$R$3:$R$113),0)+IFERROR(SUMIF('S6_24-25_AOUT'!$A$3:$A$113,$A103,'S6_24-25_AOUT'!$M$3:$M$113),0)</f>
        <v>1</v>
      </c>
      <c r="Q103" s="8">
        <f>IFERROR(SUMIF(S1_26_JUIL!$A$3:$A$113,$A103,S1_26_JUIL!$M$3:$M$113),0)+IFERROR(SUMIF('S2_27_JUIL-02_AOUT'!$A$3:$A$113,$A103,'S2_27_JUIL-02_AOUT'!$S$3:$S$113),0)+IFERROR(SUMIF('S3_03-09_AOUT'!$A$3:$A$113,$A103,'S3_03-09_AOUT'!$S$3:$S$113),0)+IFERROR(SUMIF('S4_10-16_AOUT'!$A$3:$A$113,$A103,'S4_10-16_AOUT'!$S$3:$S$113),0)+IFERROR(SUMIF('S5_17-23_AOUT'!$A$3:$A$113,$A103,'S5_17-23_AOUT'!$S$3:$S$113),0)+IFERROR(SUMIF('S6_24-25_AOUT'!$A$3:$A$113,$A103,'S6_24-25_AOUT'!$N$3:$N$113),0)</f>
        <v>0</v>
      </c>
      <c r="R103" s="11">
        <f>IFERROR(SUMIF(S1_26_JUIL!$A$3:$A$113,$A103,S1_26_JUIL!$N$3:$N$113),0)+IFERROR(SUMIF('S2_27_JUIL-02_AOUT'!$A$3:$A$113,$A103,'S2_27_JUIL-02_AOUT'!$T$3:$T$113),0)+IFERROR(SUMIF('S3_03-09_AOUT'!$A$3:$A$113,$A103,'S3_03-09_AOUT'!$T$3:$T$113),0)+IFERROR(SUMIF('S4_10-16_AOUT'!$A$3:$A$113,$A103,'S4_10-16_AOUT'!$T$3:$T$113),0)+IFERROR(SUMIF('S5_17-23_AOUT'!$A$3:$A$113,$A103,'S5_17-23_AOUT'!$T$3:$T$113),0)+IFERROR(SUMIF('S6_24-25_AOUT'!$A$3:$A$113,$A103,'S6_24-25_AOUT'!$O$3:$O$113),0)</f>
        <v>0</v>
      </c>
      <c r="S103" s="8">
        <f>208</f>
        <v>208</v>
      </c>
      <c r="T103" s="8">
        <f t="shared" si="7"/>
        <v>35.999999999999993</v>
      </c>
      <c r="U103" s="10" t="str">
        <f>IF(OR(IFERROR(INDEX(S1_26_JUIL!$P$3:$P$113,MATCH($A103,S1_26_JUIL!$A$3:$A$113,0)),"")="STC",IFERROR(INDEX('S2_27_JUIL-02_AOUT'!$V$3:$V$113,MATCH($A103,'S2_27_JUIL-02_AOUT'!$A$3:$A$113,0)),"")="STC",IFERROR(INDEX('S3_03-09_AOUT'!$V$3:$V$113,MATCH($A103,'S3_03-09_AOUT'!$A$3:$A$113,0)),"")="STC",IFERROR(INDEX('S4_10-16_AOUT'!$V$3:$V$113,MATCH($A103,'S4_10-16_AOUT'!$A$3:$A$113,0)),"")="STC",IFERROR(INDEX('S5_17-23_AOUT'!$V$3:$V$113,MATCH($A103,'S5_17-23_AOUT'!$A$3:$A$113,0)),"")="STC",IFERROR(INDEX('S6_24-25_AOUT'!$Q$3:$Q$113,MATCH($A103,'S6_24-25_AOUT'!$A$3:$A$113,0)),"")="STC"),"STC",IF(OR(IFERROR(INDEX(S1_26_JUIL!$P$3:$P$113,MATCH($A103,S1_26_JUIL!$A$3:$A$113,0)),"")="À vérifier",IFERROR(INDEX('S2_27_JUIL-02_AOUT'!$V$3:$V$113,MATCH($A103,'S2_27_JUIL-02_AOUT'!$A$3:$A$113,0)),"")="À vérifier",IFERROR(INDEX('S3_03-09_AOUT'!$V$3:$V$113,MATCH($A103,'S3_03-09_AOUT'!$A$3:$A$113,0)),"")="À vérifier",IFERROR(INDEX('S4_10-16_AOUT'!$V$3:$V$113,MATCH($A103,'S4_10-16_AOUT'!$A$3:$A$113,0)),"")="À vérifier",IFERROR(INDEX('S5_17-23_AOUT'!$V$3:$V$113,MATCH($A103,'S5_17-23_AOUT'!$A$3:$A$113,0)),"")="À vérifier",IFERROR(INDEX('S6_24-25_AOUT'!$Q$3:$Q$113,MATCH($A103,'S6_24-25_AOUT'!$A$3:$A$113,0)),"")="À vérifier",ABS(L103-T103)&gt;=0.01),"À vérifier","OK"))</f>
        <v>OK</v>
      </c>
    </row>
    <row r="104" spans="1:21">
      <c r="A104" s="12" t="s">
        <v>276</v>
      </c>
      <c r="B104" s="12" t="s">
        <v>277</v>
      </c>
      <c r="C104" s="13" t="s">
        <v>278</v>
      </c>
      <c r="D104" s="12" t="s">
        <v>31</v>
      </c>
      <c r="E104" s="10" t="s">
        <v>123</v>
      </c>
      <c r="F104" s="8">
        <f>IFERROR(SUMIF(S1_26_JUIL!$A$3:$A$113,$A104,S1_26_JUIL!$O$3:$O$113),0)</f>
        <v>0</v>
      </c>
      <c r="G104" s="8">
        <f>IFERROR(SUMIF('S2_27_JUIL-02_AOUT'!$A$3:$A$113,$A104,'S2_27_JUIL-02_AOUT'!$U$3:$U$113),0)</f>
        <v>35.999999999999993</v>
      </c>
      <c r="H104" s="8">
        <f>IFERROR(SUMIF('S3_03-09_AOUT'!$A$3:$A$113,$A104,'S3_03-09_AOUT'!$U$3:$U$113),0)</f>
        <v>0</v>
      </c>
      <c r="I104" s="8">
        <f>IFERROR(SUMIF('S4_10-16_AOUT'!$A$3:$A$113,$A104,'S4_10-16_AOUT'!$U$3:$U$113),0)</f>
        <v>0</v>
      </c>
      <c r="J104" s="8">
        <f>IFERROR(SUMIF('S5_17-23_AOUT'!$A$3:$A$113,$A104,'S5_17-23_AOUT'!$U$3:$U$113),0)</f>
        <v>0</v>
      </c>
      <c r="K104" s="8">
        <f>IFERROR(SUMIF('S6_24-25_AOUT'!$A$3:$A$113,$A104,'S6_24-25_AOUT'!$P$3:$P$113),0)</f>
        <v>0</v>
      </c>
      <c r="L104" s="8">
        <f t="shared" si="6"/>
        <v>35.999999999999993</v>
      </c>
      <c r="M104" s="8">
        <f>IFERROR(SUMIF(S1_26_JUIL!$A$3:$A$113,$A104,S1_26_JUIL!$I$3:$I$113),0)+IFERROR(SUMIF('S2_27_JUIL-02_AOUT'!$A$3:$A$113,$A104,'S2_27_JUIL-02_AOUT'!$O$3:$O$113),0)+IFERROR(SUMIF('S3_03-09_AOUT'!$A$3:$A$113,$A104,'S3_03-09_AOUT'!$O$3:$O$113),0)+IFERROR(SUMIF('S4_10-16_AOUT'!$A$3:$A$113,$A104,'S4_10-16_AOUT'!$O$3:$O$113),0)+IFERROR(SUMIF('S5_17-23_AOUT'!$A$3:$A$113,$A104,'S5_17-23_AOUT'!$O$3:$O$113),0)+IFERROR(SUMIF('S6_24-25_AOUT'!$A$3:$A$113,$A104,'S6_24-25_AOUT'!$J$3:$J$113),0)</f>
        <v>35.999999999999993</v>
      </c>
      <c r="N104" s="9">
        <f>IFERROR(SUMIF(S1_26_JUIL!$A$3:$A$113,$A104,S1_26_JUIL!$J$3:$J$113),0)+IFERROR(SUMIF('S2_27_JUIL-02_AOUT'!$A$3:$A$113,$A104,'S2_27_JUIL-02_AOUT'!$P$3:$P$113),0)+IFERROR(SUMIF('S3_03-09_AOUT'!$A$3:$A$113,$A104,'S3_03-09_AOUT'!$P$3:$P$113),0)+IFERROR(SUMIF('S4_10-16_AOUT'!$A$3:$A$113,$A104,'S4_10-16_AOUT'!$P$3:$P$113),0)+IFERROR(SUMIF('S5_17-23_AOUT'!$A$3:$A$113,$A104,'S5_17-23_AOUT'!$P$3:$P$113),0)+IFERROR(SUMIF('S6_24-25_AOUT'!$A$3:$A$113,$A104,'S6_24-25_AOUT'!$K$3:$K$113),0)</f>
        <v>0</v>
      </c>
      <c r="O104" s="9">
        <f>IFERROR(SUMIF(S1_26_JUIL!$A$3:$A$113,$A104,S1_26_JUIL!$K$3:$K$113),0)+IFERROR(SUMIF('S2_27_JUIL-02_AOUT'!$A$3:$A$113,$A104,'S2_27_JUIL-02_AOUT'!$Q$3:$Q$113),0)+IFERROR(SUMIF('S3_03-09_AOUT'!$A$3:$A$113,$A104,'S3_03-09_AOUT'!$Q$3:$Q$113),0)+IFERROR(SUMIF('S4_10-16_AOUT'!$A$3:$A$113,$A104,'S4_10-16_AOUT'!$Q$3:$Q$113),0)+IFERROR(SUMIF('S5_17-23_AOUT'!$A$3:$A$113,$A104,'S5_17-23_AOUT'!$Q$3:$Q$113),0)+IFERROR(SUMIF('S6_24-25_AOUT'!$A$3:$A$113,$A104,'S6_24-25_AOUT'!$L$3:$L$113),0)</f>
        <v>0</v>
      </c>
      <c r="P104" s="8">
        <f>IFERROR(SUMIF(S1_26_JUIL!$A$3:$A$113,$A104,S1_26_JUIL!$L$3:$L$113),0)+IFERROR(SUMIF('S2_27_JUIL-02_AOUT'!$A$3:$A$113,$A104,'S2_27_JUIL-02_AOUT'!$R$3:$R$113),0)+IFERROR(SUMIF('S3_03-09_AOUT'!$A$3:$A$113,$A104,'S3_03-09_AOUT'!$R$3:$R$113),0)+IFERROR(SUMIF('S4_10-16_AOUT'!$A$3:$A$113,$A104,'S4_10-16_AOUT'!$R$3:$R$113),0)+IFERROR(SUMIF('S5_17-23_AOUT'!$A$3:$A$113,$A104,'S5_17-23_AOUT'!$R$3:$R$113),0)+IFERROR(SUMIF('S6_24-25_AOUT'!$A$3:$A$113,$A104,'S6_24-25_AOUT'!$M$3:$M$113),0)</f>
        <v>1</v>
      </c>
      <c r="Q104" s="8">
        <f>IFERROR(SUMIF(S1_26_JUIL!$A$3:$A$113,$A104,S1_26_JUIL!$M$3:$M$113),0)+IFERROR(SUMIF('S2_27_JUIL-02_AOUT'!$A$3:$A$113,$A104,'S2_27_JUIL-02_AOUT'!$S$3:$S$113),0)+IFERROR(SUMIF('S3_03-09_AOUT'!$A$3:$A$113,$A104,'S3_03-09_AOUT'!$S$3:$S$113),0)+IFERROR(SUMIF('S4_10-16_AOUT'!$A$3:$A$113,$A104,'S4_10-16_AOUT'!$S$3:$S$113),0)+IFERROR(SUMIF('S5_17-23_AOUT'!$A$3:$A$113,$A104,'S5_17-23_AOUT'!$S$3:$S$113),0)+IFERROR(SUMIF('S6_24-25_AOUT'!$A$3:$A$113,$A104,'S6_24-25_AOUT'!$N$3:$N$113),0)</f>
        <v>0</v>
      </c>
      <c r="R104" s="11">
        <f>IFERROR(SUMIF(S1_26_JUIL!$A$3:$A$113,$A104,S1_26_JUIL!$N$3:$N$113),0)+IFERROR(SUMIF('S2_27_JUIL-02_AOUT'!$A$3:$A$113,$A104,'S2_27_JUIL-02_AOUT'!$T$3:$T$113),0)+IFERROR(SUMIF('S3_03-09_AOUT'!$A$3:$A$113,$A104,'S3_03-09_AOUT'!$T$3:$T$113),0)+IFERROR(SUMIF('S4_10-16_AOUT'!$A$3:$A$113,$A104,'S4_10-16_AOUT'!$T$3:$T$113),0)+IFERROR(SUMIF('S5_17-23_AOUT'!$A$3:$A$113,$A104,'S5_17-23_AOUT'!$T$3:$T$113),0)+IFERROR(SUMIF('S6_24-25_AOUT'!$A$3:$A$113,$A104,'S6_24-25_AOUT'!$O$3:$O$113),0)</f>
        <v>0</v>
      </c>
      <c r="S104" s="8">
        <f>208</f>
        <v>208</v>
      </c>
      <c r="T104" s="8">
        <f t="shared" si="7"/>
        <v>35.999999999999993</v>
      </c>
      <c r="U104" s="10" t="str">
        <f>IF(OR(IFERROR(INDEX(S1_26_JUIL!$P$3:$P$113,MATCH($A104,S1_26_JUIL!$A$3:$A$113,0)),"")="STC",IFERROR(INDEX('S2_27_JUIL-02_AOUT'!$V$3:$V$113,MATCH($A104,'S2_27_JUIL-02_AOUT'!$A$3:$A$113,0)),"")="STC",IFERROR(INDEX('S3_03-09_AOUT'!$V$3:$V$113,MATCH($A104,'S3_03-09_AOUT'!$A$3:$A$113,0)),"")="STC",IFERROR(INDEX('S4_10-16_AOUT'!$V$3:$V$113,MATCH($A104,'S4_10-16_AOUT'!$A$3:$A$113,0)),"")="STC",IFERROR(INDEX('S5_17-23_AOUT'!$V$3:$V$113,MATCH($A104,'S5_17-23_AOUT'!$A$3:$A$113,0)),"")="STC",IFERROR(INDEX('S6_24-25_AOUT'!$Q$3:$Q$113,MATCH($A104,'S6_24-25_AOUT'!$A$3:$A$113,0)),"")="STC"),"STC",IF(OR(IFERROR(INDEX(S1_26_JUIL!$P$3:$P$113,MATCH($A104,S1_26_JUIL!$A$3:$A$113,0)),"")="À vérifier",IFERROR(INDEX('S2_27_JUIL-02_AOUT'!$V$3:$V$113,MATCH($A104,'S2_27_JUIL-02_AOUT'!$A$3:$A$113,0)),"")="À vérifier",IFERROR(INDEX('S3_03-09_AOUT'!$V$3:$V$113,MATCH($A104,'S3_03-09_AOUT'!$A$3:$A$113,0)),"")="À vérifier",IFERROR(INDEX('S4_10-16_AOUT'!$V$3:$V$113,MATCH($A104,'S4_10-16_AOUT'!$A$3:$A$113,0)),"")="À vérifier",IFERROR(INDEX('S5_17-23_AOUT'!$V$3:$V$113,MATCH($A104,'S5_17-23_AOUT'!$A$3:$A$113,0)),"")="À vérifier",IFERROR(INDEX('S6_24-25_AOUT'!$Q$3:$Q$113,MATCH($A104,'S6_24-25_AOUT'!$A$3:$A$113,0)),"")="À vérifier",ABS(L104-T104)&gt;=0.01),"À vérifier","OK"))</f>
        <v>OK</v>
      </c>
    </row>
    <row r="105" spans="1:21">
      <c r="A105" s="12">
        <v>215</v>
      </c>
      <c r="B105" s="12" t="s">
        <v>279</v>
      </c>
      <c r="C105" s="13" t="s">
        <v>280</v>
      </c>
      <c r="D105" s="12" t="s">
        <v>31</v>
      </c>
      <c r="E105" s="10" t="s">
        <v>123</v>
      </c>
      <c r="F105" s="8">
        <f>IFERROR(SUMIF(S1_26_JUIL!$A$3:$A$113,$A105,S1_26_JUIL!$O$3:$O$113),0)</f>
        <v>0</v>
      </c>
      <c r="G105" s="8">
        <f>IFERROR(SUMIF('S2_27_JUIL-02_AOUT'!$A$3:$A$113,$A105,'S2_27_JUIL-02_AOUT'!$U$3:$U$113),0)</f>
        <v>47.5</v>
      </c>
      <c r="H105" s="8">
        <f>IFERROR(SUMIF('S3_03-09_AOUT'!$A$3:$A$113,$A105,'S3_03-09_AOUT'!$U$3:$U$113),0)</f>
        <v>0</v>
      </c>
      <c r="I105" s="8">
        <f>IFERROR(SUMIF('S4_10-16_AOUT'!$A$3:$A$113,$A105,'S4_10-16_AOUT'!$U$3:$U$113),0)</f>
        <v>0</v>
      </c>
      <c r="J105" s="8">
        <f>IFERROR(SUMIF('S5_17-23_AOUT'!$A$3:$A$113,$A105,'S5_17-23_AOUT'!$U$3:$U$113),0)</f>
        <v>0</v>
      </c>
      <c r="K105" s="8">
        <f>IFERROR(SUMIF('S6_24-25_AOUT'!$A$3:$A$113,$A105,'S6_24-25_AOUT'!$P$3:$P$113),0)</f>
        <v>0</v>
      </c>
      <c r="L105" s="8">
        <f t="shared" si="6"/>
        <v>47.5</v>
      </c>
      <c r="M105" s="8">
        <f>IFERROR(SUMIF(S1_26_JUIL!$A$3:$A$113,$A105,S1_26_JUIL!$I$3:$I$113),0)+IFERROR(SUMIF('S2_27_JUIL-02_AOUT'!$A$3:$A$113,$A105,'S2_27_JUIL-02_AOUT'!$O$3:$O$113),0)+IFERROR(SUMIF('S3_03-09_AOUT'!$A$3:$A$113,$A105,'S3_03-09_AOUT'!$O$3:$O$113),0)+IFERROR(SUMIF('S4_10-16_AOUT'!$A$3:$A$113,$A105,'S4_10-16_AOUT'!$O$3:$O$113),0)+IFERROR(SUMIF('S5_17-23_AOUT'!$A$3:$A$113,$A105,'S5_17-23_AOUT'!$O$3:$O$113),0)+IFERROR(SUMIF('S6_24-25_AOUT'!$A$3:$A$113,$A105,'S6_24-25_AOUT'!$J$3:$J$113),0)</f>
        <v>47.5</v>
      </c>
      <c r="N105" s="9">
        <f>IFERROR(SUMIF(S1_26_JUIL!$A$3:$A$113,$A105,S1_26_JUIL!$J$3:$J$113),0)+IFERROR(SUMIF('S2_27_JUIL-02_AOUT'!$A$3:$A$113,$A105,'S2_27_JUIL-02_AOUT'!$P$3:$P$113),0)+IFERROR(SUMIF('S3_03-09_AOUT'!$A$3:$A$113,$A105,'S3_03-09_AOUT'!$P$3:$P$113),0)+IFERROR(SUMIF('S4_10-16_AOUT'!$A$3:$A$113,$A105,'S4_10-16_AOUT'!$P$3:$P$113),0)+IFERROR(SUMIF('S5_17-23_AOUT'!$A$3:$A$113,$A105,'S5_17-23_AOUT'!$P$3:$P$113),0)+IFERROR(SUMIF('S6_24-25_AOUT'!$A$3:$A$113,$A105,'S6_24-25_AOUT'!$K$3:$K$113),0)</f>
        <v>0</v>
      </c>
      <c r="O105" s="9">
        <f>IFERROR(SUMIF(S1_26_JUIL!$A$3:$A$113,$A105,S1_26_JUIL!$K$3:$K$113),0)+IFERROR(SUMIF('S2_27_JUIL-02_AOUT'!$A$3:$A$113,$A105,'S2_27_JUIL-02_AOUT'!$Q$3:$Q$113),0)+IFERROR(SUMIF('S3_03-09_AOUT'!$A$3:$A$113,$A105,'S3_03-09_AOUT'!$Q$3:$Q$113),0)+IFERROR(SUMIF('S4_10-16_AOUT'!$A$3:$A$113,$A105,'S4_10-16_AOUT'!$Q$3:$Q$113),0)+IFERROR(SUMIF('S5_17-23_AOUT'!$A$3:$A$113,$A105,'S5_17-23_AOUT'!$Q$3:$Q$113),0)+IFERROR(SUMIF('S6_24-25_AOUT'!$A$3:$A$113,$A105,'S6_24-25_AOUT'!$L$3:$L$113),0)</f>
        <v>0</v>
      </c>
      <c r="P105" s="8">
        <f>IFERROR(SUMIF(S1_26_JUIL!$A$3:$A$113,$A105,S1_26_JUIL!$L$3:$L$113),0)+IFERROR(SUMIF('S2_27_JUIL-02_AOUT'!$A$3:$A$113,$A105,'S2_27_JUIL-02_AOUT'!$R$3:$R$113),0)+IFERROR(SUMIF('S3_03-09_AOUT'!$A$3:$A$113,$A105,'S3_03-09_AOUT'!$R$3:$R$113),0)+IFERROR(SUMIF('S4_10-16_AOUT'!$A$3:$A$113,$A105,'S4_10-16_AOUT'!$R$3:$R$113),0)+IFERROR(SUMIF('S5_17-23_AOUT'!$A$3:$A$113,$A105,'S5_17-23_AOUT'!$R$3:$R$113),0)+IFERROR(SUMIF('S6_24-25_AOUT'!$A$3:$A$113,$A105,'S6_24-25_AOUT'!$M$3:$M$113),0)</f>
        <v>0</v>
      </c>
      <c r="Q105" s="8">
        <f>IFERROR(SUMIF(S1_26_JUIL!$A$3:$A$113,$A105,S1_26_JUIL!$M$3:$M$113),0)+IFERROR(SUMIF('S2_27_JUIL-02_AOUT'!$A$3:$A$113,$A105,'S2_27_JUIL-02_AOUT'!$S$3:$S$113),0)+IFERROR(SUMIF('S3_03-09_AOUT'!$A$3:$A$113,$A105,'S3_03-09_AOUT'!$S$3:$S$113),0)+IFERROR(SUMIF('S4_10-16_AOUT'!$A$3:$A$113,$A105,'S4_10-16_AOUT'!$S$3:$S$113),0)+IFERROR(SUMIF('S5_17-23_AOUT'!$A$3:$A$113,$A105,'S5_17-23_AOUT'!$S$3:$S$113),0)+IFERROR(SUMIF('S6_24-25_AOUT'!$A$3:$A$113,$A105,'S6_24-25_AOUT'!$N$3:$N$113),0)</f>
        <v>0</v>
      </c>
      <c r="R105" s="11">
        <f>IFERROR(SUMIF(S1_26_JUIL!$A$3:$A$113,$A105,S1_26_JUIL!$N$3:$N$113),0)+IFERROR(SUMIF('S2_27_JUIL-02_AOUT'!$A$3:$A$113,$A105,'S2_27_JUIL-02_AOUT'!$T$3:$T$113),0)+IFERROR(SUMIF('S3_03-09_AOUT'!$A$3:$A$113,$A105,'S3_03-09_AOUT'!$T$3:$T$113),0)+IFERROR(SUMIF('S4_10-16_AOUT'!$A$3:$A$113,$A105,'S4_10-16_AOUT'!$T$3:$T$113),0)+IFERROR(SUMIF('S5_17-23_AOUT'!$A$3:$A$113,$A105,'S5_17-23_AOUT'!$T$3:$T$113),0)+IFERROR(SUMIF('S6_24-25_AOUT'!$A$3:$A$113,$A105,'S6_24-25_AOUT'!$O$3:$O$113),0)</f>
        <v>0</v>
      </c>
      <c r="S105" s="8">
        <f>208</f>
        <v>208</v>
      </c>
      <c r="T105" s="8">
        <f t="shared" si="7"/>
        <v>47.5</v>
      </c>
      <c r="U105" s="10" t="str">
        <f>IF(OR(IFERROR(INDEX(S1_26_JUIL!$P$3:$P$113,MATCH($A105,S1_26_JUIL!$A$3:$A$113,0)),"")="STC",IFERROR(INDEX('S2_27_JUIL-02_AOUT'!$V$3:$V$113,MATCH($A105,'S2_27_JUIL-02_AOUT'!$A$3:$A$113,0)),"")="STC",IFERROR(INDEX('S3_03-09_AOUT'!$V$3:$V$113,MATCH($A105,'S3_03-09_AOUT'!$A$3:$A$113,0)),"")="STC",IFERROR(INDEX('S4_10-16_AOUT'!$V$3:$V$113,MATCH($A105,'S4_10-16_AOUT'!$A$3:$A$113,0)),"")="STC",IFERROR(INDEX('S5_17-23_AOUT'!$V$3:$V$113,MATCH($A105,'S5_17-23_AOUT'!$A$3:$A$113,0)),"")="STC",IFERROR(INDEX('S6_24-25_AOUT'!$Q$3:$Q$113,MATCH($A105,'S6_24-25_AOUT'!$A$3:$A$113,0)),"")="STC"),"STC",IF(OR(IFERROR(INDEX(S1_26_JUIL!$P$3:$P$113,MATCH($A105,S1_26_JUIL!$A$3:$A$113,0)),"")="À vérifier",IFERROR(INDEX('S2_27_JUIL-02_AOUT'!$V$3:$V$113,MATCH($A105,'S2_27_JUIL-02_AOUT'!$A$3:$A$113,0)),"")="À vérifier",IFERROR(INDEX('S3_03-09_AOUT'!$V$3:$V$113,MATCH($A105,'S3_03-09_AOUT'!$A$3:$A$113,0)),"")="À vérifier",IFERROR(INDEX('S4_10-16_AOUT'!$V$3:$V$113,MATCH($A105,'S4_10-16_AOUT'!$A$3:$A$113,0)),"")="À vérifier",IFERROR(INDEX('S5_17-23_AOUT'!$V$3:$V$113,MATCH($A105,'S5_17-23_AOUT'!$A$3:$A$113,0)),"")="À vérifier",IFERROR(INDEX('S6_24-25_AOUT'!$Q$3:$Q$113,MATCH($A105,'S6_24-25_AOUT'!$A$3:$A$113,0)),"")="À vérifier",ABS(L105-T105)&gt;=0.01),"À vérifier","OK"))</f>
        <v>OK</v>
      </c>
    </row>
    <row r="106" spans="1:21">
      <c r="A106" s="12">
        <v>204</v>
      </c>
      <c r="B106" s="12" t="s">
        <v>281</v>
      </c>
      <c r="C106" s="13" t="s">
        <v>282</v>
      </c>
      <c r="D106" s="12" t="s">
        <v>31</v>
      </c>
      <c r="E106" s="10" t="s">
        <v>123</v>
      </c>
      <c r="F106" s="8">
        <f>IFERROR(SUMIF(S1_26_JUIL!$A$3:$A$113,$A106,S1_26_JUIL!$O$3:$O$113),0)</f>
        <v>0</v>
      </c>
      <c r="G106" s="8">
        <f>IFERROR(SUMIF('S2_27_JUIL-02_AOUT'!$A$3:$A$113,$A106,'S2_27_JUIL-02_AOUT'!$U$3:$U$113),0)</f>
        <v>47.5</v>
      </c>
      <c r="H106" s="8">
        <f>IFERROR(SUMIF('S3_03-09_AOUT'!$A$3:$A$113,$A106,'S3_03-09_AOUT'!$U$3:$U$113),0)</f>
        <v>0</v>
      </c>
      <c r="I106" s="8">
        <f>IFERROR(SUMIF('S4_10-16_AOUT'!$A$3:$A$113,$A106,'S4_10-16_AOUT'!$U$3:$U$113),0)</f>
        <v>0</v>
      </c>
      <c r="J106" s="8">
        <f>IFERROR(SUMIF('S5_17-23_AOUT'!$A$3:$A$113,$A106,'S5_17-23_AOUT'!$U$3:$U$113),0)</f>
        <v>0</v>
      </c>
      <c r="K106" s="8">
        <f>IFERROR(SUMIF('S6_24-25_AOUT'!$A$3:$A$113,$A106,'S6_24-25_AOUT'!$P$3:$P$113),0)</f>
        <v>0</v>
      </c>
      <c r="L106" s="8">
        <f t="shared" si="6"/>
        <v>47.5</v>
      </c>
      <c r="M106" s="8">
        <f>IFERROR(SUMIF(S1_26_JUIL!$A$3:$A$113,$A106,S1_26_JUIL!$I$3:$I$113),0)+IFERROR(SUMIF('S2_27_JUIL-02_AOUT'!$A$3:$A$113,$A106,'S2_27_JUIL-02_AOUT'!$O$3:$O$113),0)+IFERROR(SUMIF('S3_03-09_AOUT'!$A$3:$A$113,$A106,'S3_03-09_AOUT'!$O$3:$O$113),0)+IFERROR(SUMIF('S4_10-16_AOUT'!$A$3:$A$113,$A106,'S4_10-16_AOUT'!$O$3:$O$113),0)+IFERROR(SUMIF('S5_17-23_AOUT'!$A$3:$A$113,$A106,'S5_17-23_AOUT'!$O$3:$O$113),0)+IFERROR(SUMIF('S6_24-25_AOUT'!$A$3:$A$113,$A106,'S6_24-25_AOUT'!$J$3:$J$113),0)</f>
        <v>47.5</v>
      </c>
      <c r="N106" s="9">
        <f>IFERROR(SUMIF(S1_26_JUIL!$A$3:$A$113,$A106,S1_26_JUIL!$J$3:$J$113),0)+IFERROR(SUMIF('S2_27_JUIL-02_AOUT'!$A$3:$A$113,$A106,'S2_27_JUIL-02_AOUT'!$P$3:$P$113),0)+IFERROR(SUMIF('S3_03-09_AOUT'!$A$3:$A$113,$A106,'S3_03-09_AOUT'!$P$3:$P$113),0)+IFERROR(SUMIF('S4_10-16_AOUT'!$A$3:$A$113,$A106,'S4_10-16_AOUT'!$P$3:$P$113),0)+IFERROR(SUMIF('S5_17-23_AOUT'!$A$3:$A$113,$A106,'S5_17-23_AOUT'!$P$3:$P$113),0)+IFERROR(SUMIF('S6_24-25_AOUT'!$A$3:$A$113,$A106,'S6_24-25_AOUT'!$K$3:$K$113),0)</f>
        <v>0</v>
      </c>
      <c r="O106" s="9">
        <f>IFERROR(SUMIF(S1_26_JUIL!$A$3:$A$113,$A106,S1_26_JUIL!$K$3:$K$113),0)+IFERROR(SUMIF('S2_27_JUIL-02_AOUT'!$A$3:$A$113,$A106,'S2_27_JUIL-02_AOUT'!$Q$3:$Q$113),0)+IFERROR(SUMIF('S3_03-09_AOUT'!$A$3:$A$113,$A106,'S3_03-09_AOUT'!$Q$3:$Q$113),0)+IFERROR(SUMIF('S4_10-16_AOUT'!$A$3:$A$113,$A106,'S4_10-16_AOUT'!$Q$3:$Q$113),0)+IFERROR(SUMIF('S5_17-23_AOUT'!$A$3:$A$113,$A106,'S5_17-23_AOUT'!$Q$3:$Q$113),0)+IFERROR(SUMIF('S6_24-25_AOUT'!$A$3:$A$113,$A106,'S6_24-25_AOUT'!$L$3:$L$113),0)</f>
        <v>0</v>
      </c>
      <c r="P106" s="8">
        <f>IFERROR(SUMIF(S1_26_JUIL!$A$3:$A$113,$A106,S1_26_JUIL!$L$3:$L$113),0)+IFERROR(SUMIF('S2_27_JUIL-02_AOUT'!$A$3:$A$113,$A106,'S2_27_JUIL-02_AOUT'!$R$3:$R$113),0)+IFERROR(SUMIF('S3_03-09_AOUT'!$A$3:$A$113,$A106,'S3_03-09_AOUT'!$R$3:$R$113),0)+IFERROR(SUMIF('S4_10-16_AOUT'!$A$3:$A$113,$A106,'S4_10-16_AOUT'!$R$3:$R$113),0)+IFERROR(SUMIF('S5_17-23_AOUT'!$A$3:$A$113,$A106,'S5_17-23_AOUT'!$R$3:$R$113),0)+IFERROR(SUMIF('S6_24-25_AOUT'!$A$3:$A$113,$A106,'S6_24-25_AOUT'!$M$3:$M$113),0)</f>
        <v>0</v>
      </c>
      <c r="Q106" s="8">
        <f>IFERROR(SUMIF(S1_26_JUIL!$A$3:$A$113,$A106,S1_26_JUIL!$M$3:$M$113),0)+IFERROR(SUMIF('S2_27_JUIL-02_AOUT'!$A$3:$A$113,$A106,'S2_27_JUIL-02_AOUT'!$S$3:$S$113),0)+IFERROR(SUMIF('S3_03-09_AOUT'!$A$3:$A$113,$A106,'S3_03-09_AOUT'!$S$3:$S$113),0)+IFERROR(SUMIF('S4_10-16_AOUT'!$A$3:$A$113,$A106,'S4_10-16_AOUT'!$S$3:$S$113),0)+IFERROR(SUMIF('S5_17-23_AOUT'!$A$3:$A$113,$A106,'S5_17-23_AOUT'!$S$3:$S$113),0)+IFERROR(SUMIF('S6_24-25_AOUT'!$A$3:$A$113,$A106,'S6_24-25_AOUT'!$N$3:$N$113),0)</f>
        <v>0</v>
      </c>
      <c r="R106" s="11">
        <f>IFERROR(SUMIF(S1_26_JUIL!$A$3:$A$113,$A106,S1_26_JUIL!$N$3:$N$113),0)+IFERROR(SUMIF('S2_27_JUIL-02_AOUT'!$A$3:$A$113,$A106,'S2_27_JUIL-02_AOUT'!$T$3:$T$113),0)+IFERROR(SUMIF('S3_03-09_AOUT'!$A$3:$A$113,$A106,'S3_03-09_AOUT'!$T$3:$T$113),0)+IFERROR(SUMIF('S4_10-16_AOUT'!$A$3:$A$113,$A106,'S4_10-16_AOUT'!$T$3:$T$113),0)+IFERROR(SUMIF('S5_17-23_AOUT'!$A$3:$A$113,$A106,'S5_17-23_AOUT'!$T$3:$T$113),0)+IFERROR(SUMIF('S6_24-25_AOUT'!$A$3:$A$113,$A106,'S6_24-25_AOUT'!$O$3:$O$113),0)</f>
        <v>0</v>
      </c>
      <c r="S106" s="8">
        <f>208</f>
        <v>208</v>
      </c>
      <c r="T106" s="8">
        <f t="shared" si="7"/>
        <v>47.5</v>
      </c>
      <c r="U106" s="10" t="str">
        <f>IF(OR(IFERROR(INDEX(S1_26_JUIL!$P$3:$P$113,MATCH($A106,S1_26_JUIL!$A$3:$A$113,0)),"")="STC",IFERROR(INDEX('S2_27_JUIL-02_AOUT'!$V$3:$V$113,MATCH($A106,'S2_27_JUIL-02_AOUT'!$A$3:$A$113,0)),"")="STC",IFERROR(INDEX('S3_03-09_AOUT'!$V$3:$V$113,MATCH($A106,'S3_03-09_AOUT'!$A$3:$A$113,0)),"")="STC",IFERROR(INDEX('S4_10-16_AOUT'!$V$3:$V$113,MATCH($A106,'S4_10-16_AOUT'!$A$3:$A$113,0)),"")="STC",IFERROR(INDEX('S5_17-23_AOUT'!$V$3:$V$113,MATCH($A106,'S5_17-23_AOUT'!$A$3:$A$113,0)),"")="STC",IFERROR(INDEX('S6_24-25_AOUT'!$Q$3:$Q$113,MATCH($A106,'S6_24-25_AOUT'!$A$3:$A$113,0)),"")="STC"),"STC",IF(OR(IFERROR(INDEX(S1_26_JUIL!$P$3:$P$113,MATCH($A106,S1_26_JUIL!$A$3:$A$113,0)),"")="À vérifier",IFERROR(INDEX('S2_27_JUIL-02_AOUT'!$V$3:$V$113,MATCH($A106,'S2_27_JUIL-02_AOUT'!$A$3:$A$113,0)),"")="À vérifier",IFERROR(INDEX('S3_03-09_AOUT'!$V$3:$V$113,MATCH($A106,'S3_03-09_AOUT'!$A$3:$A$113,0)),"")="À vérifier",IFERROR(INDEX('S4_10-16_AOUT'!$V$3:$V$113,MATCH($A106,'S4_10-16_AOUT'!$A$3:$A$113,0)),"")="À vérifier",IFERROR(INDEX('S5_17-23_AOUT'!$V$3:$V$113,MATCH($A106,'S5_17-23_AOUT'!$A$3:$A$113,0)),"")="À vérifier",IFERROR(INDEX('S6_24-25_AOUT'!$Q$3:$Q$113,MATCH($A106,'S6_24-25_AOUT'!$A$3:$A$113,0)),"")="À vérifier",ABS(L106-T106)&gt;=0.01),"À vérifier","OK"))</f>
        <v>OK</v>
      </c>
    </row>
    <row r="107" spans="1:21">
      <c r="A107" s="12" t="s">
        <v>283</v>
      </c>
      <c r="B107" s="12" t="s">
        <v>284</v>
      </c>
      <c r="C107" s="13" t="s">
        <v>285</v>
      </c>
      <c r="D107" s="12" t="s">
        <v>31</v>
      </c>
      <c r="E107" s="10" t="s">
        <v>123</v>
      </c>
      <c r="F107" s="8">
        <f>IFERROR(SUMIF(S1_26_JUIL!$A$3:$A$113,$A107,S1_26_JUIL!$O$3:$O$113),0)</f>
        <v>0</v>
      </c>
      <c r="G107" s="8">
        <f>IFERROR(SUMIF('S2_27_JUIL-02_AOUT'!$A$3:$A$113,$A107,'S2_27_JUIL-02_AOUT'!$U$3:$U$113),0)</f>
        <v>47.5</v>
      </c>
      <c r="H107" s="8">
        <f>IFERROR(SUMIF('S3_03-09_AOUT'!$A$3:$A$113,$A107,'S3_03-09_AOUT'!$U$3:$U$113),0)</f>
        <v>0</v>
      </c>
      <c r="I107" s="8">
        <f>IFERROR(SUMIF('S4_10-16_AOUT'!$A$3:$A$113,$A107,'S4_10-16_AOUT'!$U$3:$U$113),0)</f>
        <v>0</v>
      </c>
      <c r="J107" s="8">
        <f>IFERROR(SUMIF('S5_17-23_AOUT'!$A$3:$A$113,$A107,'S5_17-23_AOUT'!$U$3:$U$113),0)</f>
        <v>0</v>
      </c>
      <c r="K107" s="8">
        <f>IFERROR(SUMIF('S6_24-25_AOUT'!$A$3:$A$113,$A107,'S6_24-25_AOUT'!$P$3:$P$113),0)</f>
        <v>0</v>
      </c>
      <c r="L107" s="8">
        <f t="shared" si="6"/>
        <v>47.5</v>
      </c>
      <c r="M107" s="8">
        <f>IFERROR(SUMIF(S1_26_JUIL!$A$3:$A$113,$A107,S1_26_JUIL!$I$3:$I$113),0)+IFERROR(SUMIF('S2_27_JUIL-02_AOUT'!$A$3:$A$113,$A107,'S2_27_JUIL-02_AOUT'!$O$3:$O$113),0)+IFERROR(SUMIF('S3_03-09_AOUT'!$A$3:$A$113,$A107,'S3_03-09_AOUT'!$O$3:$O$113),0)+IFERROR(SUMIF('S4_10-16_AOUT'!$A$3:$A$113,$A107,'S4_10-16_AOUT'!$O$3:$O$113),0)+IFERROR(SUMIF('S5_17-23_AOUT'!$A$3:$A$113,$A107,'S5_17-23_AOUT'!$O$3:$O$113),0)+IFERROR(SUMIF('S6_24-25_AOUT'!$A$3:$A$113,$A107,'S6_24-25_AOUT'!$J$3:$J$113),0)</f>
        <v>47.5</v>
      </c>
      <c r="N107" s="9">
        <f>IFERROR(SUMIF(S1_26_JUIL!$A$3:$A$113,$A107,S1_26_JUIL!$J$3:$J$113),0)+IFERROR(SUMIF('S2_27_JUIL-02_AOUT'!$A$3:$A$113,$A107,'S2_27_JUIL-02_AOUT'!$P$3:$P$113),0)+IFERROR(SUMIF('S3_03-09_AOUT'!$A$3:$A$113,$A107,'S3_03-09_AOUT'!$P$3:$P$113),0)+IFERROR(SUMIF('S4_10-16_AOUT'!$A$3:$A$113,$A107,'S4_10-16_AOUT'!$P$3:$P$113),0)+IFERROR(SUMIF('S5_17-23_AOUT'!$A$3:$A$113,$A107,'S5_17-23_AOUT'!$P$3:$P$113),0)+IFERROR(SUMIF('S6_24-25_AOUT'!$A$3:$A$113,$A107,'S6_24-25_AOUT'!$K$3:$K$113),0)</f>
        <v>0</v>
      </c>
      <c r="O107" s="9">
        <f>IFERROR(SUMIF(S1_26_JUIL!$A$3:$A$113,$A107,S1_26_JUIL!$K$3:$K$113),0)+IFERROR(SUMIF('S2_27_JUIL-02_AOUT'!$A$3:$A$113,$A107,'S2_27_JUIL-02_AOUT'!$Q$3:$Q$113),0)+IFERROR(SUMIF('S3_03-09_AOUT'!$A$3:$A$113,$A107,'S3_03-09_AOUT'!$Q$3:$Q$113),0)+IFERROR(SUMIF('S4_10-16_AOUT'!$A$3:$A$113,$A107,'S4_10-16_AOUT'!$Q$3:$Q$113),0)+IFERROR(SUMIF('S5_17-23_AOUT'!$A$3:$A$113,$A107,'S5_17-23_AOUT'!$Q$3:$Q$113),0)+IFERROR(SUMIF('S6_24-25_AOUT'!$A$3:$A$113,$A107,'S6_24-25_AOUT'!$L$3:$L$113),0)</f>
        <v>0</v>
      </c>
      <c r="P107" s="8">
        <f>IFERROR(SUMIF(S1_26_JUIL!$A$3:$A$113,$A107,S1_26_JUIL!$L$3:$L$113),0)+IFERROR(SUMIF('S2_27_JUIL-02_AOUT'!$A$3:$A$113,$A107,'S2_27_JUIL-02_AOUT'!$R$3:$R$113),0)+IFERROR(SUMIF('S3_03-09_AOUT'!$A$3:$A$113,$A107,'S3_03-09_AOUT'!$R$3:$R$113),0)+IFERROR(SUMIF('S4_10-16_AOUT'!$A$3:$A$113,$A107,'S4_10-16_AOUT'!$R$3:$R$113),0)+IFERROR(SUMIF('S5_17-23_AOUT'!$A$3:$A$113,$A107,'S5_17-23_AOUT'!$R$3:$R$113),0)+IFERROR(SUMIF('S6_24-25_AOUT'!$A$3:$A$113,$A107,'S6_24-25_AOUT'!$M$3:$M$113),0)</f>
        <v>0</v>
      </c>
      <c r="Q107" s="8">
        <f>IFERROR(SUMIF(S1_26_JUIL!$A$3:$A$113,$A107,S1_26_JUIL!$M$3:$M$113),0)+IFERROR(SUMIF('S2_27_JUIL-02_AOUT'!$A$3:$A$113,$A107,'S2_27_JUIL-02_AOUT'!$S$3:$S$113),0)+IFERROR(SUMIF('S3_03-09_AOUT'!$A$3:$A$113,$A107,'S3_03-09_AOUT'!$S$3:$S$113),0)+IFERROR(SUMIF('S4_10-16_AOUT'!$A$3:$A$113,$A107,'S4_10-16_AOUT'!$S$3:$S$113),0)+IFERROR(SUMIF('S5_17-23_AOUT'!$A$3:$A$113,$A107,'S5_17-23_AOUT'!$S$3:$S$113),0)+IFERROR(SUMIF('S6_24-25_AOUT'!$A$3:$A$113,$A107,'S6_24-25_AOUT'!$N$3:$N$113),0)</f>
        <v>0</v>
      </c>
      <c r="R107" s="11">
        <f>IFERROR(SUMIF(S1_26_JUIL!$A$3:$A$113,$A107,S1_26_JUIL!$N$3:$N$113),0)+IFERROR(SUMIF('S2_27_JUIL-02_AOUT'!$A$3:$A$113,$A107,'S2_27_JUIL-02_AOUT'!$T$3:$T$113),0)+IFERROR(SUMIF('S3_03-09_AOUT'!$A$3:$A$113,$A107,'S3_03-09_AOUT'!$T$3:$T$113),0)+IFERROR(SUMIF('S4_10-16_AOUT'!$A$3:$A$113,$A107,'S4_10-16_AOUT'!$T$3:$T$113),0)+IFERROR(SUMIF('S5_17-23_AOUT'!$A$3:$A$113,$A107,'S5_17-23_AOUT'!$T$3:$T$113),0)+IFERROR(SUMIF('S6_24-25_AOUT'!$A$3:$A$113,$A107,'S6_24-25_AOUT'!$O$3:$O$113),0)</f>
        <v>0</v>
      </c>
      <c r="S107" s="8">
        <f>208</f>
        <v>208</v>
      </c>
      <c r="T107" s="8">
        <f t="shared" si="7"/>
        <v>47.5</v>
      </c>
      <c r="U107" s="10" t="str">
        <f>IF(OR(IFERROR(INDEX(S1_26_JUIL!$P$3:$P$113,MATCH($A107,S1_26_JUIL!$A$3:$A$113,0)),"")="STC",IFERROR(INDEX('S2_27_JUIL-02_AOUT'!$V$3:$V$113,MATCH($A107,'S2_27_JUIL-02_AOUT'!$A$3:$A$113,0)),"")="STC",IFERROR(INDEX('S3_03-09_AOUT'!$V$3:$V$113,MATCH($A107,'S3_03-09_AOUT'!$A$3:$A$113,0)),"")="STC",IFERROR(INDEX('S4_10-16_AOUT'!$V$3:$V$113,MATCH($A107,'S4_10-16_AOUT'!$A$3:$A$113,0)),"")="STC",IFERROR(INDEX('S5_17-23_AOUT'!$V$3:$V$113,MATCH($A107,'S5_17-23_AOUT'!$A$3:$A$113,0)),"")="STC",IFERROR(INDEX('S6_24-25_AOUT'!$Q$3:$Q$113,MATCH($A107,'S6_24-25_AOUT'!$A$3:$A$113,0)),"")="STC"),"STC",IF(OR(IFERROR(INDEX(S1_26_JUIL!$P$3:$P$113,MATCH($A107,S1_26_JUIL!$A$3:$A$113,0)),"")="À vérifier",IFERROR(INDEX('S2_27_JUIL-02_AOUT'!$V$3:$V$113,MATCH($A107,'S2_27_JUIL-02_AOUT'!$A$3:$A$113,0)),"")="À vérifier",IFERROR(INDEX('S3_03-09_AOUT'!$V$3:$V$113,MATCH($A107,'S3_03-09_AOUT'!$A$3:$A$113,0)),"")="À vérifier",IFERROR(INDEX('S4_10-16_AOUT'!$V$3:$V$113,MATCH($A107,'S4_10-16_AOUT'!$A$3:$A$113,0)),"")="À vérifier",IFERROR(INDEX('S5_17-23_AOUT'!$V$3:$V$113,MATCH($A107,'S5_17-23_AOUT'!$A$3:$A$113,0)),"")="À vérifier",IFERROR(INDEX('S6_24-25_AOUT'!$Q$3:$Q$113,MATCH($A107,'S6_24-25_AOUT'!$A$3:$A$113,0)),"")="À vérifier",ABS(L107-T107)&gt;=0.01),"À vérifier","OK"))</f>
        <v>OK</v>
      </c>
    </row>
    <row r="108" spans="1:21">
      <c r="A108" s="12" t="s">
        <v>286</v>
      </c>
      <c r="B108" s="12" t="s">
        <v>63</v>
      </c>
      <c r="C108" s="13" t="s">
        <v>287</v>
      </c>
      <c r="D108" s="12" t="s">
        <v>49</v>
      </c>
      <c r="E108" s="10" t="s">
        <v>123</v>
      </c>
      <c r="F108" s="8">
        <f>IFERROR(SUMIF(S1_26_JUIL!$A$3:$A$113,$A108,S1_26_JUIL!$O$3:$O$113),0)</f>
        <v>0</v>
      </c>
      <c r="G108" s="8">
        <f>IFERROR(SUMIF('S2_27_JUIL-02_AOUT'!$A$3:$A$113,$A108,'S2_27_JUIL-02_AOUT'!$U$3:$U$113),0)</f>
        <v>47.5</v>
      </c>
      <c r="H108" s="8">
        <f>IFERROR(SUMIF('S3_03-09_AOUT'!$A$3:$A$113,$A108,'S3_03-09_AOUT'!$U$3:$U$113),0)</f>
        <v>0</v>
      </c>
      <c r="I108" s="8">
        <f>IFERROR(SUMIF('S4_10-16_AOUT'!$A$3:$A$113,$A108,'S4_10-16_AOUT'!$U$3:$U$113),0)</f>
        <v>0</v>
      </c>
      <c r="J108" s="8">
        <f>IFERROR(SUMIF('S5_17-23_AOUT'!$A$3:$A$113,$A108,'S5_17-23_AOUT'!$U$3:$U$113),0)</f>
        <v>0</v>
      </c>
      <c r="K108" s="8">
        <f>IFERROR(SUMIF('S6_24-25_AOUT'!$A$3:$A$113,$A108,'S6_24-25_AOUT'!$P$3:$P$113),0)</f>
        <v>0</v>
      </c>
      <c r="L108" s="8">
        <f t="shared" si="6"/>
        <v>47.5</v>
      </c>
      <c r="M108" s="8">
        <f>IFERROR(SUMIF(S1_26_JUIL!$A$3:$A$113,$A108,S1_26_JUIL!$I$3:$I$113),0)+IFERROR(SUMIF('S2_27_JUIL-02_AOUT'!$A$3:$A$113,$A108,'S2_27_JUIL-02_AOUT'!$O$3:$O$113),0)+IFERROR(SUMIF('S3_03-09_AOUT'!$A$3:$A$113,$A108,'S3_03-09_AOUT'!$O$3:$O$113),0)+IFERROR(SUMIF('S4_10-16_AOUT'!$A$3:$A$113,$A108,'S4_10-16_AOUT'!$O$3:$O$113),0)+IFERROR(SUMIF('S5_17-23_AOUT'!$A$3:$A$113,$A108,'S5_17-23_AOUT'!$O$3:$O$113),0)+IFERROR(SUMIF('S6_24-25_AOUT'!$A$3:$A$113,$A108,'S6_24-25_AOUT'!$J$3:$J$113),0)</f>
        <v>47.5</v>
      </c>
      <c r="N108" s="9">
        <f>IFERROR(SUMIF(S1_26_JUIL!$A$3:$A$113,$A108,S1_26_JUIL!$J$3:$J$113),0)+IFERROR(SUMIF('S2_27_JUIL-02_AOUT'!$A$3:$A$113,$A108,'S2_27_JUIL-02_AOUT'!$P$3:$P$113),0)+IFERROR(SUMIF('S3_03-09_AOUT'!$A$3:$A$113,$A108,'S3_03-09_AOUT'!$P$3:$P$113),0)+IFERROR(SUMIF('S4_10-16_AOUT'!$A$3:$A$113,$A108,'S4_10-16_AOUT'!$P$3:$P$113),0)+IFERROR(SUMIF('S5_17-23_AOUT'!$A$3:$A$113,$A108,'S5_17-23_AOUT'!$P$3:$P$113),0)+IFERROR(SUMIF('S6_24-25_AOUT'!$A$3:$A$113,$A108,'S6_24-25_AOUT'!$K$3:$K$113),0)</f>
        <v>0</v>
      </c>
      <c r="O108" s="9">
        <f>IFERROR(SUMIF(S1_26_JUIL!$A$3:$A$113,$A108,S1_26_JUIL!$K$3:$K$113),0)+IFERROR(SUMIF('S2_27_JUIL-02_AOUT'!$A$3:$A$113,$A108,'S2_27_JUIL-02_AOUT'!$Q$3:$Q$113),0)+IFERROR(SUMIF('S3_03-09_AOUT'!$A$3:$A$113,$A108,'S3_03-09_AOUT'!$Q$3:$Q$113),0)+IFERROR(SUMIF('S4_10-16_AOUT'!$A$3:$A$113,$A108,'S4_10-16_AOUT'!$Q$3:$Q$113),0)+IFERROR(SUMIF('S5_17-23_AOUT'!$A$3:$A$113,$A108,'S5_17-23_AOUT'!$Q$3:$Q$113),0)+IFERROR(SUMIF('S6_24-25_AOUT'!$A$3:$A$113,$A108,'S6_24-25_AOUT'!$L$3:$L$113),0)</f>
        <v>0</v>
      </c>
      <c r="P108" s="8">
        <f>IFERROR(SUMIF(S1_26_JUIL!$A$3:$A$113,$A108,S1_26_JUIL!$L$3:$L$113),0)+IFERROR(SUMIF('S2_27_JUIL-02_AOUT'!$A$3:$A$113,$A108,'S2_27_JUIL-02_AOUT'!$R$3:$R$113),0)+IFERROR(SUMIF('S3_03-09_AOUT'!$A$3:$A$113,$A108,'S3_03-09_AOUT'!$R$3:$R$113),0)+IFERROR(SUMIF('S4_10-16_AOUT'!$A$3:$A$113,$A108,'S4_10-16_AOUT'!$R$3:$R$113),0)+IFERROR(SUMIF('S5_17-23_AOUT'!$A$3:$A$113,$A108,'S5_17-23_AOUT'!$R$3:$R$113),0)+IFERROR(SUMIF('S6_24-25_AOUT'!$A$3:$A$113,$A108,'S6_24-25_AOUT'!$M$3:$M$113),0)</f>
        <v>0</v>
      </c>
      <c r="Q108" s="8">
        <f>IFERROR(SUMIF(S1_26_JUIL!$A$3:$A$113,$A108,S1_26_JUIL!$M$3:$M$113),0)+IFERROR(SUMIF('S2_27_JUIL-02_AOUT'!$A$3:$A$113,$A108,'S2_27_JUIL-02_AOUT'!$S$3:$S$113),0)+IFERROR(SUMIF('S3_03-09_AOUT'!$A$3:$A$113,$A108,'S3_03-09_AOUT'!$S$3:$S$113),0)+IFERROR(SUMIF('S4_10-16_AOUT'!$A$3:$A$113,$A108,'S4_10-16_AOUT'!$S$3:$S$113),0)+IFERROR(SUMIF('S5_17-23_AOUT'!$A$3:$A$113,$A108,'S5_17-23_AOUT'!$S$3:$S$113),0)+IFERROR(SUMIF('S6_24-25_AOUT'!$A$3:$A$113,$A108,'S6_24-25_AOUT'!$N$3:$N$113),0)</f>
        <v>0</v>
      </c>
      <c r="R108" s="11">
        <f>IFERROR(SUMIF(S1_26_JUIL!$A$3:$A$113,$A108,S1_26_JUIL!$N$3:$N$113),0)+IFERROR(SUMIF('S2_27_JUIL-02_AOUT'!$A$3:$A$113,$A108,'S2_27_JUIL-02_AOUT'!$T$3:$T$113),0)+IFERROR(SUMIF('S3_03-09_AOUT'!$A$3:$A$113,$A108,'S3_03-09_AOUT'!$T$3:$T$113),0)+IFERROR(SUMIF('S4_10-16_AOUT'!$A$3:$A$113,$A108,'S4_10-16_AOUT'!$T$3:$T$113),0)+IFERROR(SUMIF('S5_17-23_AOUT'!$A$3:$A$113,$A108,'S5_17-23_AOUT'!$T$3:$T$113),0)+IFERROR(SUMIF('S6_24-25_AOUT'!$A$3:$A$113,$A108,'S6_24-25_AOUT'!$O$3:$O$113),0)</f>
        <v>0</v>
      </c>
      <c r="S108" s="8">
        <f>208</f>
        <v>208</v>
      </c>
      <c r="T108" s="8">
        <f t="shared" si="7"/>
        <v>47.5</v>
      </c>
      <c r="U108" s="10" t="str">
        <f>IF(OR(IFERROR(INDEX(S1_26_JUIL!$P$3:$P$113,MATCH($A108,S1_26_JUIL!$A$3:$A$113,0)),"")="STC",IFERROR(INDEX('S2_27_JUIL-02_AOUT'!$V$3:$V$113,MATCH($A108,'S2_27_JUIL-02_AOUT'!$A$3:$A$113,0)),"")="STC",IFERROR(INDEX('S3_03-09_AOUT'!$V$3:$V$113,MATCH($A108,'S3_03-09_AOUT'!$A$3:$A$113,0)),"")="STC",IFERROR(INDEX('S4_10-16_AOUT'!$V$3:$V$113,MATCH($A108,'S4_10-16_AOUT'!$A$3:$A$113,0)),"")="STC",IFERROR(INDEX('S5_17-23_AOUT'!$V$3:$V$113,MATCH($A108,'S5_17-23_AOUT'!$A$3:$A$113,0)),"")="STC",IFERROR(INDEX('S6_24-25_AOUT'!$Q$3:$Q$113,MATCH($A108,'S6_24-25_AOUT'!$A$3:$A$113,0)),"")="STC"),"STC",IF(OR(IFERROR(INDEX(S1_26_JUIL!$P$3:$P$113,MATCH($A108,S1_26_JUIL!$A$3:$A$113,0)),"")="À vérifier",IFERROR(INDEX('S2_27_JUIL-02_AOUT'!$V$3:$V$113,MATCH($A108,'S2_27_JUIL-02_AOUT'!$A$3:$A$113,0)),"")="À vérifier",IFERROR(INDEX('S3_03-09_AOUT'!$V$3:$V$113,MATCH($A108,'S3_03-09_AOUT'!$A$3:$A$113,0)),"")="À vérifier",IFERROR(INDEX('S4_10-16_AOUT'!$V$3:$V$113,MATCH($A108,'S4_10-16_AOUT'!$A$3:$A$113,0)),"")="À vérifier",IFERROR(INDEX('S5_17-23_AOUT'!$V$3:$V$113,MATCH($A108,'S5_17-23_AOUT'!$A$3:$A$113,0)),"")="À vérifier",IFERROR(INDEX('S6_24-25_AOUT'!$Q$3:$Q$113,MATCH($A108,'S6_24-25_AOUT'!$A$3:$A$113,0)),"")="À vérifier",ABS(L108-T108)&gt;=0.01),"À vérifier","OK"))</f>
        <v>OK</v>
      </c>
    </row>
    <row r="109" spans="1:21">
      <c r="A109" s="12" t="s">
        <v>288</v>
      </c>
      <c r="B109" s="12" t="s">
        <v>289</v>
      </c>
      <c r="C109" s="13" t="s">
        <v>290</v>
      </c>
      <c r="D109" s="12" t="s">
        <v>69</v>
      </c>
      <c r="E109" s="10" t="s">
        <v>123</v>
      </c>
      <c r="F109" s="8">
        <f>IFERROR(SUMIF(S1_26_JUIL!$A$3:$A$113,$A109,S1_26_JUIL!$O$3:$O$113),0)</f>
        <v>0</v>
      </c>
      <c r="G109" s="8">
        <f>IFERROR(SUMIF('S2_27_JUIL-02_AOUT'!$A$3:$A$113,$A109,'S2_27_JUIL-02_AOUT'!$U$3:$U$113),0)</f>
        <v>47.5</v>
      </c>
      <c r="H109" s="8">
        <f>IFERROR(SUMIF('S3_03-09_AOUT'!$A$3:$A$113,$A109,'S3_03-09_AOUT'!$U$3:$U$113),0)</f>
        <v>0</v>
      </c>
      <c r="I109" s="8">
        <f>IFERROR(SUMIF('S4_10-16_AOUT'!$A$3:$A$113,$A109,'S4_10-16_AOUT'!$U$3:$U$113),0)</f>
        <v>0</v>
      </c>
      <c r="J109" s="8">
        <f>IFERROR(SUMIF('S5_17-23_AOUT'!$A$3:$A$113,$A109,'S5_17-23_AOUT'!$U$3:$U$113),0)</f>
        <v>0</v>
      </c>
      <c r="K109" s="8">
        <f>IFERROR(SUMIF('S6_24-25_AOUT'!$A$3:$A$113,$A109,'S6_24-25_AOUT'!$P$3:$P$113),0)</f>
        <v>0</v>
      </c>
      <c r="L109" s="8">
        <f t="shared" si="6"/>
        <v>47.5</v>
      </c>
      <c r="M109" s="8">
        <f>IFERROR(SUMIF(S1_26_JUIL!$A$3:$A$113,$A109,S1_26_JUIL!$I$3:$I$113),0)+IFERROR(SUMIF('S2_27_JUIL-02_AOUT'!$A$3:$A$113,$A109,'S2_27_JUIL-02_AOUT'!$O$3:$O$113),0)+IFERROR(SUMIF('S3_03-09_AOUT'!$A$3:$A$113,$A109,'S3_03-09_AOUT'!$O$3:$O$113),0)+IFERROR(SUMIF('S4_10-16_AOUT'!$A$3:$A$113,$A109,'S4_10-16_AOUT'!$O$3:$O$113),0)+IFERROR(SUMIF('S5_17-23_AOUT'!$A$3:$A$113,$A109,'S5_17-23_AOUT'!$O$3:$O$113),0)+IFERROR(SUMIF('S6_24-25_AOUT'!$A$3:$A$113,$A109,'S6_24-25_AOUT'!$J$3:$J$113),0)</f>
        <v>47.5</v>
      </c>
      <c r="N109" s="9">
        <f>IFERROR(SUMIF(S1_26_JUIL!$A$3:$A$113,$A109,S1_26_JUIL!$J$3:$J$113),0)+IFERROR(SUMIF('S2_27_JUIL-02_AOUT'!$A$3:$A$113,$A109,'S2_27_JUIL-02_AOUT'!$P$3:$P$113),0)+IFERROR(SUMIF('S3_03-09_AOUT'!$A$3:$A$113,$A109,'S3_03-09_AOUT'!$P$3:$P$113),0)+IFERROR(SUMIF('S4_10-16_AOUT'!$A$3:$A$113,$A109,'S4_10-16_AOUT'!$P$3:$P$113),0)+IFERROR(SUMIF('S5_17-23_AOUT'!$A$3:$A$113,$A109,'S5_17-23_AOUT'!$P$3:$P$113),0)+IFERROR(SUMIF('S6_24-25_AOUT'!$A$3:$A$113,$A109,'S6_24-25_AOUT'!$K$3:$K$113),0)</f>
        <v>0</v>
      </c>
      <c r="O109" s="9">
        <f>IFERROR(SUMIF(S1_26_JUIL!$A$3:$A$113,$A109,S1_26_JUIL!$K$3:$K$113),0)+IFERROR(SUMIF('S2_27_JUIL-02_AOUT'!$A$3:$A$113,$A109,'S2_27_JUIL-02_AOUT'!$Q$3:$Q$113),0)+IFERROR(SUMIF('S3_03-09_AOUT'!$A$3:$A$113,$A109,'S3_03-09_AOUT'!$Q$3:$Q$113),0)+IFERROR(SUMIF('S4_10-16_AOUT'!$A$3:$A$113,$A109,'S4_10-16_AOUT'!$Q$3:$Q$113),0)+IFERROR(SUMIF('S5_17-23_AOUT'!$A$3:$A$113,$A109,'S5_17-23_AOUT'!$Q$3:$Q$113),0)+IFERROR(SUMIF('S6_24-25_AOUT'!$A$3:$A$113,$A109,'S6_24-25_AOUT'!$L$3:$L$113),0)</f>
        <v>0</v>
      </c>
      <c r="P109" s="8">
        <f>IFERROR(SUMIF(S1_26_JUIL!$A$3:$A$113,$A109,S1_26_JUIL!$L$3:$L$113),0)+IFERROR(SUMIF('S2_27_JUIL-02_AOUT'!$A$3:$A$113,$A109,'S2_27_JUIL-02_AOUT'!$R$3:$R$113),0)+IFERROR(SUMIF('S3_03-09_AOUT'!$A$3:$A$113,$A109,'S3_03-09_AOUT'!$R$3:$R$113),0)+IFERROR(SUMIF('S4_10-16_AOUT'!$A$3:$A$113,$A109,'S4_10-16_AOUT'!$R$3:$R$113),0)+IFERROR(SUMIF('S5_17-23_AOUT'!$A$3:$A$113,$A109,'S5_17-23_AOUT'!$R$3:$R$113),0)+IFERROR(SUMIF('S6_24-25_AOUT'!$A$3:$A$113,$A109,'S6_24-25_AOUT'!$M$3:$M$113),0)</f>
        <v>0</v>
      </c>
      <c r="Q109" s="8">
        <f>IFERROR(SUMIF(S1_26_JUIL!$A$3:$A$113,$A109,S1_26_JUIL!$M$3:$M$113),0)+IFERROR(SUMIF('S2_27_JUIL-02_AOUT'!$A$3:$A$113,$A109,'S2_27_JUIL-02_AOUT'!$S$3:$S$113),0)+IFERROR(SUMIF('S3_03-09_AOUT'!$A$3:$A$113,$A109,'S3_03-09_AOUT'!$S$3:$S$113),0)+IFERROR(SUMIF('S4_10-16_AOUT'!$A$3:$A$113,$A109,'S4_10-16_AOUT'!$S$3:$S$113),0)+IFERROR(SUMIF('S5_17-23_AOUT'!$A$3:$A$113,$A109,'S5_17-23_AOUT'!$S$3:$S$113),0)+IFERROR(SUMIF('S6_24-25_AOUT'!$A$3:$A$113,$A109,'S6_24-25_AOUT'!$N$3:$N$113),0)</f>
        <v>0</v>
      </c>
      <c r="R109" s="11">
        <f>IFERROR(SUMIF(S1_26_JUIL!$A$3:$A$113,$A109,S1_26_JUIL!$N$3:$N$113),0)+IFERROR(SUMIF('S2_27_JUIL-02_AOUT'!$A$3:$A$113,$A109,'S2_27_JUIL-02_AOUT'!$T$3:$T$113),0)+IFERROR(SUMIF('S3_03-09_AOUT'!$A$3:$A$113,$A109,'S3_03-09_AOUT'!$T$3:$T$113),0)+IFERROR(SUMIF('S4_10-16_AOUT'!$A$3:$A$113,$A109,'S4_10-16_AOUT'!$T$3:$T$113),0)+IFERROR(SUMIF('S5_17-23_AOUT'!$A$3:$A$113,$A109,'S5_17-23_AOUT'!$T$3:$T$113),0)+IFERROR(SUMIF('S6_24-25_AOUT'!$A$3:$A$113,$A109,'S6_24-25_AOUT'!$O$3:$O$113),0)</f>
        <v>0</v>
      </c>
      <c r="S109" s="8">
        <f>208</f>
        <v>208</v>
      </c>
      <c r="T109" s="8">
        <f t="shared" si="7"/>
        <v>47.5</v>
      </c>
      <c r="U109" s="10" t="str">
        <f>IF(OR(IFERROR(INDEX(S1_26_JUIL!$P$3:$P$113,MATCH($A109,S1_26_JUIL!$A$3:$A$113,0)),"")="STC",IFERROR(INDEX('S2_27_JUIL-02_AOUT'!$V$3:$V$113,MATCH($A109,'S2_27_JUIL-02_AOUT'!$A$3:$A$113,0)),"")="STC",IFERROR(INDEX('S3_03-09_AOUT'!$V$3:$V$113,MATCH($A109,'S3_03-09_AOUT'!$A$3:$A$113,0)),"")="STC",IFERROR(INDEX('S4_10-16_AOUT'!$V$3:$V$113,MATCH($A109,'S4_10-16_AOUT'!$A$3:$A$113,0)),"")="STC",IFERROR(INDEX('S5_17-23_AOUT'!$V$3:$V$113,MATCH($A109,'S5_17-23_AOUT'!$A$3:$A$113,0)),"")="STC",IFERROR(INDEX('S6_24-25_AOUT'!$Q$3:$Q$113,MATCH($A109,'S6_24-25_AOUT'!$A$3:$A$113,0)),"")="STC"),"STC",IF(OR(IFERROR(INDEX(S1_26_JUIL!$P$3:$P$113,MATCH($A109,S1_26_JUIL!$A$3:$A$113,0)),"")="À vérifier",IFERROR(INDEX('S2_27_JUIL-02_AOUT'!$V$3:$V$113,MATCH($A109,'S2_27_JUIL-02_AOUT'!$A$3:$A$113,0)),"")="À vérifier",IFERROR(INDEX('S3_03-09_AOUT'!$V$3:$V$113,MATCH($A109,'S3_03-09_AOUT'!$A$3:$A$113,0)),"")="À vérifier",IFERROR(INDEX('S4_10-16_AOUT'!$V$3:$V$113,MATCH($A109,'S4_10-16_AOUT'!$A$3:$A$113,0)),"")="À vérifier",IFERROR(INDEX('S5_17-23_AOUT'!$V$3:$V$113,MATCH($A109,'S5_17-23_AOUT'!$A$3:$A$113,0)),"")="À vérifier",IFERROR(INDEX('S6_24-25_AOUT'!$Q$3:$Q$113,MATCH($A109,'S6_24-25_AOUT'!$A$3:$A$113,0)),"")="À vérifier",ABS(L109-T109)&gt;=0.01),"À vérifier","OK"))</f>
        <v>OK</v>
      </c>
    </row>
    <row r="110" spans="1:21">
      <c r="A110" s="12" t="s">
        <v>291</v>
      </c>
      <c r="B110" s="12" t="s">
        <v>292</v>
      </c>
      <c r="C110" s="13" t="s">
        <v>77</v>
      </c>
      <c r="D110" s="12" t="s">
        <v>69</v>
      </c>
      <c r="E110" s="10" t="s">
        <v>123</v>
      </c>
      <c r="F110" s="8">
        <f>IFERROR(SUMIF(S1_26_JUIL!$A$3:$A$113,$A110,S1_26_JUIL!$O$3:$O$113),0)</f>
        <v>0</v>
      </c>
      <c r="G110" s="8">
        <f>IFERROR(SUMIF('S2_27_JUIL-02_AOUT'!$A$3:$A$113,$A110,'S2_27_JUIL-02_AOUT'!$U$3:$U$113),0)</f>
        <v>35.5</v>
      </c>
      <c r="H110" s="8">
        <f>IFERROR(SUMIF('S3_03-09_AOUT'!$A$3:$A$113,$A110,'S3_03-09_AOUT'!$U$3:$U$113),0)</f>
        <v>0</v>
      </c>
      <c r="I110" s="8">
        <f>IFERROR(SUMIF('S4_10-16_AOUT'!$A$3:$A$113,$A110,'S4_10-16_AOUT'!$U$3:$U$113),0)</f>
        <v>0</v>
      </c>
      <c r="J110" s="8">
        <f>IFERROR(SUMIF('S5_17-23_AOUT'!$A$3:$A$113,$A110,'S5_17-23_AOUT'!$U$3:$U$113),0)</f>
        <v>0</v>
      </c>
      <c r="K110" s="8">
        <f>IFERROR(SUMIF('S6_24-25_AOUT'!$A$3:$A$113,$A110,'S6_24-25_AOUT'!$P$3:$P$113),0)</f>
        <v>0</v>
      </c>
      <c r="L110" s="8">
        <f t="shared" si="6"/>
        <v>35.5</v>
      </c>
      <c r="M110" s="8">
        <f>IFERROR(SUMIF(S1_26_JUIL!$A$3:$A$113,$A110,S1_26_JUIL!$I$3:$I$113),0)+IFERROR(SUMIF('S2_27_JUIL-02_AOUT'!$A$3:$A$113,$A110,'S2_27_JUIL-02_AOUT'!$O$3:$O$113),0)+IFERROR(SUMIF('S3_03-09_AOUT'!$A$3:$A$113,$A110,'S3_03-09_AOUT'!$O$3:$O$113),0)+IFERROR(SUMIF('S4_10-16_AOUT'!$A$3:$A$113,$A110,'S4_10-16_AOUT'!$O$3:$O$113),0)+IFERROR(SUMIF('S5_17-23_AOUT'!$A$3:$A$113,$A110,'S5_17-23_AOUT'!$O$3:$O$113),0)+IFERROR(SUMIF('S6_24-25_AOUT'!$A$3:$A$113,$A110,'S6_24-25_AOUT'!$J$3:$J$113),0)</f>
        <v>35.5</v>
      </c>
      <c r="N110" s="9">
        <f>IFERROR(SUMIF(S1_26_JUIL!$A$3:$A$113,$A110,S1_26_JUIL!$J$3:$J$113),0)+IFERROR(SUMIF('S2_27_JUIL-02_AOUT'!$A$3:$A$113,$A110,'S2_27_JUIL-02_AOUT'!$P$3:$P$113),0)+IFERROR(SUMIF('S3_03-09_AOUT'!$A$3:$A$113,$A110,'S3_03-09_AOUT'!$P$3:$P$113),0)+IFERROR(SUMIF('S4_10-16_AOUT'!$A$3:$A$113,$A110,'S4_10-16_AOUT'!$P$3:$P$113),0)+IFERROR(SUMIF('S5_17-23_AOUT'!$A$3:$A$113,$A110,'S5_17-23_AOUT'!$P$3:$P$113),0)+IFERROR(SUMIF('S6_24-25_AOUT'!$A$3:$A$113,$A110,'S6_24-25_AOUT'!$K$3:$K$113),0)</f>
        <v>0</v>
      </c>
      <c r="O110" s="9">
        <f>IFERROR(SUMIF(S1_26_JUIL!$A$3:$A$113,$A110,S1_26_JUIL!$K$3:$K$113),0)+IFERROR(SUMIF('S2_27_JUIL-02_AOUT'!$A$3:$A$113,$A110,'S2_27_JUIL-02_AOUT'!$Q$3:$Q$113),0)+IFERROR(SUMIF('S3_03-09_AOUT'!$A$3:$A$113,$A110,'S3_03-09_AOUT'!$Q$3:$Q$113),0)+IFERROR(SUMIF('S4_10-16_AOUT'!$A$3:$A$113,$A110,'S4_10-16_AOUT'!$Q$3:$Q$113),0)+IFERROR(SUMIF('S5_17-23_AOUT'!$A$3:$A$113,$A110,'S5_17-23_AOUT'!$Q$3:$Q$113),0)+IFERROR(SUMIF('S6_24-25_AOUT'!$A$3:$A$113,$A110,'S6_24-25_AOUT'!$L$3:$L$113),0)</f>
        <v>0</v>
      </c>
      <c r="P110" s="8">
        <f>IFERROR(SUMIF(S1_26_JUIL!$A$3:$A$113,$A110,S1_26_JUIL!$L$3:$L$113),0)+IFERROR(SUMIF('S2_27_JUIL-02_AOUT'!$A$3:$A$113,$A110,'S2_27_JUIL-02_AOUT'!$R$3:$R$113),0)+IFERROR(SUMIF('S3_03-09_AOUT'!$A$3:$A$113,$A110,'S3_03-09_AOUT'!$R$3:$R$113),0)+IFERROR(SUMIF('S4_10-16_AOUT'!$A$3:$A$113,$A110,'S4_10-16_AOUT'!$R$3:$R$113),0)+IFERROR(SUMIF('S5_17-23_AOUT'!$A$3:$A$113,$A110,'S5_17-23_AOUT'!$R$3:$R$113),0)+IFERROR(SUMIF('S6_24-25_AOUT'!$A$3:$A$113,$A110,'S6_24-25_AOUT'!$M$3:$M$113),0)</f>
        <v>0</v>
      </c>
      <c r="Q110" s="8">
        <f>IFERROR(SUMIF(S1_26_JUIL!$A$3:$A$113,$A110,S1_26_JUIL!$M$3:$M$113),0)+IFERROR(SUMIF('S2_27_JUIL-02_AOUT'!$A$3:$A$113,$A110,'S2_27_JUIL-02_AOUT'!$S$3:$S$113),0)+IFERROR(SUMIF('S3_03-09_AOUT'!$A$3:$A$113,$A110,'S3_03-09_AOUT'!$S$3:$S$113),0)+IFERROR(SUMIF('S4_10-16_AOUT'!$A$3:$A$113,$A110,'S4_10-16_AOUT'!$S$3:$S$113),0)+IFERROR(SUMIF('S5_17-23_AOUT'!$A$3:$A$113,$A110,'S5_17-23_AOUT'!$S$3:$S$113),0)+IFERROR(SUMIF('S6_24-25_AOUT'!$A$3:$A$113,$A110,'S6_24-25_AOUT'!$N$3:$N$113),0)</f>
        <v>0</v>
      </c>
      <c r="R110" s="11">
        <f>IFERROR(SUMIF(S1_26_JUIL!$A$3:$A$113,$A110,S1_26_JUIL!$N$3:$N$113),0)+IFERROR(SUMIF('S2_27_JUIL-02_AOUT'!$A$3:$A$113,$A110,'S2_27_JUIL-02_AOUT'!$T$3:$T$113),0)+IFERROR(SUMIF('S3_03-09_AOUT'!$A$3:$A$113,$A110,'S3_03-09_AOUT'!$T$3:$T$113),0)+IFERROR(SUMIF('S4_10-16_AOUT'!$A$3:$A$113,$A110,'S4_10-16_AOUT'!$T$3:$T$113),0)+IFERROR(SUMIF('S5_17-23_AOUT'!$A$3:$A$113,$A110,'S5_17-23_AOUT'!$T$3:$T$113),0)+IFERROR(SUMIF('S6_24-25_AOUT'!$A$3:$A$113,$A110,'S6_24-25_AOUT'!$O$3:$O$113),0)</f>
        <v>0</v>
      </c>
      <c r="S110" s="8">
        <f>208</f>
        <v>208</v>
      </c>
      <c r="T110" s="8">
        <f t="shared" si="7"/>
        <v>35.5</v>
      </c>
      <c r="U110" s="10" t="str">
        <f>IF(OR(IFERROR(INDEX(S1_26_JUIL!$P$3:$P$113,MATCH($A110,S1_26_JUIL!$A$3:$A$113,0)),"")="STC",IFERROR(INDEX('S2_27_JUIL-02_AOUT'!$V$3:$V$113,MATCH($A110,'S2_27_JUIL-02_AOUT'!$A$3:$A$113,0)),"")="STC",IFERROR(INDEX('S3_03-09_AOUT'!$V$3:$V$113,MATCH($A110,'S3_03-09_AOUT'!$A$3:$A$113,0)),"")="STC",IFERROR(INDEX('S4_10-16_AOUT'!$V$3:$V$113,MATCH($A110,'S4_10-16_AOUT'!$A$3:$A$113,0)),"")="STC",IFERROR(INDEX('S5_17-23_AOUT'!$V$3:$V$113,MATCH($A110,'S5_17-23_AOUT'!$A$3:$A$113,0)),"")="STC",IFERROR(INDEX('S6_24-25_AOUT'!$Q$3:$Q$113,MATCH($A110,'S6_24-25_AOUT'!$A$3:$A$113,0)),"")="STC"),"STC",IF(OR(IFERROR(INDEX(S1_26_JUIL!$P$3:$P$113,MATCH($A110,S1_26_JUIL!$A$3:$A$113,0)),"")="À vérifier",IFERROR(INDEX('S2_27_JUIL-02_AOUT'!$V$3:$V$113,MATCH($A110,'S2_27_JUIL-02_AOUT'!$A$3:$A$113,0)),"")="À vérifier",IFERROR(INDEX('S3_03-09_AOUT'!$V$3:$V$113,MATCH($A110,'S3_03-09_AOUT'!$A$3:$A$113,0)),"")="À vérifier",IFERROR(INDEX('S4_10-16_AOUT'!$V$3:$V$113,MATCH($A110,'S4_10-16_AOUT'!$A$3:$A$113,0)),"")="À vérifier",IFERROR(INDEX('S5_17-23_AOUT'!$V$3:$V$113,MATCH($A110,'S5_17-23_AOUT'!$A$3:$A$113,0)),"")="À vérifier",IFERROR(INDEX('S6_24-25_AOUT'!$Q$3:$Q$113,MATCH($A110,'S6_24-25_AOUT'!$A$3:$A$113,0)),"")="À vérifier",ABS(L110-T110)&gt;=0.01),"À vérifier","OK"))</f>
        <v>OK</v>
      </c>
    </row>
    <row r="111" spans="1:21">
      <c r="A111" s="12" t="s">
        <v>293</v>
      </c>
      <c r="B111" s="12" t="s">
        <v>294</v>
      </c>
      <c r="C111" s="13" t="s">
        <v>295</v>
      </c>
      <c r="D111" s="12" t="s">
        <v>69</v>
      </c>
      <c r="E111" s="10" t="s">
        <v>123</v>
      </c>
      <c r="F111" s="8">
        <f>IFERROR(SUMIF(S1_26_JUIL!$A$3:$A$113,$A111,S1_26_JUIL!$O$3:$O$113),0)</f>
        <v>0</v>
      </c>
      <c r="G111" s="8">
        <f>IFERROR(SUMIF('S2_27_JUIL-02_AOUT'!$A$3:$A$113,$A111,'S2_27_JUIL-02_AOUT'!$U$3:$U$113),0)</f>
        <v>47.5</v>
      </c>
      <c r="H111" s="8">
        <f>IFERROR(SUMIF('S3_03-09_AOUT'!$A$3:$A$113,$A111,'S3_03-09_AOUT'!$U$3:$U$113),0)</f>
        <v>0</v>
      </c>
      <c r="I111" s="8">
        <f>IFERROR(SUMIF('S4_10-16_AOUT'!$A$3:$A$113,$A111,'S4_10-16_AOUT'!$U$3:$U$113),0)</f>
        <v>0</v>
      </c>
      <c r="J111" s="8">
        <f>IFERROR(SUMIF('S5_17-23_AOUT'!$A$3:$A$113,$A111,'S5_17-23_AOUT'!$U$3:$U$113),0)</f>
        <v>0</v>
      </c>
      <c r="K111" s="8">
        <f>IFERROR(SUMIF('S6_24-25_AOUT'!$A$3:$A$113,$A111,'S6_24-25_AOUT'!$P$3:$P$113),0)</f>
        <v>0</v>
      </c>
      <c r="L111" s="8">
        <f t="shared" si="6"/>
        <v>47.5</v>
      </c>
      <c r="M111" s="8">
        <f>IFERROR(SUMIF(S1_26_JUIL!$A$3:$A$113,$A111,S1_26_JUIL!$I$3:$I$113),0)+IFERROR(SUMIF('S2_27_JUIL-02_AOUT'!$A$3:$A$113,$A111,'S2_27_JUIL-02_AOUT'!$O$3:$O$113),0)+IFERROR(SUMIF('S3_03-09_AOUT'!$A$3:$A$113,$A111,'S3_03-09_AOUT'!$O$3:$O$113),0)+IFERROR(SUMIF('S4_10-16_AOUT'!$A$3:$A$113,$A111,'S4_10-16_AOUT'!$O$3:$O$113),0)+IFERROR(SUMIF('S5_17-23_AOUT'!$A$3:$A$113,$A111,'S5_17-23_AOUT'!$O$3:$O$113),0)+IFERROR(SUMIF('S6_24-25_AOUT'!$A$3:$A$113,$A111,'S6_24-25_AOUT'!$J$3:$J$113),0)</f>
        <v>47.5</v>
      </c>
      <c r="N111" s="9">
        <f>IFERROR(SUMIF(S1_26_JUIL!$A$3:$A$113,$A111,S1_26_JUIL!$J$3:$J$113),0)+IFERROR(SUMIF('S2_27_JUIL-02_AOUT'!$A$3:$A$113,$A111,'S2_27_JUIL-02_AOUT'!$P$3:$P$113),0)+IFERROR(SUMIF('S3_03-09_AOUT'!$A$3:$A$113,$A111,'S3_03-09_AOUT'!$P$3:$P$113),0)+IFERROR(SUMIF('S4_10-16_AOUT'!$A$3:$A$113,$A111,'S4_10-16_AOUT'!$P$3:$P$113),0)+IFERROR(SUMIF('S5_17-23_AOUT'!$A$3:$A$113,$A111,'S5_17-23_AOUT'!$P$3:$P$113),0)+IFERROR(SUMIF('S6_24-25_AOUT'!$A$3:$A$113,$A111,'S6_24-25_AOUT'!$K$3:$K$113),0)</f>
        <v>0</v>
      </c>
      <c r="O111" s="9">
        <f>IFERROR(SUMIF(S1_26_JUIL!$A$3:$A$113,$A111,S1_26_JUIL!$K$3:$K$113),0)+IFERROR(SUMIF('S2_27_JUIL-02_AOUT'!$A$3:$A$113,$A111,'S2_27_JUIL-02_AOUT'!$Q$3:$Q$113),0)+IFERROR(SUMIF('S3_03-09_AOUT'!$A$3:$A$113,$A111,'S3_03-09_AOUT'!$Q$3:$Q$113),0)+IFERROR(SUMIF('S4_10-16_AOUT'!$A$3:$A$113,$A111,'S4_10-16_AOUT'!$Q$3:$Q$113),0)+IFERROR(SUMIF('S5_17-23_AOUT'!$A$3:$A$113,$A111,'S5_17-23_AOUT'!$Q$3:$Q$113),0)+IFERROR(SUMIF('S6_24-25_AOUT'!$A$3:$A$113,$A111,'S6_24-25_AOUT'!$L$3:$L$113),0)</f>
        <v>0</v>
      </c>
      <c r="P111" s="8">
        <f>IFERROR(SUMIF(S1_26_JUIL!$A$3:$A$113,$A111,S1_26_JUIL!$L$3:$L$113),0)+IFERROR(SUMIF('S2_27_JUIL-02_AOUT'!$A$3:$A$113,$A111,'S2_27_JUIL-02_AOUT'!$R$3:$R$113),0)+IFERROR(SUMIF('S3_03-09_AOUT'!$A$3:$A$113,$A111,'S3_03-09_AOUT'!$R$3:$R$113),0)+IFERROR(SUMIF('S4_10-16_AOUT'!$A$3:$A$113,$A111,'S4_10-16_AOUT'!$R$3:$R$113),0)+IFERROR(SUMIF('S5_17-23_AOUT'!$A$3:$A$113,$A111,'S5_17-23_AOUT'!$R$3:$R$113),0)+IFERROR(SUMIF('S6_24-25_AOUT'!$A$3:$A$113,$A111,'S6_24-25_AOUT'!$M$3:$M$113),0)</f>
        <v>0</v>
      </c>
      <c r="Q111" s="8">
        <f>IFERROR(SUMIF(S1_26_JUIL!$A$3:$A$113,$A111,S1_26_JUIL!$M$3:$M$113),0)+IFERROR(SUMIF('S2_27_JUIL-02_AOUT'!$A$3:$A$113,$A111,'S2_27_JUIL-02_AOUT'!$S$3:$S$113),0)+IFERROR(SUMIF('S3_03-09_AOUT'!$A$3:$A$113,$A111,'S3_03-09_AOUT'!$S$3:$S$113),0)+IFERROR(SUMIF('S4_10-16_AOUT'!$A$3:$A$113,$A111,'S4_10-16_AOUT'!$S$3:$S$113),0)+IFERROR(SUMIF('S5_17-23_AOUT'!$A$3:$A$113,$A111,'S5_17-23_AOUT'!$S$3:$S$113),0)+IFERROR(SUMIF('S6_24-25_AOUT'!$A$3:$A$113,$A111,'S6_24-25_AOUT'!$N$3:$N$113),0)</f>
        <v>0</v>
      </c>
      <c r="R111" s="11">
        <f>IFERROR(SUMIF(S1_26_JUIL!$A$3:$A$113,$A111,S1_26_JUIL!$N$3:$N$113),0)+IFERROR(SUMIF('S2_27_JUIL-02_AOUT'!$A$3:$A$113,$A111,'S2_27_JUIL-02_AOUT'!$T$3:$T$113),0)+IFERROR(SUMIF('S3_03-09_AOUT'!$A$3:$A$113,$A111,'S3_03-09_AOUT'!$T$3:$T$113),0)+IFERROR(SUMIF('S4_10-16_AOUT'!$A$3:$A$113,$A111,'S4_10-16_AOUT'!$T$3:$T$113),0)+IFERROR(SUMIF('S5_17-23_AOUT'!$A$3:$A$113,$A111,'S5_17-23_AOUT'!$T$3:$T$113),0)+IFERROR(SUMIF('S6_24-25_AOUT'!$A$3:$A$113,$A111,'S6_24-25_AOUT'!$O$3:$O$113),0)</f>
        <v>0</v>
      </c>
      <c r="S111" s="8">
        <f>208</f>
        <v>208</v>
      </c>
      <c r="T111" s="8">
        <f t="shared" si="7"/>
        <v>47.5</v>
      </c>
      <c r="U111" s="10" t="str">
        <f>IF(OR(IFERROR(INDEX(S1_26_JUIL!$P$3:$P$113,MATCH($A111,S1_26_JUIL!$A$3:$A$113,0)),"")="STC",IFERROR(INDEX('S2_27_JUIL-02_AOUT'!$V$3:$V$113,MATCH($A111,'S2_27_JUIL-02_AOUT'!$A$3:$A$113,0)),"")="STC",IFERROR(INDEX('S3_03-09_AOUT'!$V$3:$V$113,MATCH($A111,'S3_03-09_AOUT'!$A$3:$A$113,0)),"")="STC",IFERROR(INDEX('S4_10-16_AOUT'!$V$3:$V$113,MATCH($A111,'S4_10-16_AOUT'!$A$3:$A$113,0)),"")="STC",IFERROR(INDEX('S5_17-23_AOUT'!$V$3:$V$113,MATCH($A111,'S5_17-23_AOUT'!$A$3:$A$113,0)),"")="STC",IFERROR(INDEX('S6_24-25_AOUT'!$Q$3:$Q$113,MATCH($A111,'S6_24-25_AOUT'!$A$3:$A$113,0)),"")="STC"),"STC",IF(OR(IFERROR(INDEX(S1_26_JUIL!$P$3:$P$113,MATCH($A111,S1_26_JUIL!$A$3:$A$113,0)),"")="À vérifier",IFERROR(INDEX('S2_27_JUIL-02_AOUT'!$V$3:$V$113,MATCH($A111,'S2_27_JUIL-02_AOUT'!$A$3:$A$113,0)),"")="À vérifier",IFERROR(INDEX('S3_03-09_AOUT'!$V$3:$V$113,MATCH($A111,'S3_03-09_AOUT'!$A$3:$A$113,0)),"")="À vérifier",IFERROR(INDEX('S4_10-16_AOUT'!$V$3:$V$113,MATCH($A111,'S4_10-16_AOUT'!$A$3:$A$113,0)),"")="À vérifier",IFERROR(INDEX('S5_17-23_AOUT'!$V$3:$V$113,MATCH($A111,'S5_17-23_AOUT'!$A$3:$A$113,0)),"")="À vérifier",IFERROR(INDEX('S6_24-25_AOUT'!$Q$3:$Q$113,MATCH($A111,'S6_24-25_AOUT'!$A$3:$A$113,0)),"")="À vérifier",ABS(L111-T111)&gt;=0.01),"À vérifier","OK"))</f>
        <v>OK</v>
      </c>
    </row>
    <row r="112" spans="1:21">
      <c r="A112" s="12" t="s">
        <v>296</v>
      </c>
      <c r="B112" s="12" t="s">
        <v>217</v>
      </c>
      <c r="C112" s="13" t="s">
        <v>297</v>
      </c>
      <c r="D112" s="12" t="s">
        <v>69</v>
      </c>
      <c r="E112" s="10" t="s">
        <v>123</v>
      </c>
      <c r="F112" s="8">
        <f>IFERROR(SUMIF(S1_26_JUIL!$A$3:$A$113,$A112,S1_26_JUIL!$O$3:$O$113),0)</f>
        <v>0</v>
      </c>
      <c r="G112" s="8">
        <f>IFERROR(SUMIF('S2_27_JUIL-02_AOUT'!$A$3:$A$113,$A112,'S2_27_JUIL-02_AOUT'!$U$3:$U$113),0)</f>
        <v>45.499999999999993</v>
      </c>
      <c r="H112" s="8">
        <f>IFERROR(SUMIF('S3_03-09_AOUT'!$A$3:$A$113,$A112,'S3_03-09_AOUT'!$U$3:$U$113),0)</f>
        <v>0</v>
      </c>
      <c r="I112" s="8">
        <f>IFERROR(SUMIF('S4_10-16_AOUT'!$A$3:$A$113,$A112,'S4_10-16_AOUT'!$U$3:$U$113),0)</f>
        <v>0</v>
      </c>
      <c r="J112" s="8">
        <f>IFERROR(SUMIF('S5_17-23_AOUT'!$A$3:$A$113,$A112,'S5_17-23_AOUT'!$U$3:$U$113),0)</f>
        <v>0</v>
      </c>
      <c r="K112" s="8">
        <f>IFERROR(SUMIF('S6_24-25_AOUT'!$A$3:$A$113,$A112,'S6_24-25_AOUT'!$P$3:$P$113),0)</f>
        <v>0</v>
      </c>
      <c r="L112" s="8">
        <f t="shared" si="6"/>
        <v>45.499999999999993</v>
      </c>
      <c r="M112" s="8">
        <f>IFERROR(SUMIF(S1_26_JUIL!$A$3:$A$113,$A112,S1_26_JUIL!$I$3:$I$113),0)+IFERROR(SUMIF('S2_27_JUIL-02_AOUT'!$A$3:$A$113,$A112,'S2_27_JUIL-02_AOUT'!$O$3:$O$113),0)+IFERROR(SUMIF('S3_03-09_AOUT'!$A$3:$A$113,$A112,'S3_03-09_AOUT'!$O$3:$O$113),0)+IFERROR(SUMIF('S4_10-16_AOUT'!$A$3:$A$113,$A112,'S4_10-16_AOUT'!$O$3:$O$113),0)+IFERROR(SUMIF('S5_17-23_AOUT'!$A$3:$A$113,$A112,'S5_17-23_AOUT'!$O$3:$O$113),0)+IFERROR(SUMIF('S6_24-25_AOUT'!$A$3:$A$113,$A112,'S6_24-25_AOUT'!$J$3:$J$113),0)</f>
        <v>45.499999999999993</v>
      </c>
      <c r="N112" s="9">
        <f>IFERROR(SUMIF(S1_26_JUIL!$A$3:$A$113,$A112,S1_26_JUIL!$J$3:$J$113),0)+IFERROR(SUMIF('S2_27_JUIL-02_AOUT'!$A$3:$A$113,$A112,'S2_27_JUIL-02_AOUT'!$P$3:$P$113),0)+IFERROR(SUMIF('S3_03-09_AOUT'!$A$3:$A$113,$A112,'S3_03-09_AOUT'!$P$3:$P$113),0)+IFERROR(SUMIF('S4_10-16_AOUT'!$A$3:$A$113,$A112,'S4_10-16_AOUT'!$P$3:$P$113),0)+IFERROR(SUMIF('S5_17-23_AOUT'!$A$3:$A$113,$A112,'S5_17-23_AOUT'!$P$3:$P$113),0)+IFERROR(SUMIF('S6_24-25_AOUT'!$A$3:$A$113,$A112,'S6_24-25_AOUT'!$K$3:$K$113),0)</f>
        <v>0</v>
      </c>
      <c r="O112" s="9">
        <f>IFERROR(SUMIF(S1_26_JUIL!$A$3:$A$113,$A112,S1_26_JUIL!$K$3:$K$113),0)+IFERROR(SUMIF('S2_27_JUIL-02_AOUT'!$A$3:$A$113,$A112,'S2_27_JUIL-02_AOUT'!$Q$3:$Q$113),0)+IFERROR(SUMIF('S3_03-09_AOUT'!$A$3:$A$113,$A112,'S3_03-09_AOUT'!$Q$3:$Q$113),0)+IFERROR(SUMIF('S4_10-16_AOUT'!$A$3:$A$113,$A112,'S4_10-16_AOUT'!$Q$3:$Q$113),0)+IFERROR(SUMIF('S5_17-23_AOUT'!$A$3:$A$113,$A112,'S5_17-23_AOUT'!$Q$3:$Q$113),0)+IFERROR(SUMIF('S6_24-25_AOUT'!$A$3:$A$113,$A112,'S6_24-25_AOUT'!$L$3:$L$113),0)</f>
        <v>0</v>
      </c>
      <c r="P112" s="8">
        <f>IFERROR(SUMIF(S1_26_JUIL!$A$3:$A$113,$A112,S1_26_JUIL!$L$3:$L$113),0)+IFERROR(SUMIF('S2_27_JUIL-02_AOUT'!$A$3:$A$113,$A112,'S2_27_JUIL-02_AOUT'!$R$3:$R$113),0)+IFERROR(SUMIF('S3_03-09_AOUT'!$A$3:$A$113,$A112,'S3_03-09_AOUT'!$R$3:$R$113),0)+IFERROR(SUMIF('S4_10-16_AOUT'!$A$3:$A$113,$A112,'S4_10-16_AOUT'!$R$3:$R$113),0)+IFERROR(SUMIF('S5_17-23_AOUT'!$A$3:$A$113,$A112,'S5_17-23_AOUT'!$R$3:$R$113),0)+IFERROR(SUMIF('S6_24-25_AOUT'!$A$3:$A$113,$A112,'S6_24-25_AOUT'!$M$3:$M$113),0)</f>
        <v>0</v>
      </c>
      <c r="Q112" s="8">
        <f>IFERROR(SUMIF(S1_26_JUIL!$A$3:$A$113,$A112,S1_26_JUIL!$M$3:$M$113),0)+IFERROR(SUMIF('S2_27_JUIL-02_AOUT'!$A$3:$A$113,$A112,'S2_27_JUIL-02_AOUT'!$S$3:$S$113),0)+IFERROR(SUMIF('S3_03-09_AOUT'!$A$3:$A$113,$A112,'S3_03-09_AOUT'!$S$3:$S$113),0)+IFERROR(SUMIF('S4_10-16_AOUT'!$A$3:$A$113,$A112,'S4_10-16_AOUT'!$S$3:$S$113),0)+IFERROR(SUMIF('S5_17-23_AOUT'!$A$3:$A$113,$A112,'S5_17-23_AOUT'!$S$3:$S$113),0)+IFERROR(SUMIF('S6_24-25_AOUT'!$A$3:$A$113,$A112,'S6_24-25_AOUT'!$N$3:$N$113),0)</f>
        <v>0</v>
      </c>
      <c r="R112" s="11">
        <f>IFERROR(SUMIF(S1_26_JUIL!$A$3:$A$113,$A112,S1_26_JUIL!$N$3:$N$113),0)+IFERROR(SUMIF('S2_27_JUIL-02_AOUT'!$A$3:$A$113,$A112,'S2_27_JUIL-02_AOUT'!$T$3:$T$113),0)+IFERROR(SUMIF('S3_03-09_AOUT'!$A$3:$A$113,$A112,'S3_03-09_AOUT'!$T$3:$T$113),0)+IFERROR(SUMIF('S4_10-16_AOUT'!$A$3:$A$113,$A112,'S4_10-16_AOUT'!$T$3:$T$113),0)+IFERROR(SUMIF('S5_17-23_AOUT'!$A$3:$A$113,$A112,'S5_17-23_AOUT'!$T$3:$T$113),0)+IFERROR(SUMIF('S6_24-25_AOUT'!$A$3:$A$113,$A112,'S6_24-25_AOUT'!$O$3:$O$113),0)</f>
        <v>0</v>
      </c>
      <c r="S112" s="8">
        <f>208</f>
        <v>208</v>
      </c>
      <c r="T112" s="8">
        <f t="shared" si="7"/>
        <v>45.499999999999993</v>
      </c>
      <c r="U112" s="10" t="str">
        <f>IF(OR(IFERROR(INDEX(S1_26_JUIL!$P$3:$P$113,MATCH($A112,S1_26_JUIL!$A$3:$A$113,0)),"")="STC",IFERROR(INDEX('S2_27_JUIL-02_AOUT'!$V$3:$V$113,MATCH($A112,'S2_27_JUIL-02_AOUT'!$A$3:$A$113,0)),"")="STC",IFERROR(INDEX('S3_03-09_AOUT'!$V$3:$V$113,MATCH($A112,'S3_03-09_AOUT'!$A$3:$A$113,0)),"")="STC",IFERROR(INDEX('S4_10-16_AOUT'!$V$3:$V$113,MATCH($A112,'S4_10-16_AOUT'!$A$3:$A$113,0)),"")="STC",IFERROR(INDEX('S5_17-23_AOUT'!$V$3:$V$113,MATCH($A112,'S5_17-23_AOUT'!$A$3:$A$113,0)),"")="STC",IFERROR(INDEX('S6_24-25_AOUT'!$Q$3:$Q$113,MATCH($A112,'S6_24-25_AOUT'!$A$3:$A$113,0)),"")="STC"),"STC",IF(OR(IFERROR(INDEX(S1_26_JUIL!$P$3:$P$113,MATCH($A112,S1_26_JUIL!$A$3:$A$113,0)),"")="À vérifier",IFERROR(INDEX('S2_27_JUIL-02_AOUT'!$V$3:$V$113,MATCH($A112,'S2_27_JUIL-02_AOUT'!$A$3:$A$113,0)),"")="À vérifier",IFERROR(INDEX('S3_03-09_AOUT'!$V$3:$V$113,MATCH($A112,'S3_03-09_AOUT'!$A$3:$A$113,0)),"")="À vérifier",IFERROR(INDEX('S4_10-16_AOUT'!$V$3:$V$113,MATCH($A112,'S4_10-16_AOUT'!$A$3:$A$113,0)),"")="À vérifier",IFERROR(INDEX('S5_17-23_AOUT'!$V$3:$V$113,MATCH($A112,'S5_17-23_AOUT'!$A$3:$A$113,0)),"")="À vérifier",IFERROR(INDEX('S6_24-25_AOUT'!$Q$3:$Q$113,MATCH($A112,'S6_24-25_AOUT'!$A$3:$A$113,0)),"")="À vérifier",ABS(L112-T112)&gt;=0.01),"À vérifier","OK"))</f>
        <v>OK</v>
      </c>
    </row>
    <row r="113" spans="1:21">
      <c r="A113" s="12">
        <v>89</v>
      </c>
      <c r="B113" s="12" t="s">
        <v>298</v>
      </c>
      <c r="C113" s="13" t="s">
        <v>299</v>
      </c>
      <c r="D113" s="12" t="s">
        <v>69</v>
      </c>
      <c r="E113" s="10" t="s">
        <v>123</v>
      </c>
      <c r="F113" s="8">
        <f>IFERROR(SUMIF(S1_26_JUIL!$A$3:$A$113,$A113,S1_26_JUIL!$O$3:$O$113),0)</f>
        <v>0</v>
      </c>
      <c r="G113" s="8">
        <f>IFERROR(SUMIF('S2_27_JUIL-02_AOUT'!$A$3:$A$113,$A113,'S2_27_JUIL-02_AOUT'!$U$3:$U$113),0)</f>
        <v>43.999999999999993</v>
      </c>
      <c r="H113" s="8">
        <f>IFERROR(SUMIF('S3_03-09_AOUT'!$A$3:$A$113,$A113,'S3_03-09_AOUT'!$U$3:$U$113),0)</f>
        <v>0</v>
      </c>
      <c r="I113" s="8">
        <f>IFERROR(SUMIF('S4_10-16_AOUT'!$A$3:$A$113,$A113,'S4_10-16_AOUT'!$U$3:$U$113),0)</f>
        <v>0</v>
      </c>
      <c r="J113" s="8">
        <f>IFERROR(SUMIF('S5_17-23_AOUT'!$A$3:$A$113,$A113,'S5_17-23_AOUT'!$U$3:$U$113),0)</f>
        <v>0</v>
      </c>
      <c r="K113" s="8">
        <f>IFERROR(SUMIF('S6_24-25_AOUT'!$A$3:$A$113,$A113,'S6_24-25_AOUT'!$P$3:$P$113),0)</f>
        <v>0</v>
      </c>
      <c r="L113" s="8">
        <f t="shared" si="6"/>
        <v>43.999999999999993</v>
      </c>
      <c r="M113" s="8">
        <f>IFERROR(SUMIF(S1_26_JUIL!$A$3:$A$113,$A113,S1_26_JUIL!$I$3:$I$113),0)+IFERROR(SUMIF('S2_27_JUIL-02_AOUT'!$A$3:$A$113,$A113,'S2_27_JUIL-02_AOUT'!$O$3:$O$113),0)+IFERROR(SUMIF('S3_03-09_AOUT'!$A$3:$A$113,$A113,'S3_03-09_AOUT'!$O$3:$O$113),0)+IFERROR(SUMIF('S4_10-16_AOUT'!$A$3:$A$113,$A113,'S4_10-16_AOUT'!$O$3:$O$113),0)+IFERROR(SUMIF('S5_17-23_AOUT'!$A$3:$A$113,$A113,'S5_17-23_AOUT'!$O$3:$O$113),0)+IFERROR(SUMIF('S6_24-25_AOUT'!$A$3:$A$113,$A113,'S6_24-25_AOUT'!$J$3:$J$113),0)</f>
        <v>43.999999999999993</v>
      </c>
      <c r="N113" s="9">
        <f>IFERROR(SUMIF(S1_26_JUIL!$A$3:$A$113,$A113,S1_26_JUIL!$J$3:$J$113),0)+IFERROR(SUMIF('S2_27_JUIL-02_AOUT'!$A$3:$A$113,$A113,'S2_27_JUIL-02_AOUT'!$P$3:$P$113),0)+IFERROR(SUMIF('S3_03-09_AOUT'!$A$3:$A$113,$A113,'S3_03-09_AOUT'!$P$3:$P$113),0)+IFERROR(SUMIF('S4_10-16_AOUT'!$A$3:$A$113,$A113,'S4_10-16_AOUT'!$P$3:$P$113),0)+IFERROR(SUMIF('S5_17-23_AOUT'!$A$3:$A$113,$A113,'S5_17-23_AOUT'!$P$3:$P$113),0)+IFERROR(SUMIF('S6_24-25_AOUT'!$A$3:$A$113,$A113,'S6_24-25_AOUT'!$K$3:$K$113),0)</f>
        <v>0</v>
      </c>
      <c r="O113" s="9">
        <f>IFERROR(SUMIF(S1_26_JUIL!$A$3:$A$113,$A113,S1_26_JUIL!$K$3:$K$113),0)+IFERROR(SUMIF('S2_27_JUIL-02_AOUT'!$A$3:$A$113,$A113,'S2_27_JUIL-02_AOUT'!$Q$3:$Q$113),0)+IFERROR(SUMIF('S3_03-09_AOUT'!$A$3:$A$113,$A113,'S3_03-09_AOUT'!$Q$3:$Q$113),0)+IFERROR(SUMIF('S4_10-16_AOUT'!$A$3:$A$113,$A113,'S4_10-16_AOUT'!$Q$3:$Q$113),0)+IFERROR(SUMIF('S5_17-23_AOUT'!$A$3:$A$113,$A113,'S5_17-23_AOUT'!$Q$3:$Q$113),0)+IFERROR(SUMIF('S6_24-25_AOUT'!$A$3:$A$113,$A113,'S6_24-25_AOUT'!$L$3:$L$113),0)</f>
        <v>0</v>
      </c>
      <c r="P113" s="8">
        <f>IFERROR(SUMIF(S1_26_JUIL!$A$3:$A$113,$A113,S1_26_JUIL!$L$3:$L$113),0)+IFERROR(SUMIF('S2_27_JUIL-02_AOUT'!$A$3:$A$113,$A113,'S2_27_JUIL-02_AOUT'!$R$3:$R$113),0)+IFERROR(SUMIF('S3_03-09_AOUT'!$A$3:$A$113,$A113,'S3_03-09_AOUT'!$R$3:$R$113),0)+IFERROR(SUMIF('S4_10-16_AOUT'!$A$3:$A$113,$A113,'S4_10-16_AOUT'!$R$3:$R$113),0)+IFERROR(SUMIF('S5_17-23_AOUT'!$A$3:$A$113,$A113,'S5_17-23_AOUT'!$R$3:$R$113),0)+IFERROR(SUMIF('S6_24-25_AOUT'!$A$3:$A$113,$A113,'S6_24-25_AOUT'!$M$3:$M$113),0)</f>
        <v>0</v>
      </c>
      <c r="Q113" s="8">
        <f>IFERROR(SUMIF(S1_26_JUIL!$A$3:$A$113,$A113,S1_26_JUIL!$M$3:$M$113),0)+IFERROR(SUMIF('S2_27_JUIL-02_AOUT'!$A$3:$A$113,$A113,'S2_27_JUIL-02_AOUT'!$S$3:$S$113),0)+IFERROR(SUMIF('S3_03-09_AOUT'!$A$3:$A$113,$A113,'S3_03-09_AOUT'!$S$3:$S$113),0)+IFERROR(SUMIF('S4_10-16_AOUT'!$A$3:$A$113,$A113,'S4_10-16_AOUT'!$S$3:$S$113),0)+IFERROR(SUMIF('S5_17-23_AOUT'!$A$3:$A$113,$A113,'S5_17-23_AOUT'!$S$3:$S$113),0)+IFERROR(SUMIF('S6_24-25_AOUT'!$A$3:$A$113,$A113,'S6_24-25_AOUT'!$N$3:$N$113),0)</f>
        <v>0</v>
      </c>
      <c r="R113" s="11">
        <f>IFERROR(SUMIF(S1_26_JUIL!$A$3:$A$113,$A113,S1_26_JUIL!$N$3:$N$113),0)+IFERROR(SUMIF('S2_27_JUIL-02_AOUT'!$A$3:$A$113,$A113,'S2_27_JUIL-02_AOUT'!$T$3:$T$113),0)+IFERROR(SUMIF('S3_03-09_AOUT'!$A$3:$A$113,$A113,'S3_03-09_AOUT'!$T$3:$T$113),0)+IFERROR(SUMIF('S4_10-16_AOUT'!$A$3:$A$113,$A113,'S4_10-16_AOUT'!$T$3:$T$113),0)+IFERROR(SUMIF('S5_17-23_AOUT'!$A$3:$A$113,$A113,'S5_17-23_AOUT'!$T$3:$T$113),0)+IFERROR(SUMIF('S6_24-25_AOUT'!$A$3:$A$113,$A113,'S6_24-25_AOUT'!$O$3:$O$113),0)</f>
        <v>0</v>
      </c>
      <c r="S113" s="8">
        <f>208</f>
        <v>208</v>
      </c>
      <c r="T113" s="8">
        <f t="shared" si="7"/>
        <v>43.999999999999993</v>
      </c>
      <c r="U113" s="10" t="str">
        <f>IF(OR(IFERROR(INDEX(S1_26_JUIL!$P$3:$P$113,MATCH($A113,S1_26_JUIL!$A$3:$A$113,0)),"")="STC",IFERROR(INDEX('S2_27_JUIL-02_AOUT'!$V$3:$V$113,MATCH($A113,'S2_27_JUIL-02_AOUT'!$A$3:$A$113,0)),"")="STC",IFERROR(INDEX('S3_03-09_AOUT'!$V$3:$V$113,MATCH($A113,'S3_03-09_AOUT'!$A$3:$A$113,0)),"")="STC",IFERROR(INDEX('S4_10-16_AOUT'!$V$3:$V$113,MATCH($A113,'S4_10-16_AOUT'!$A$3:$A$113,0)),"")="STC",IFERROR(INDEX('S5_17-23_AOUT'!$V$3:$V$113,MATCH($A113,'S5_17-23_AOUT'!$A$3:$A$113,0)),"")="STC",IFERROR(INDEX('S6_24-25_AOUT'!$Q$3:$Q$113,MATCH($A113,'S6_24-25_AOUT'!$A$3:$A$113,0)),"")="STC"),"STC",IF(OR(IFERROR(INDEX(S1_26_JUIL!$P$3:$P$113,MATCH($A113,S1_26_JUIL!$A$3:$A$113,0)),"")="À vérifier",IFERROR(INDEX('S2_27_JUIL-02_AOUT'!$V$3:$V$113,MATCH($A113,'S2_27_JUIL-02_AOUT'!$A$3:$A$113,0)),"")="À vérifier",IFERROR(INDEX('S3_03-09_AOUT'!$V$3:$V$113,MATCH($A113,'S3_03-09_AOUT'!$A$3:$A$113,0)),"")="À vérifier",IFERROR(INDEX('S4_10-16_AOUT'!$V$3:$V$113,MATCH($A113,'S4_10-16_AOUT'!$A$3:$A$113,0)),"")="À vérifier",IFERROR(INDEX('S5_17-23_AOUT'!$V$3:$V$113,MATCH($A113,'S5_17-23_AOUT'!$A$3:$A$113,0)),"")="À vérifier",IFERROR(INDEX('S6_24-25_AOUT'!$Q$3:$Q$113,MATCH($A113,'S6_24-25_AOUT'!$A$3:$A$113,0)),"")="À vérifier",ABS(L113-T113)&gt;=0.01),"À vérifier","OK"))</f>
        <v>OK</v>
      </c>
    </row>
  </sheetData>
  <mergeCells count="1">
    <mergeCell ref="A1:U1"/>
  </mergeCells>
  <conditionalFormatting sqref="F3:K113">
    <cfRule type="cellIs" dxfId="34" priority="12" operator="greaterThan">
      <formula>0</formula>
    </cfRule>
  </conditionalFormatting>
  <conditionalFormatting sqref="L3:M113">
    <cfRule type="cellIs" dxfId="33" priority="6" operator="greaterThanOrEqual">
      <formula>1</formula>
    </cfRule>
  </conditionalFormatting>
  <conditionalFormatting sqref="M3:O113">
    <cfRule type="cellIs" dxfId="32" priority="10" operator="greaterThan">
      <formula>0</formula>
    </cfRule>
  </conditionalFormatting>
  <conditionalFormatting sqref="N3:N113">
    <cfRule type="cellIs" dxfId="31" priority="7" operator="greaterThanOrEqual">
      <formula>1</formula>
    </cfRule>
  </conditionalFormatting>
  <conditionalFormatting sqref="P3:P113">
    <cfRule type="cellIs" dxfId="30" priority="4" operator="greaterThanOrEqual">
      <formula>1</formula>
    </cfRule>
    <cfRule type="cellIs" dxfId="29" priority="5" operator="greaterThan">
      <formula>0</formula>
    </cfRule>
  </conditionalFormatting>
  <conditionalFormatting sqref="Q3:R113">
    <cfRule type="expression" dxfId="28" priority="1">
      <formula>Q3="STC"</formula>
    </cfRule>
    <cfRule type="expression" dxfId="27" priority="2">
      <formula>OR(Q3="Vérifier",Q3="À vérifier")</formula>
    </cfRule>
    <cfRule type="cellIs" dxfId="26" priority="3" operator="greater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0"/>
  <sheetViews>
    <sheetView workbookViewId="0"/>
  </sheetViews>
  <sheetFormatPr baseColWidth="10" defaultColWidth="9" defaultRowHeight="14.25"/>
  <cols>
    <col min="1" max="1" width="8.5" style="16" customWidth="1"/>
    <col min="2" max="2" width="15.75" customWidth="1"/>
    <col min="3" max="3" width="17" customWidth="1"/>
    <col min="4" max="11" width="6.875" style="16" customWidth="1"/>
    <col min="12" max="12" width="13.625" customWidth="1"/>
  </cols>
  <sheetData>
    <row r="1" spans="1:12" ht="18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38.1" customHeight="1">
      <c r="A2" s="4" t="s">
        <v>349</v>
      </c>
      <c r="B2" s="4" t="s">
        <v>2</v>
      </c>
      <c r="C2" s="4" t="s">
        <v>3</v>
      </c>
      <c r="D2" s="4" t="s">
        <v>350</v>
      </c>
      <c r="E2" s="4" t="s">
        <v>351</v>
      </c>
      <c r="F2" s="4" t="s">
        <v>352</v>
      </c>
      <c r="G2" s="4" t="s">
        <v>353</v>
      </c>
      <c r="H2" s="4" t="s">
        <v>354</v>
      </c>
      <c r="I2" s="20" t="s">
        <v>13</v>
      </c>
      <c r="J2" s="4" t="s">
        <v>355</v>
      </c>
      <c r="K2" s="4" t="s">
        <v>356</v>
      </c>
      <c r="L2" s="4" t="s">
        <v>16</v>
      </c>
    </row>
    <row r="3" spans="1:12">
      <c r="A3" s="10" t="s">
        <v>17</v>
      </c>
      <c r="B3" s="12" t="s">
        <v>18</v>
      </c>
      <c r="C3" s="13" t="s">
        <v>19</v>
      </c>
      <c r="D3" s="10">
        <f>26</f>
        <v>26</v>
      </c>
      <c r="E3" s="10">
        <f>TOTAL_MOIS!M3/8</f>
        <v>5.375</v>
      </c>
      <c r="F3" s="8">
        <f>TOTAL_MOIS!N3/8</f>
        <v>0</v>
      </c>
      <c r="G3" s="8">
        <f>TOTAL_MOIS!O3/8</f>
        <v>0</v>
      </c>
      <c r="H3" s="8">
        <f>TOTAL_MOIS!P3</f>
        <v>0</v>
      </c>
      <c r="I3" s="8">
        <f>TOTAL_MOIS!Q3</f>
        <v>0</v>
      </c>
      <c r="J3" s="8">
        <f>TOTAL_MOIS!R3</f>
        <v>0</v>
      </c>
      <c r="K3" s="8">
        <f>IF(OR(TOTAL_MOIS!T3="STC",TOTAL_MOIS!U3="STC"),"STC",SUM(E3:G3,I3:J3))</f>
        <v>5.375</v>
      </c>
      <c r="L3" s="8" t="str">
        <f>TOTAL_MOIS!U3</f>
        <v>OK</v>
      </c>
    </row>
    <row r="4" spans="1:12">
      <c r="A4" s="10" t="s">
        <v>23</v>
      </c>
      <c r="B4" s="12" t="s">
        <v>24</v>
      </c>
      <c r="C4" s="13" t="s">
        <v>25</v>
      </c>
      <c r="D4" s="10">
        <f>26</f>
        <v>26</v>
      </c>
      <c r="E4" s="10">
        <f>TOTAL_MOIS!M4/8</f>
        <v>6</v>
      </c>
      <c r="F4" s="8">
        <f>TOTAL_MOIS!N4/8</f>
        <v>0</v>
      </c>
      <c r="G4" s="8">
        <f>TOTAL_MOIS!O4/8</f>
        <v>0</v>
      </c>
      <c r="H4" s="8">
        <f>TOTAL_MOIS!P4</f>
        <v>0</v>
      </c>
      <c r="I4" s="8">
        <f>TOTAL_MOIS!Q4</f>
        <v>0</v>
      </c>
      <c r="J4" s="8">
        <f>TOTAL_MOIS!R4</f>
        <v>0</v>
      </c>
      <c r="K4" s="8">
        <f>IF(OR(TOTAL_MOIS!T4="STC",TOTAL_MOIS!U4="STC"),"STC",SUM(E4:G4,I4:J4))</f>
        <v>6</v>
      </c>
      <c r="L4" s="8" t="str">
        <f>TOTAL_MOIS!U4</f>
        <v>OK</v>
      </c>
    </row>
    <row r="5" spans="1:12">
      <c r="A5" s="10" t="s">
        <v>26</v>
      </c>
      <c r="B5" s="12" t="s">
        <v>27</v>
      </c>
      <c r="C5" s="13" t="s">
        <v>28</v>
      </c>
      <c r="D5" s="10">
        <f>26</f>
        <v>26</v>
      </c>
      <c r="E5" s="10">
        <f>TOTAL_MOIS!M5/8</f>
        <v>5.6875</v>
      </c>
      <c r="F5" s="8">
        <f>TOTAL_MOIS!N5/8</f>
        <v>0</v>
      </c>
      <c r="G5" s="8">
        <f>TOTAL_MOIS!O5/8</f>
        <v>0</v>
      </c>
      <c r="H5" s="8">
        <f>TOTAL_MOIS!P5</f>
        <v>0</v>
      </c>
      <c r="I5" s="8">
        <f>TOTAL_MOIS!Q5</f>
        <v>0</v>
      </c>
      <c r="J5" s="8">
        <f>TOTAL_MOIS!R5</f>
        <v>0</v>
      </c>
      <c r="K5" s="8">
        <f>IF(OR(TOTAL_MOIS!T5="STC",TOTAL_MOIS!U5="STC"),"STC",SUM(E5:G5,I5:J5))</f>
        <v>5.6875</v>
      </c>
      <c r="L5" s="8" t="str">
        <f>TOTAL_MOIS!U5</f>
        <v>OK</v>
      </c>
    </row>
    <row r="6" spans="1:12">
      <c r="A6" s="10">
        <v>124</v>
      </c>
      <c r="B6" s="12" t="s">
        <v>29</v>
      </c>
      <c r="C6" s="13" t="s">
        <v>30</v>
      </c>
      <c r="D6" s="10">
        <f>26</f>
        <v>26</v>
      </c>
      <c r="E6" s="10">
        <f>TOTAL_MOIS!M6/8</f>
        <v>5.75</v>
      </c>
      <c r="F6" s="8">
        <f>TOTAL_MOIS!N6/8</f>
        <v>0</v>
      </c>
      <c r="G6" s="8">
        <f>TOTAL_MOIS!O6/8</f>
        <v>0</v>
      </c>
      <c r="H6" s="8">
        <f>TOTAL_MOIS!P6</f>
        <v>0</v>
      </c>
      <c r="I6" s="8">
        <f>TOTAL_MOIS!Q6</f>
        <v>0</v>
      </c>
      <c r="J6" s="8">
        <f>TOTAL_MOIS!R6</f>
        <v>0</v>
      </c>
      <c r="K6" s="8">
        <f>IF(OR(TOTAL_MOIS!T6="STC",TOTAL_MOIS!U6="STC"),"STC",SUM(E6:G6,I6:J6))</f>
        <v>5.75</v>
      </c>
      <c r="L6" s="8" t="str">
        <f>TOTAL_MOIS!U6</f>
        <v>OK</v>
      </c>
    </row>
    <row r="7" spans="1:12">
      <c r="A7" s="10" t="s">
        <v>32</v>
      </c>
      <c r="B7" s="12" t="s">
        <v>33</v>
      </c>
      <c r="C7" s="13" t="s">
        <v>34</v>
      </c>
      <c r="D7" s="10">
        <f>26</f>
        <v>26</v>
      </c>
      <c r="E7" s="10">
        <f>TOTAL_MOIS!M7/8</f>
        <v>5.4374999999999991</v>
      </c>
      <c r="F7" s="8">
        <f>TOTAL_MOIS!N7/8</f>
        <v>0</v>
      </c>
      <c r="G7" s="8">
        <f>TOTAL_MOIS!O7/8</f>
        <v>0</v>
      </c>
      <c r="H7" s="8">
        <f>TOTAL_MOIS!P7</f>
        <v>0</v>
      </c>
      <c r="I7" s="8">
        <f>TOTAL_MOIS!Q7</f>
        <v>0</v>
      </c>
      <c r="J7" s="8">
        <f>TOTAL_MOIS!R7</f>
        <v>0</v>
      </c>
      <c r="K7" s="8">
        <f>IF(OR(TOTAL_MOIS!T7="STC",TOTAL_MOIS!U7="STC"),"STC",SUM(E7:G7,I7:J7))</f>
        <v>5.4374999999999991</v>
      </c>
      <c r="L7" s="8" t="str">
        <f>TOTAL_MOIS!U7</f>
        <v>OK</v>
      </c>
    </row>
    <row r="8" spans="1:12">
      <c r="A8" s="10" t="s">
        <v>35</v>
      </c>
      <c r="B8" s="12" t="s">
        <v>36</v>
      </c>
      <c r="C8" s="13" t="s">
        <v>37</v>
      </c>
      <c r="D8" s="10">
        <f>26</f>
        <v>26</v>
      </c>
      <c r="E8" s="10">
        <f>TOTAL_MOIS!M8/8</f>
        <v>5.875</v>
      </c>
      <c r="F8" s="8">
        <f>TOTAL_MOIS!N8/8</f>
        <v>0</v>
      </c>
      <c r="G8" s="8">
        <f>TOTAL_MOIS!O8/8</f>
        <v>0</v>
      </c>
      <c r="H8" s="8">
        <f>TOTAL_MOIS!P8</f>
        <v>0</v>
      </c>
      <c r="I8" s="8">
        <f>TOTAL_MOIS!Q8</f>
        <v>0</v>
      </c>
      <c r="J8" s="8">
        <f>TOTAL_MOIS!R8</f>
        <v>0</v>
      </c>
      <c r="K8" s="8">
        <f>IF(OR(TOTAL_MOIS!T8="STC",TOTAL_MOIS!U8="STC"),"STC",SUM(E8:G8,I8:J8))</f>
        <v>5.875</v>
      </c>
      <c r="L8" s="8" t="str">
        <f>TOTAL_MOIS!U8</f>
        <v>OK</v>
      </c>
    </row>
    <row r="9" spans="1:12">
      <c r="A9" s="10" t="s">
        <v>38</v>
      </c>
      <c r="B9" s="12" t="s">
        <v>39</v>
      </c>
      <c r="C9" s="13" t="s">
        <v>40</v>
      </c>
      <c r="D9" s="10">
        <f>26</f>
        <v>26</v>
      </c>
      <c r="E9" s="10">
        <f>TOTAL_MOIS!M9/8</f>
        <v>5.5</v>
      </c>
      <c r="F9" s="8">
        <f>TOTAL_MOIS!N9/8</f>
        <v>0</v>
      </c>
      <c r="G9" s="8">
        <f>TOTAL_MOIS!O9/8</f>
        <v>0</v>
      </c>
      <c r="H9" s="8">
        <f>TOTAL_MOIS!P9</f>
        <v>0</v>
      </c>
      <c r="I9" s="8">
        <f>TOTAL_MOIS!Q9</f>
        <v>0</v>
      </c>
      <c r="J9" s="8">
        <f>TOTAL_MOIS!R9</f>
        <v>0</v>
      </c>
      <c r="K9" s="8">
        <f>IF(OR(TOTAL_MOIS!T9="STC",TOTAL_MOIS!U9="STC"),"STC",SUM(E9:G9,I9:J9))</f>
        <v>5.5</v>
      </c>
      <c r="L9" s="8" t="str">
        <f>TOTAL_MOIS!U9</f>
        <v>OK</v>
      </c>
    </row>
    <row r="10" spans="1:12">
      <c r="A10" s="10" t="s">
        <v>41</v>
      </c>
      <c r="B10" s="12" t="s">
        <v>42</v>
      </c>
      <c r="C10" s="13" t="s">
        <v>43</v>
      </c>
      <c r="D10" s="10">
        <f>26</f>
        <v>26</v>
      </c>
      <c r="E10" s="10">
        <f>TOTAL_MOIS!M10/8</f>
        <v>5.1875</v>
      </c>
      <c r="F10" s="8">
        <f>TOTAL_MOIS!N10/8</f>
        <v>0</v>
      </c>
      <c r="G10" s="8">
        <f>TOTAL_MOIS!O10/8</f>
        <v>0</v>
      </c>
      <c r="H10" s="8">
        <f>TOTAL_MOIS!P10</f>
        <v>0</v>
      </c>
      <c r="I10" s="8">
        <f>TOTAL_MOIS!Q10</f>
        <v>0</v>
      </c>
      <c r="J10" s="8">
        <f>TOTAL_MOIS!R10</f>
        <v>0</v>
      </c>
      <c r="K10" s="8">
        <f>IF(OR(TOTAL_MOIS!T10="STC",TOTAL_MOIS!U10="STC"),"STC",SUM(E10:G10,I10:J10))</f>
        <v>5.1875</v>
      </c>
      <c r="L10" s="8" t="str">
        <f>TOTAL_MOIS!U10</f>
        <v>OK</v>
      </c>
    </row>
    <row r="11" spans="1:12">
      <c r="A11" s="10" t="s">
        <v>44</v>
      </c>
      <c r="B11" s="12" t="s">
        <v>45</v>
      </c>
      <c r="C11" s="13" t="s">
        <v>46</v>
      </c>
      <c r="D11" s="10">
        <f>26</f>
        <v>26</v>
      </c>
      <c r="E11" s="10">
        <f>TOTAL_MOIS!M11/8</f>
        <v>5.5625</v>
      </c>
      <c r="F11" s="8">
        <f>TOTAL_MOIS!N11/8</f>
        <v>0</v>
      </c>
      <c r="G11" s="8">
        <f>TOTAL_MOIS!O11/8</f>
        <v>0</v>
      </c>
      <c r="H11" s="8">
        <f>TOTAL_MOIS!P11</f>
        <v>0</v>
      </c>
      <c r="I11" s="8">
        <f>TOTAL_MOIS!Q11</f>
        <v>0</v>
      </c>
      <c r="J11" s="8">
        <f>TOTAL_MOIS!R11</f>
        <v>0</v>
      </c>
      <c r="K11" s="8">
        <f>IF(OR(TOTAL_MOIS!T11="STC",TOTAL_MOIS!U11="STC"),"STC",SUM(E11:G11,I11:J11))</f>
        <v>5.5625</v>
      </c>
      <c r="L11" s="8" t="str">
        <f>TOTAL_MOIS!U11</f>
        <v>OK</v>
      </c>
    </row>
    <row r="12" spans="1:12">
      <c r="A12" s="10" t="s">
        <v>47</v>
      </c>
      <c r="B12" s="12" t="s">
        <v>28</v>
      </c>
      <c r="C12" s="13" t="s">
        <v>48</v>
      </c>
      <c r="D12" s="10">
        <f>26</f>
        <v>26</v>
      </c>
      <c r="E12" s="10">
        <f>TOTAL_MOIS!M12/8</f>
        <v>5.9375</v>
      </c>
      <c r="F12" s="8">
        <f>TOTAL_MOIS!N12/8</f>
        <v>0</v>
      </c>
      <c r="G12" s="8">
        <f>TOTAL_MOIS!O12/8</f>
        <v>0</v>
      </c>
      <c r="H12" s="8">
        <f>TOTAL_MOIS!P12</f>
        <v>0</v>
      </c>
      <c r="I12" s="8">
        <f>TOTAL_MOIS!Q12</f>
        <v>0</v>
      </c>
      <c r="J12" s="8">
        <f>TOTAL_MOIS!R12</f>
        <v>0</v>
      </c>
      <c r="K12" s="8">
        <f>IF(OR(TOTAL_MOIS!T12="STC",TOTAL_MOIS!U12="STC"),"STC",SUM(E12:G12,I12:J12))</f>
        <v>5.9375</v>
      </c>
      <c r="L12" s="8" t="str">
        <f>TOTAL_MOIS!U12</f>
        <v>OK</v>
      </c>
    </row>
    <row r="13" spans="1:12">
      <c r="A13" s="10">
        <v>132</v>
      </c>
      <c r="B13" s="12" t="s">
        <v>50</v>
      </c>
      <c r="C13" s="13" t="s">
        <v>51</v>
      </c>
      <c r="D13" s="10">
        <f>26</f>
        <v>26</v>
      </c>
      <c r="E13" s="10">
        <f>TOTAL_MOIS!M13/8</f>
        <v>3.5625</v>
      </c>
      <c r="F13" s="8">
        <f>TOTAL_MOIS!N13/8</f>
        <v>0</v>
      </c>
      <c r="G13" s="8">
        <f>TOTAL_MOIS!O13/8</f>
        <v>0</v>
      </c>
      <c r="H13" s="8">
        <f>TOTAL_MOIS!P13</f>
        <v>2</v>
      </c>
      <c r="I13" s="8">
        <f>TOTAL_MOIS!Q13</f>
        <v>0</v>
      </c>
      <c r="J13" s="8">
        <f>TOTAL_MOIS!R13</f>
        <v>0</v>
      </c>
      <c r="K13" s="8">
        <f>IF(OR(TOTAL_MOIS!T13="STC",TOTAL_MOIS!U13="STC"),"STC",SUM(E13:G13,I13:J13))</f>
        <v>3.5625</v>
      </c>
      <c r="L13" s="8" t="str">
        <f>TOTAL_MOIS!U13</f>
        <v>OK</v>
      </c>
    </row>
    <row r="14" spans="1:12">
      <c r="A14" s="10">
        <v>174</v>
      </c>
      <c r="B14" s="12" t="s">
        <v>52</v>
      </c>
      <c r="C14" s="13" t="s">
        <v>53</v>
      </c>
      <c r="D14" s="10">
        <f>26</f>
        <v>26</v>
      </c>
      <c r="E14" s="10">
        <f>TOTAL_MOIS!M14/8</f>
        <v>5.9375</v>
      </c>
      <c r="F14" s="8">
        <f>TOTAL_MOIS!N14/8</f>
        <v>0</v>
      </c>
      <c r="G14" s="8">
        <f>TOTAL_MOIS!O14/8</f>
        <v>0</v>
      </c>
      <c r="H14" s="8">
        <f>TOTAL_MOIS!P14</f>
        <v>0</v>
      </c>
      <c r="I14" s="8">
        <f>TOTAL_MOIS!Q14</f>
        <v>0</v>
      </c>
      <c r="J14" s="8">
        <f>TOTAL_MOIS!R14</f>
        <v>0</v>
      </c>
      <c r="K14" s="8">
        <f>IF(OR(TOTAL_MOIS!T14="STC",TOTAL_MOIS!U14="STC"),"STC",SUM(E14:G14,I14:J14))</f>
        <v>5.9375</v>
      </c>
      <c r="L14" s="8" t="str">
        <f>TOTAL_MOIS!U14</f>
        <v>OK</v>
      </c>
    </row>
    <row r="15" spans="1:12">
      <c r="A15" s="10" t="s">
        <v>54</v>
      </c>
      <c r="B15" s="12" t="s">
        <v>55</v>
      </c>
      <c r="C15" s="13" t="s">
        <v>56</v>
      </c>
      <c r="D15" s="10">
        <f>26</f>
        <v>26</v>
      </c>
      <c r="E15" s="10">
        <f>TOTAL_MOIS!M15/8</f>
        <v>1.25</v>
      </c>
      <c r="F15" s="8">
        <f>TOTAL_MOIS!N15/8</f>
        <v>0</v>
      </c>
      <c r="G15" s="8">
        <f>TOTAL_MOIS!O15/8</f>
        <v>0</v>
      </c>
      <c r="H15" s="8">
        <f>TOTAL_MOIS!P15</f>
        <v>0</v>
      </c>
      <c r="I15" s="8">
        <f>TOTAL_MOIS!Q15</f>
        <v>0</v>
      </c>
      <c r="J15" s="8">
        <f>TOTAL_MOIS!R15</f>
        <v>0</v>
      </c>
      <c r="K15" s="8">
        <f>IF(OR(TOTAL_MOIS!T15="STC",TOTAL_MOIS!U15="STC"),"STC",SUM(E15:G15,I15:J15))</f>
        <v>1.25</v>
      </c>
      <c r="L15" s="8" t="str">
        <f>TOTAL_MOIS!U15</f>
        <v>OK</v>
      </c>
    </row>
    <row r="16" spans="1:12">
      <c r="A16" s="10" t="s">
        <v>57</v>
      </c>
      <c r="B16" s="12" t="s">
        <v>58</v>
      </c>
      <c r="C16" s="13" t="s">
        <v>59</v>
      </c>
      <c r="D16" s="10">
        <f>26</f>
        <v>26</v>
      </c>
      <c r="E16" s="10">
        <f>TOTAL_MOIS!M16/8</f>
        <v>4.75</v>
      </c>
      <c r="F16" s="8">
        <f>TOTAL_MOIS!N16/8</f>
        <v>0</v>
      </c>
      <c r="G16" s="8">
        <f>TOTAL_MOIS!O16/8</f>
        <v>0</v>
      </c>
      <c r="H16" s="8">
        <f>TOTAL_MOIS!P16</f>
        <v>0</v>
      </c>
      <c r="I16" s="8">
        <f>TOTAL_MOIS!Q16</f>
        <v>0</v>
      </c>
      <c r="J16" s="8">
        <f>TOTAL_MOIS!R16</f>
        <v>0</v>
      </c>
      <c r="K16" s="8">
        <f>IF(OR(TOTAL_MOIS!T16="STC",TOTAL_MOIS!U16="STC"),"STC",SUM(E16:G16,I16:J16))</f>
        <v>4.75</v>
      </c>
      <c r="L16" s="8" t="str">
        <f>TOTAL_MOIS!U16</f>
        <v>OK</v>
      </c>
    </row>
    <row r="17" spans="1:12">
      <c r="A17" s="10" t="s">
        <v>60</v>
      </c>
      <c r="B17" s="12" t="s">
        <v>58</v>
      </c>
      <c r="C17" s="13" t="s">
        <v>61</v>
      </c>
      <c r="D17" s="10">
        <f>26</f>
        <v>26</v>
      </c>
      <c r="E17" s="10">
        <f>TOTAL_MOIS!M17/8</f>
        <v>4.75</v>
      </c>
      <c r="F17" s="8">
        <f>TOTAL_MOIS!N17/8</f>
        <v>0</v>
      </c>
      <c r="G17" s="8">
        <f>TOTAL_MOIS!O17/8</f>
        <v>0</v>
      </c>
      <c r="H17" s="8">
        <f>TOTAL_MOIS!P17</f>
        <v>0</v>
      </c>
      <c r="I17" s="8">
        <f>TOTAL_MOIS!Q17</f>
        <v>0</v>
      </c>
      <c r="J17" s="8">
        <f>TOTAL_MOIS!R17</f>
        <v>0</v>
      </c>
      <c r="K17" s="8">
        <f>IF(OR(TOTAL_MOIS!T17="STC",TOTAL_MOIS!U17="STC"),"STC",SUM(E17:G17,I17:J17))</f>
        <v>4.75</v>
      </c>
      <c r="L17" s="8" t="str">
        <f>TOTAL_MOIS!U17</f>
        <v>OK</v>
      </c>
    </row>
    <row r="18" spans="1:12">
      <c r="A18" s="10">
        <v>158</v>
      </c>
      <c r="B18" s="12" t="s">
        <v>62</v>
      </c>
      <c r="C18" s="13" t="s">
        <v>63</v>
      </c>
      <c r="D18" s="10">
        <f>26</f>
        <v>26</v>
      </c>
      <c r="E18" s="10">
        <f>TOTAL_MOIS!M18/8</f>
        <v>5.4374999999999991</v>
      </c>
      <c r="F18" s="8">
        <f>TOTAL_MOIS!N18/8</f>
        <v>0</v>
      </c>
      <c r="G18" s="8">
        <f>TOTAL_MOIS!O18/8</f>
        <v>0</v>
      </c>
      <c r="H18" s="8">
        <f>TOTAL_MOIS!P18</f>
        <v>0</v>
      </c>
      <c r="I18" s="8">
        <f>TOTAL_MOIS!Q18</f>
        <v>0</v>
      </c>
      <c r="J18" s="8">
        <f>TOTAL_MOIS!R18</f>
        <v>0</v>
      </c>
      <c r="K18" s="8">
        <f>IF(OR(TOTAL_MOIS!T18="STC",TOTAL_MOIS!U18="STC"),"STC",SUM(E18:G18,I18:J18))</f>
        <v>5.4374999999999991</v>
      </c>
      <c r="L18" s="8" t="str">
        <f>TOTAL_MOIS!U18</f>
        <v>OK</v>
      </c>
    </row>
    <row r="19" spans="1:12">
      <c r="A19" s="10" t="s">
        <v>64</v>
      </c>
      <c r="B19" s="12" t="s">
        <v>65</v>
      </c>
      <c r="C19" s="13" t="s">
        <v>66</v>
      </c>
      <c r="D19" s="10">
        <f>26</f>
        <v>26</v>
      </c>
      <c r="E19" s="10">
        <f>TOTAL_MOIS!M19/8</f>
        <v>6</v>
      </c>
      <c r="F19" s="8">
        <f>TOTAL_MOIS!N19/8</f>
        <v>6.25E-2</v>
      </c>
      <c r="G19" s="8">
        <f>TOTAL_MOIS!O19/8</f>
        <v>0</v>
      </c>
      <c r="H19" s="8">
        <f>TOTAL_MOIS!P19</f>
        <v>0</v>
      </c>
      <c r="I19" s="8">
        <f>TOTAL_MOIS!Q19</f>
        <v>0</v>
      </c>
      <c r="J19" s="8">
        <f>TOTAL_MOIS!R19</f>
        <v>0</v>
      </c>
      <c r="K19" s="8">
        <f>IF(OR(TOTAL_MOIS!T19="STC",TOTAL_MOIS!U19="STC"),"STC",SUM(E19:G19,I19:J19))</f>
        <v>6.0625</v>
      </c>
      <c r="L19" s="8" t="str">
        <f>TOTAL_MOIS!U19</f>
        <v>OK</v>
      </c>
    </row>
    <row r="20" spans="1:12">
      <c r="A20" s="10" t="s">
        <v>67</v>
      </c>
      <c r="B20" s="12" t="s">
        <v>68</v>
      </c>
      <c r="C20" s="13" t="s">
        <v>25</v>
      </c>
      <c r="D20" s="10">
        <f>26</f>
        <v>26</v>
      </c>
      <c r="E20" s="10">
        <f>TOTAL_MOIS!M20/8</f>
        <v>5.75</v>
      </c>
      <c r="F20" s="8">
        <f>TOTAL_MOIS!N20/8</f>
        <v>0</v>
      </c>
      <c r="G20" s="8">
        <f>TOTAL_MOIS!O20/8</f>
        <v>0</v>
      </c>
      <c r="H20" s="8">
        <f>TOTAL_MOIS!P20</f>
        <v>0</v>
      </c>
      <c r="I20" s="8">
        <f>TOTAL_MOIS!Q20</f>
        <v>0</v>
      </c>
      <c r="J20" s="8">
        <f>TOTAL_MOIS!R20</f>
        <v>0</v>
      </c>
      <c r="K20" s="8">
        <f>IF(OR(TOTAL_MOIS!T20="STC",TOTAL_MOIS!U20="STC"),"STC",SUM(E20:G20,I20:J20))</f>
        <v>5.75</v>
      </c>
      <c r="L20" s="8" t="str">
        <f>TOTAL_MOIS!U20</f>
        <v>OK</v>
      </c>
    </row>
    <row r="21" spans="1:12">
      <c r="A21" s="10" t="s">
        <v>70</v>
      </c>
      <c r="B21" s="12" t="s">
        <v>71</v>
      </c>
      <c r="C21" s="13" t="s">
        <v>72</v>
      </c>
      <c r="D21" s="10">
        <f>26</f>
        <v>26</v>
      </c>
      <c r="E21" s="10">
        <f>TOTAL_MOIS!M21/8</f>
        <v>5.75</v>
      </c>
      <c r="F21" s="8">
        <f>TOTAL_MOIS!N21/8</f>
        <v>0</v>
      </c>
      <c r="G21" s="8">
        <f>TOTAL_MOIS!O21/8</f>
        <v>0</v>
      </c>
      <c r="H21" s="8">
        <f>TOTAL_MOIS!P21</f>
        <v>0</v>
      </c>
      <c r="I21" s="8">
        <f>TOTAL_MOIS!Q21</f>
        <v>0</v>
      </c>
      <c r="J21" s="8">
        <f>TOTAL_MOIS!R21</f>
        <v>0</v>
      </c>
      <c r="K21" s="8">
        <f>IF(OR(TOTAL_MOIS!T21="STC",TOTAL_MOIS!U21="STC"),"STC",SUM(E21:G21,I21:J21))</f>
        <v>5.75</v>
      </c>
      <c r="L21" s="8" t="str">
        <f>TOTAL_MOIS!U21</f>
        <v>OK</v>
      </c>
    </row>
    <row r="22" spans="1:12">
      <c r="A22" s="10" t="s">
        <v>73</v>
      </c>
      <c r="B22" s="12" t="s">
        <v>74</v>
      </c>
      <c r="C22" s="13" t="s">
        <v>75</v>
      </c>
      <c r="D22" s="10">
        <f>26</f>
        <v>26</v>
      </c>
      <c r="E22" s="10">
        <f>TOTAL_MOIS!M22/8</f>
        <v>0</v>
      </c>
      <c r="F22" s="8">
        <f>TOTAL_MOIS!N22/8</f>
        <v>0</v>
      </c>
      <c r="G22" s="8">
        <f>TOTAL_MOIS!O22/8</f>
        <v>0</v>
      </c>
      <c r="H22" s="8">
        <f>TOTAL_MOIS!P22</f>
        <v>0</v>
      </c>
      <c r="I22" s="8">
        <f>TOTAL_MOIS!Q22</f>
        <v>0</v>
      </c>
      <c r="J22" s="8">
        <f>TOTAL_MOIS!R22</f>
        <v>0</v>
      </c>
      <c r="K22" s="8" t="str">
        <f>IF(OR(TOTAL_MOIS!T22="STC",TOTAL_MOIS!U22="STC"),"STC",SUM(E22:G22,I22:J22))</f>
        <v>STC</v>
      </c>
      <c r="L22" s="8" t="str">
        <f>TOTAL_MOIS!U22</f>
        <v>STC</v>
      </c>
    </row>
    <row r="23" spans="1:12">
      <c r="A23" s="10">
        <v>97</v>
      </c>
      <c r="B23" s="12" t="s">
        <v>76</v>
      </c>
      <c r="C23" s="13" t="s">
        <v>77</v>
      </c>
      <c r="D23" s="10">
        <f>26</f>
        <v>26</v>
      </c>
      <c r="E23" s="10">
        <f>TOTAL_MOIS!M23/8</f>
        <v>1.1875</v>
      </c>
      <c r="F23" s="8">
        <f>TOTAL_MOIS!N23/8</f>
        <v>0</v>
      </c>
      <c r="G23" s="8">
        <f>TOTAL_MOIS!O23/8</f>
        <v>0</v>
      </c>
      <c r="H23" s="8">
        <f>TOTAL_MOIS!P23</f>
        <v>4</v>
      </c>
      <c r="I23" s="8">
        <f>TOTAL_MOIS!Q23</f>
        <v>0</v>
      </c>
      <c r="J23" s="8">
        <f>TOTAL_MOIS!R23</f>
        <v>0</v>
      </c>
      <c r="K23" s="8">
        <f>IF(OR(TOTAL_MOIS!T23="STC",TOTAL_MOIS!U23="STC"),"STC",SUM(E23:G23,I23:J23))</f>
        <v>1.1875</v>
      </c>
      <c r="L23" s="8" t="str">
        <f>TOTAL_MOIS!U23</f>
        <v>OK</v>
      </c>
    </row>
    <row r="24" spans="1:12">
      <c r="A24" s="10" t="s">
        <v>78</v>
      </c>
      <c r="B24" s="12" t="s">
        <v>79</v>
      </c>
      <c r="C24" s="13" t="s">
        <v>80</v>
      </c>
      <c r="D24" s="10">
        <f>26</f>
        <v>26</v>
      </c>
      <c r="E24" s="10">
        <f>TOTAL_MOIS!M24/8</f>
        <v>5.75</v>
      </c>
      <c r="F24" s="8">
        <f>TOTAL_MOIS!N24/8</f>
        <v>0</v>
      </c>
      <c r="G24" s="8">
        <f>TOTAL_MOIS!O24/8</f>
        <v>0</v>
      </c>
      <c r="H24" s="8">
        <f>TOTAL_MOIS!P24</f>
        <v>0</v>
      </c>
      <c r="I24" s="8">
        <f>TOTAL_MOIS!Q24</f>
        <v>0</v>
      </c>
      <c r="J24" s="8">
        <f>TOTAL_MOIS!R24</f>
        <v>0</v>
      </c>
      <c r="K24" s="8">
        <f>IF(OR(TOTAL_MOIS!T24="STC",TOTAL_MOIS!U24="STC"),"STC",SUM(E24:G24,I24:J24))</f>
        <v>5.75</v>
      </c>
      <c r="L24" s="8" t="str">
        <f>TOTAL_MOIS!U24</f>
        <v>OK</v>
      </c>
    </row>
    <row r="25" spans="1:12">
      <c r="A25" s="10" t="s">
        <v>81</v>
      </c>
      <c r="B25" s="12" t="s">
        <v>82</v>
      </c>
      <c r="C25" s="13" t="s">
        <v>83</v>
      </c>
      <c r="D25" s="10">
        <f>26</f>
        <v>26</v>
      </c>
      <c r="E25" s="10">
        <f>TOTAL_MOIS!M25/8</f>
        <v>5.8124999999999991</v>
      </c>
      <c r="F25" s="8">
        <f>TOTAL_MOIS!N25/8</f>
        <v>0</v>
      </c>
      <c r="G25" s="8">
        <f>TOTAL_MOIS!O25/8</f>
        <v>0</v>
      </c>
      <c r="H25" s="8">
        <f>TOTAL_MOIS!P25</f>
        <v>0</v>
      </c>
      <c r="I25" s="8">
        <f>TOTAL_MOIS!Q25</f>
        <v>0</v>
      </c>
      <c r="J25" s="8">
        <f>TOTAL_MOIS!R25</f>
        <v>0</v>
      </c>
      <c r="K25" s="8">
        <f>IF(OR(TOTAL_MOIS!T25="STC",TOTAL_MOIS!U25="STC"),"STC",SUM(E25:G25,I25:J25))</f>
        <v>5.8124999999999991</v>
      </c>
      <c r="L25" s="8" t="str">
        <f>TOTAL_MOIS!U25</f>
        <v>OK</v>
      </c>
    </row>
    <row r="26" spans="1:12">
      <c r="A26" s="10" t="s">
        <v>84</v>
      </c>
      <c r="B26" s="12" t="s">
        <v>85</v>
      </c>
      <c r="C26" s="13" t="s">
        <v>86</v>
      </c>
      <c r="D26" s="10">
        <f>26</f>
        <v>26</v>
      </c>
      <c r="E26" s="10">
        <f>TOTAL_MOIS!M26/8</f>
        <v>4.75</v>
      </c>
      <c r="F26" s="8">
        <f>TOTAL_MOIS!N26/8</f>
        <v>0</v>
      </c>
      <c r="G26" s="8">
        <f>TOTAL_MOIS!O26/8</f>
        <v>0</v>
      </c>
      <c r="H26" s="8">
        <f>TOTAL_MOIS!P26</f>
        <v>0</v>
      </c>
      <c r="I26" s="8">
        <f>TOTAL_MOIS!Q26</f>
        <v>0</v>
      </c>
      <c r="J26" s="8">
        <f>TOTAL_MOIS!R26</f>
        <v>0</v>
      </c>
      <c r="K26" s="8">
        <f>IF(OR(TOTAL_MOIS!T26="STC",TOTAL_MOIS!U26="STC"),"STC",SUM(E26:G26,I26:J26))</f>
        <v>4.75</v>
      </c>
      <c r="L26" s="8" t="str">
        <f>TOTAL_MOIS!U26</f>
        <v>OK</v>
      </c>
    </row>
    <row r="27" spans="1:12">
      <c r="A27" s="10">
        <v>249</v>
      </c>
      <c r="B27" s="12" t="s">
        <v>88</v>
      </c>
      <c r="C27" s="13" t="s">
        <v>89</v>
      </c>
      <c r="D27" s="10">
        <f>26</f>
        <v>26</v>
      </c>
      <c r="E27" s="10">
        <f>TOTAL_MOIS!M27/8</f>
        <v>5</v>
      </c>
      <c r="F27" s="8">
        <f>TOTAL_MOIS!N27/8</f>
        <v>0</v>
      </c>
      <c r="G27" s="8">
        <f>TOTAL_MOIS!O27/8</f>
        <v>0</v>
      </c>
      <c r="H27" s="8">
        <f>TOTAL_MOIS!P27</f>
        <v>0</v>
      </c>
      <c r="I27" s="8">
        <f>TOTAL_MOIS!Q27</f>
        <v>0</v>
      </c>
      <c r="J27" s="8">
        <f>TOTAL_MOIS!R27</f>
        <v>0</v>
      </c>
      <c r="K27" s="8">
        <f>IF(OR(TOTAL_MOIS!T27="STC",TOTAL_MOIS!U27="STC"),"STC",SUM(E27:G27,I27:J27))</f>
        <v>5</v>
      </c>
      <c r="L27" s="8" t="str">
        <f>TOTAL_MOIS!U27</f>
        <v>OK</v>
      </c>
    </row>
    <row r="28" spans="1:12">
      <c r="A28" s="10">
        <v>135</v>
      </c>
      <c r="B28" s="12" t="s">
        <v>90</v>
      </c>
      <c r="C28" s="13" t="s">
        <v>91</v>
      </c>
      <c r="D28" s="10">
        <f>26</f>
        <v>26</v>
      </c>
      <c r="E28" s="10">
        <f>TOTAL_MOIS!M28/8</f>
        <v>4.75</v>
      </c>
      <c r="F28" s="8">
        <f>TOTAL_MOIS!N28/8</f>
        <v>0</v>
      </c>
      <c r="G28" s="8">
        <f>TOTAL_MOIS!O28/8</f>
        <v>0</v>
      </c>
      <c r="H28" s="8">
        <f>TOTAL_MOIS!P28</f>
        <v>1</v>
      </c>
      <c r="I28" s="8">
        <f>TOTAL_MOIS!Q28</f>
        <v>0</v>
      </c>
      <c r="J28" s="8">
        <f>TOTAL_MOIS!R28</f>
        <v>0</v>
      </c>
      <c r="K28" s="8">
        <f>IF(OR(TOTAL_MOIS!T28="STC",TOTAL_MOIS!U28="STC"),"STC",SUM(E28:G28,I28:J28))</f>
        <v>4.75</v>
      </c>
      <c r="L28" s="8" t="str">
        <f>TOTAL_MOIS!U28</f>
        <v>OK</v>
      </c>
    </row>
    <row r="29" spans="1:12">
      <c r="A29" s="10" t="s">
        <v>93</v>
      </c>
      <c r="B29" s="12" t="s">
        <v>94</v>
      </c>
      <c r="C29" s="13" t="s">
        <v>95</v>
      </c>
      <c r="D29" s="10">
        <f>26</f>
        <v>26</v>
      </c>
      <c r="E29" s="10">
        <f>TOTAL_MOIS!M29/8</f>
        <v>5.9375</v>
      </c>
      <c r="F29" s="8">
        <f>TOTAL_MOIS!N29/8</f>
        <v>0</v>
      </c>
      <c r="G29" s="8">
        <f>TOTAL_MOIS!O29/8</f>
        <v>0</v>
      </c>
      <c r="H29" s="8">
        <f>TOTAL_MOIS!P29</f>
        <v>0</v>
      </c>
      <c r="I29" s="8">
        <f>TOTAL_MOIS!Q29</f>
        <v>0</v>
      </c>
      <c r="J29" s="8">
        <f>TOTAL_MOIS!R29</f>
        <v>0</v>
      </c>
      <c r="K29" s="8">
        <f>IF(OR(TOTAL_MOIS!T29="STC",TOTAL_MOIS!U29="STC"),"STC",SUM(E29:G29,I29:J29))</f>
        <v>5.9375</v>
      </c>
      <c r="L29" s="8" t="str">
        <f>TOTAL_MOIS!U29</f>
        <v>OK</v>
      </c>
    </row>
    <row r="30" spans="1:12">
      <c r="A30" s="10">
        <v>248</v>
      </c>
      <c r="B30" s="12" t="s">
        <v>96</v>
      </c>
      <c r="C30" s="13" t="s">
        <v>97</v>
      </c>
      <c r="D30" s="10">
        <f>26</f>
        <v>26</v>
      </c>
      <c r="E30" s="10">
        <f>TOTAL_MOIS!M30/8</f>
        <v>4.625</v>
      </c>
      <c r="F30" s="8">
        <f>TOTAL_MOIS!N30/8</f>
        <v>0</v>
      </c>
      <c r="G30" s="8">
        <f>TOTAL_MOIS!O30/8</f>
        <v>0</v>
      </c>
      <c r="H30" s="8">
        <f>TOTAL_MOIS!P30</f>
        <v>1</v>
      </c>
      <c r="I30" s="8">
        <f>TOTAL_MOIS!Q30</f>
        <v>0</v>
      </c>
      <c r="J30" s="8">
        <f>TOTAL_MOIS!R30</f>
        <v>0</v>
      </c>
      <c r="K30" s="8">
        <f>IF(OR(TOTAL_MOIS!T30="STC",TOTAL_MOIS!U30="STC"),"STC",SUM(E30:G30,I30:J30))</f>
        <v>4.625</v>
      </c>
      <c r="L30" s="8" t="str">
        <f>TOTAL_MOIS!U30</f>
        <v>OK</v>
      </c>
    </row>
    <row r="31" spans="1:12">
      <c r="A31" s="10">
        <v>71</v>
      </c>
      <c r="B31" s="12" t="s">
        <v>98</v>
      </c>
      <c r="C31" s="13" t="s">
        <v>99</v>
      </c>
      <c r="D31" s="10">
        <f>26</f>
        <v>26</v>
      </c>
      <c r="E31" s="10">
        <f>TOTAL_MOIS!M31/8</f>
        <v>5</v>
      </c>
      <c r="F31" s="8">
        <f>TOTAL_MOIS!N31/8</f>
        <v>0</v>
      </c>
      <c r="G31" s="8">
        <f>TOTAL_MOIS!O31/8</f>
        <v>0</v>
      </c>
      <c r="H31" s="8">
        <f>TOTAL_MOIS!P31</f>
        <v>0</v>
      </c>
      <c r="I31" s="8">
        <f>TOTAL_MOIS!Q31</f>
        <v>0</v>
      </c>
      <c r="J31" s="8">
        <f>TOTAL_MOIS!R31</f>
        <v>0</v>
      </c>
      <c r="K31" s="8">
        <f>IF(OR(TOTAL_MOIS!T31="STC",TOTAL_MOIS!U31="STC"),"STC",SUM(E31:G31,I31:J31))</f>
        <v>5</v>
      </c>
      <c r="L31" s="8" t="str">
        <f>TOTAL_MOIS!U31</f>
        <v>OK</v>
      </c>
    </row>
    <row r="32" spans="1:12">
      <c r="A32" s="10">
        <v>227</v>
      </c>
      <c r="B32" s="12" t="s">
        <v>100</v>
      </c>
      <c r="C32" s="13" t="s">
        <v>101</v>
      </c>
      <c r="D32" s="10">
        <f>26</f>
        <v>26</v>
      </c>
      <c r="E32" s="10">
        <f>TOTAL_MOIS!M32/8</f>
        <v>3.8125</v>
      </c>
      <c r="F32" s="8">
        <f>TOTAL_MOIS!N32/8</f>
        <v>0</v>
      </c>
      <c r="G32" s="8">
        <f>TOTAL_MOIS!O32/8</f>
        <v>0</v>
      </c>
      <c r="H32" s="8">
        <f>TOTAL_MOIS!P32</f>
        <v>1</v>
      </c>
      <c r="I32" s="8">
        <f>TOTAL_MOIS!Q32</f>
        <v>0</v>
      </c>
      <c r="J32" s="8">
        <f>TOTAL_MOIS!R32</f>
        <v>0</v>
      </c>
      <c r="K32" s="8">
        <f>IF(OR(TOTAL_MOIS!T32="STC",TOTAL_MOIS!U32="STC"),"STC",SUM(E32:G32,I32:J32))</f>
        <v>3.8125</v>
      </c>
      <c r="L32" s="8" t="str">
        <f>TOTAL_MOIS!U32</f>
        <v>OK</v>
      </c>
    </row>
    <row r="33" spans="1:12">
      <c r="A33" s="10">
        <v>251</v>
      </c>
      <c r="B33" s="12" t="s">
        <v>102</v>
      </c>
      <c r="C33" s="13" t="s">
        <v>103</v>
      </c>
      <c r="D33" s="10">
        <f>26</f>
        <v>26</v>
      </c>
      <c r="E33" s="10">
        <f>TOTAL_MOIS!M33/8</f>
        <v>5</v>
      </c>
      <c r="F33" s="8">
        <f>TOTAL_MOIS!N33/8</f>
        <v>0</v>
      </c>
      <c r="G33" s="8">
        <f>TOTAL_MOIS!O33/8</f>
        <v>0</v>
      </c>
      <c r="H33" s="8">
        <f>TOTAL_MOIS!P33</f>
        <v>0</v>
      </c>
      <c r="I33" s="8">
        <f>TOTAL_MOIS!Q33</f>
        <v>0</v>
      </c>
      <c r="J33" s="8">
        <f>TOTAL_MOIS!R33</f>
        <v>0</v>
      </c>
      <c r="K33" s="8">
        <f>IF(OR(TOTAL_MOIS!T33="STC",TOTAL_MOIS!U33="STC"),"STC",SUM(E33:G33,I33:J33))</f>
        <v>5</v>
      </c>
      <c r="L33" s="8" t="str">
        <f>TOTAL_MOIS!U33</f>
        <v>OK</v>
      </c>
    </row>
    <row r="34" spans="1:12">
      <c r="A34" s="10">
        <v>70</v>
      </c>
      <c r="B34" s="12" t="s">
        <v>104</v>
      </c>
      <c r="C34" s="13" t="s">
        <v>105</v>
      </c>
      <c r="D34" s="10">
        <f>26</f>
        <v>26</v>
      </c>
      <c r="E34" s="10">
        <f>TOTAL_MOIS!M34/8</f>
        <v>6</v>
      </c>
      <c r="F34" s="8">
        <f>TOTAL_MOIS!N34/8</f>
        <v>0</v>
      </c>
      <c r="G34" s="8">
        <f>TOTAL_MOIS!O34/8</f>
        <v>0</v>
      </c>
      <c r="H34" s="8">
        <f>TOTAL_MOIS!P34</f>
        <v>0</v>
      </c>
      <c r="I34" s="8">
        <f>TOTAL_MOIS!Q34</f>
        <v>0</v>
      </c>
      <c r="J34" s="8">
        <f>TOTAL_MOIS!R34</f>
        <v>0</v>
      </c>
      <c r="K34" s="8">
        <f>IF(OR(TOTAL_MOIS!T34="STC",TOTAL_MOIS!U34="STC"),"STC",SUM(E34:G34,I34:J34))</f>
        <v>6</v>
      </c>
      <c r="L34" s="8" t="str">
        <f>TOTAL_MOIS!U34</f>
        <v>OK</v>
      </c>
    </row>
    <row r="35" spans="1:12">
      <c r="A35" s="10">
        <v>50</v>
      </c>
      <c r="B35" s="12" t="s">
        <v>106</v>
      </c>
      <c r="C35" s="13" t="s">
        <v>107</v>
      </c>
      <c r="D35" s="10">
        <f>26</f>
        <v>26</v>
      </c>
      <c r="E35" s="10">
        <f>TOTAL_MOIS!M35/8</f>
        <v>5.1875</v>
      </c>
      <c r="F35" s="8">
        <f>TOTAL_MOIS!N35/8</f>
        <v>0</v>
      </c>
      <c r="G35" s="8">
        <f>TOTAL_MOIS!O35/8</f>
        <v>0</v>
      </c>
      <c r="H35" s="8">
        <f>TOTAL_MOIS!P35</f>
        <v>0</v>
      </c>
      <c r="I35" s="8">
        <f>TOTAL_MOIS!Q35</f>
        <v>0</v>
      </c>
      <c r="J35" s="8">
        <f>TOTAL_MOIS!R35</f>
        <v>0</v>
      </c>
      <c r="K35" s="8">
        <f>IF(OR(TOTAL_MOIS!T35="STC",TOTAL_MOIS!U35="STC"),"STC",SUM(E35:G35,I35:J35))</f>
        <v>5.1875</v>
      </c>
      <c r="L35" s="8" t="str">
        <f>TOTAL_MOIS!U35</f>
        <v>OK</v>
      </c>
    </row>
    <row r="36" spans="1:12">
      <c r="A36" s="10">
        <v>250</v>
      </c>
      <c r="B36" s="12" t="s">
        <v>108</v>
      </c>
      <c r="C36" s="13" t="s">
        <v>66</v>
      </c>
      <c r="D36" s="10">
        <f>26</f>
        <v>26</v>
      </c>
      <c r="E36" s="10">
        <f>TOTAL_MOIS!M36/8</f>
        <v>6</v>
      </c>
      <c r="F36" s="8">
        <f>TOTAL_MOIS!N36/8</f>
        <v>0.1875</v>
      </c>
      <c r="G36" s="8">
        <f>TOTAL_MOIS!O36/8</f>
        <v>0</v>
      </c>
      <c r="H36" s="8">
        <f>TOTAL_MOIS!P36</f>
        <v>0</v>
      </c>
      <c r="I36" s="8">
        <f>TOTAL_MOIS!Q36</f>
        <v>0</v>
      </c>
      <c r="J36" s="8">
        <f>TOTAL_MOIS!R36</f>
        <v>0</v>
      </c>
      <c r="K36" s="8">
        <f>IF(OR(TOTAL_MOIS!T36="STC",TOTAL_MOIS!U36="STC"),"STC",SUM(E36:G36,I36:J36))</f>
        <v>6.1875</v>
      </c>
      <c r="L36" s="8" t="str">
        <f>TOTAL_MOIS!U36</f>
        <v>OK</v>
      </c>
    </row>
    <row r="37" spans="1:12">
      <c r="A37" s="10" t="s">
        <v>109</v>
      </c>
      <c r="B37" s="12" t="s">
        <v>110</v>
      </c>
      <c r="C37" s="13" t="s">
        <v>111</v>
      </c>
      <c r="D37" s="10">
        <f>26</f>
        <v>26</v>
      </c>
      <c r="E37" s="10">
        <f>TOTAL_MOIS!M37/8</f>
        <v>5</v>
      </c>
      <c r="F37" s="8">
        <f>TOTAL_MOIS!N37/8</f>
        <v>0</v>
      </c>
      <c r="G37" s="8">
        <f>TOTAL_MOIS!O37/8</f>
        <v>0</v>
      </c>
      <c r="H37" s="8">
        <f>TOTAL_MOIS!P37</f>
        <v>0</v>
      </c>
      <c r="I37" s="8">
        <f>TOTAL_MOIS!Q37</f>
        <v>0</v>
      </c>
      <c r="J37" s="8">
        <f>TOTAL_MOIS!R37</f>
        <v>0</v>
      </c>
      <c r="K37" s="8">
        <f>IF(OR(TOTAL_MOIS!T37="STC",TOTAL_MOIS!U37="STC"),"STC",SUM(E37:G37,I37:J37))</f>
        <v>5</v>
      </c>
      <c r="L37" s="8" t="str">
        <f>TOTAL_MOIS!U37</f>
        <v>OK</v>
      </c>
    </row>
    <row r="38" spans="1:12">
      <c r="A38" s="10">
        <v>223</v>
      </c>
      <c r="B38" s="12" t="s">
        <v>112</v>
      </c>
      <c r="C38" s="13" t="s">
        <v>113</v>
      </c>
      <c r="D38" s="10">
        <f>26</f>
        <v>26</v>
      </c>
      <c r="E38" s="10">
        <f>TOTAL_MOIS!M38/8</f>
        <v>4.25</v>
      </c>
      <c r="F38" s="8">
        <f>TOTAL_MOIS!N38/8</f>
        <v>0</v>
      </c>
      <c r="G38" s="8">
        <f>TOTAL_MOIS!O38/8</f>
        <v>0</v>
      </c>
      <c r="H38" s="8">
        <f>TOTAL_MOIS!P38</f>
        <v>1</v>
      </c>
      <c r="I38" s="8">
        <f>TOTAL_MOIS!Q38</f>
        <v>0</v>
      </c>
      <c r="J38" s="8">
        <f>TOTAL_MOIS!R38</f>
        <v>0</v>
      </c>
      <c r="K38" s="8">
        <f>IF(OR(TOTAL_MOIS!T38="STC",TOTAL_MOIS!U38="STC"),"STC",SUM(E38:G38,I38:J38))</f>
        <v>4.25</v>
      </c>
      <c r="L38" s="8" t="str">
        <f>TOTAL_MOIS!U38</f>
        <v>OK</v>
      </c>
    </row>
    <row r="39" spans="1:12">
      <c r="A39" s="10" t="s">
        <v>114</v>
      </c>
      <c r="B39" s="12" t="s">
        <v>115</v>
      </c>
      <c r="C39" s="13" t="s">
        <v>116</v>
      </c>
      <c r="D39" s="10">
        <f>26</f>
        <v>26</v>
      </c>
      <c r="E39" s="10">
        <f>TOTAL_MOIS!M39/8</f>
        <v>10.6875</v>
      </c>
      <c r="F39" s="8">
        <f>TOTAL_MOIS!N39/8</f>
        <v>0</v>
      </c>
      <c r="G39" s="8">
        <f>TOTAL_MOIS!O39/8</f>
        <v>0</v>
      </c>
      <c r="H39" s="8">
        <f>TOTAL_MOIS!P39</f>
        <v>0</v>
      </c>
      <c r="I39" s="8">
        <f>TOTAL_MOIS!Q39</f>
        <v>1</v>
      </c>
      <c r="J39" s="8">
        <f>TOTAL_MOIS!R39</f>
        <v>0</v>
      </c>
      <c r="K39" s="8">
        <f>IF(OR(TOTAL_MOIS!T39="STC",TOTAL_MOIS!U39="STC"),"STC",SUM(E39:G39,I39:J39))</f>
        <v>11.6875</v>
      </c>
      <c r="L39" s="8" t="str">
        <f>TOTAL_MOIS!U39</f>
        <v>OK</v>
      </c>
    </row>
    <row r="40" spans="1:12">
      <c r="A40" s="10" t="s">
        <v>117</v>
      </c>
      <c r="B40" s="12" t="s">
        <v>118</v>
      </c>
      <c r="C40" s="13" t="s">
        <v>119</v>
      </c>
      <c r="D40" s="10">
        <f>26</f>
        <v>26</v>
      </c>
      <c r="E40" s="10">
        <f>TOTAL_MOIS!M40/8</f>
        <v>1.25</v>
      </c>
      <c r="F40" s="8">
        <f>TOTAL_MOIS!N40/8</f>
        <v>0</v>
      </c>
      <c r="G40" s="8">
        <f>TOTAL_MOIS!O40/8</f>
        <v>0</v>
      </c>
      <c r="H40" s="8">
        <f>TOTAL_MOIS!P40</f>
        <v>0</v>
      </c>
      <c r="I40" s="8">
        <f>TOTAL_MOIS!Q40</f>
        <v>4</v>
      </c>
      <c r="J40" s="8">
        <f>TOTAL_MOIS!R40</f>
        <v>0</v>
      </c>
      <c r="K40" s="8">
        <f>IF(OR(TOTAL_MOIS!T40="STC",TOTAL_MOIS!U40="STC"),"STC",SUM(E40:G40,I40:J40))</f>
        <v>5.25</v>
      </c>
      <c r="L40" s="8" t="str">
        <f>TOTAL_MOIS!U40</f>
        <v>OK</v>
      </c>
    </row>
  </sheetData>
  <mergeCells count="1">
    <mergeCell ref="A1:L1"/>
  </mergeCells>
  <conditionalFormatting sqref="F3:K40">
    <cfRule type="cellIs" dxfId="25" priority="2" operator="greaterThan">
      <formula>0</formula>
    </cfRule>
  </conditionalFormatting>
  <conditionalFormatting sqref="L3:L40">
    <cfRule type="cellIs" dxfId="24" priority="1" operator="greaterThanOrEqual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5"/>
  <sheetViews>
    <sheetView workbookViewId="0"/>
  </sheetViews>
  <sheetFormatPr baseColWidth="10" defaultColWidth="9" defaultRowHeight="14.25"/>
  <cols>
    <col min="1" max="1" width="6.625" style="16" customWidth="1"/>
    <col min="2" max="3" width="17.125" customWidth="1"/>
    <col min="4" max="11" width="8" customWidth="1"/>
    <col min="12" max="12" width="11.25" customWidth="1"/>
  </cols>
  <sheetData>
    <row r="1" spans="1:12" ht="18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38.1" customHeight="1">
      <c r="A2" s="4" t="s">
        <v>349</v>
      </c>
      <c r="B2" s="4" t="s">
        <v>2</v>
      </c>
      <c r="C2" s="4" t="s">
        <v>3</v>
      </c>
      <c r="D2" s="4" t="s">
        <v>357</v>
      </c>
      <c r="E2" s="4" t="s">
        <v>358</v>
      </c>
      <c r="F2" s="4" t="s">
        <v>10</v>
      </c>
      <c r="G2" s="4" t="s">
        <v>11</v>
      </c>
      <c r="H2" s="4" t="s">
        <v>354</v>
      </c>
      <c r="I2" s="20" t="s">
        <v>359</v>
      </c>
      <c r="J2" s="4" t="s">
        <v>360</v>
      </c>
      <c r="K2" s="4" t="s">
        <v>15</v>
      </c>
      <c r="L2" s="4" t="s">
        <v>16</v>
      </c>
    </row>
    <row r="3" spans="1:12">
      <c r="A3" s="10" t="s">
        <v>120</v>
      </c>
      <c r="B3" s="14" t="s">
        <v>121</v>
      </c>
      <c r="C3" s="15" t="s">
        <v>122</v>
      </c>
      <c r="D3" s="10">
        <f>208</f>
        <v>208</v>
      </c>
      <c r="E3" s="10">
        <f>TOTAL_MOIS!M41</f>
        <v>48</v>
      </c>
      <c r="F3" s="8">
        <f>TOTAL_MOIS!N41</f>
        <v>3</v>
      </c>
      <c r="G3" s="8">
        <f>TOTAL_MOIS!O41</f>
        <v>0</v>
      </c>
      <c r="H3" s="8">
        <f>TOTAL_MOIS!P41</f>
        <v>0</v>
      </c>
      <c r="I3" s="8">
        <f>TOTAL_MOIS!Q41*8</f>
        <v>0</v>
      </c>
      <c r="J3" s="8">
        <f>TOTAL_MOIS!R41*8</f>
        <v>0</v>
      </c>
      <c r="K3" s="8">
        <f>IF(OR(TOTAL_MOIS!T41="STC",TOTAL_MOIS!U41="STC"),"STC",SUM(E3:G3,I3:J3))</f>
        <v>51</v>
      </c>
      <c r="L3" s="8" t="str">
        <f>TOTAL_MOIS!U41</f>
        <v>OK</v>
      </c>
    </row>
    <row r="4" spans="1:12">
      <c r="A4" s="10" t="s">
        <v>124</v>
      </c>
      <c r="B4" s="14" t="s">
        <v>68</v>
      </c>
      <c r="C4" s="15" t="s">
        <v>125</v>
      </c>
      <c r="D4" s="10">
        <f>208</f>
        <v>208</v>
      </c>
      <c r="E4" s="10">
        <f>TOTAL_MOIS!M42</f>
        <v>46.999999999999993</v>
      </c>
      <c r="F4" s="8">
        <f>TOTAL_MOIS!N42</f>
        <v>0</v>
      </c>
      <c r="G4" s="8">
        <f>TOTAL_MOIS!O42</f>
        <v>0</v>
      </c>
      <c r="H4" s="8">
        <f>TOTAL_MOIS!P42</f>
        <v>0</v>
      </c>
      <c r="I4" s="8">
        <f>TOTAL_MOIS!Q42*8</f>
        <v>0</v>
      </c>
      <c r="J4" s="8">
        <f>TOTAL_MOIS!R42*8</f>
        <v>0</v>
      </c>
      <c r="K4" s="8">
        <f>IF(OR(TOTAL_MOIS!T42="STC",TOTAL_MOIS!U42="STC"),"STC",SUM(E4:G4,I4:J4))</f>
        <v>46.999999999999993</v>
      </c>
      <c r="L4" s="8" t="str">
        <f>TOTAL_MOIS!U42</f>
        <v>OK</v>
      </c>
    </row>
    <row r="5" spans="1:12">
      <c r="A5" s="10" t="s">
        <v>126</v>
      </c>
      <c r="B5" s="14" t="s">
        <v>127</v>
      </c>
      <c r="C5" s="15" t="s">
        <v>128</v>
      </c>
      <c r="D5" s="10">
        <f>208</f>
        <v>208</v>
      </c>
      <c r="E5" s="10">
        <f>TOTAL_MOIS!M43</f>
        <v>47.5</v>
      </c>
      <c r="F5" s="8">
        <f>TOTAL_MOIS!N43</f>
        <v>0</v>
      </c>
      <c r="G5" s="8">
        <f>TOTAL_MOIS!O43</f>
        <v>0</v>
      </c>
      <c r="H5" s="8">
        <f>TOTAL_MOIS!P43</f>
        <v>0</v>
      </c>
      <c r="I5" s="8">
        <f>TOTAL_MOIS!Q43*8</f>
        <v>0</v>
      </c>
      <c r="J5" s="8">
        <f>TOTAL_MOIS!R43*8</f>
        <v>0</v>
      </c>
      <c r="K5" s="8">
        <f>IF(OR(TOTAL_MOIS!T43="STC",TOTAL_MOIS!U43="STC"),"STC",SUM(E5:G5,I5:J5))</f>
        <v>47.5</v>
      </c>
      <c r="L5" s="8" t="str">
        <f>TOTAL_MOIS!U43</f>
        <v>OK</v>
      </c>
    </row>
    <row r="6" spans="1:12">
      <c r="A6" s="10">
        <v>53</v>
      </c>
      <c r="B6" s="14" t="s">
        <v>129</v>
      </c>
      <c r="C6" s="15" t="s">
        <v>130</v>
      </c>
      <c r="D6" s="10">
        <f>208</f>
        <v>208</v>
      </c>
      <c r="E6" s="10">
        <f>TOTAL_MOIS!M44</f>
        <v>35.5</v>
      </c>
      <c r="F6" s="8">
        <f>TOTAL_MOIS!N44</f>
        <v>0</v>
      </c>
      <c r="G6" s="8">
        <f>TOTAL_MOIS!O44</f>
        <v>0</v>
      </c>
      <c r="H6" s="8">
        <f>TOTAL_MOIS!P44</f>
        <v>1</v>
      </c>
      <c r="I6" s="8">
        <f>TOTAL_MOIS!Q44*8</f>
        <v>0</v>
      </c>
      <c r="J6" s="8">
        <f>TOTAL_MOIS!R44*8</f>
        <v>0</v>
      </c>
      <c r="K6" s="8">
        <f>IF(OR(TOTAL_MOIS!T44="STC",TOTAL_MOIS!U44="STC"),"STC",SUM(E6:G6,I6:J6))</f>
        <v>35.5</v>
      </c>
      <c r="L6" s="8" t="str">
        <f>TOTAL_MOIS!U44</f>
        <v>OK</v>
      </c>
    </row>
    <row r="7" spans="1:12">
      <c r="A7" s="10" t="s">
        <v>131</v>
      </c>
      <c r="B7" s="14" t="s">
        <v>132</v>
      </c>
      <c r="C7" s="15" t="s">
        <v>133</v>
      </c>
      <c r="D7" s="10">
        <f>208</f>
        <v>208</v>
      </c>
      <c r="E7" s="10">
        <f>TOTAL_MOIS!M45</f>
        <v>35.999999999999993</v>
      </c>
      <c r="F7" s="8">
        <f>TOTAL_MOIS!N45</f>
        <v>0</v>
      </c>
      <c r="G7" s="8">
        <f>TOTAL_MOIS!O45</f>
        <v>0</v>
      </c>
      <c r="H7" s="8">
        <f>TOTAL_MOIS!P45</f>
        <v>1</v>
      </c>
      <c r="I7" s="8">
        <f>TOTAL_MOIS!Q45*8</f>
        <v>0</v>
      </c>
      <c r="J7" s="8">
        <f>TOTAL_MOIS!R45*8</f>
        <v>0</v>
      </c>
      <c r="K7" s="8">
        <f>IF(OR(TOTAL_MOIS!T45="STC",TOTAL_MOIS!U45="STC"),"STC",SUM(E7:G7,I7:J7))</f>
        <v>35.999999999999993</v>
      </c>
      <c r="L7" s="8" t="str">
        <f>TOTAL_MOIS!U45</f>
        <v>OK</v>
      </c>
    </row>
    <row r="8" spans="1:12">
      <c r="A8" s="10" t="s">
        <v>134</v>
      </c>
      <c r="B8" s="14" t="s">
        <v>135</v>
      </c>
      <c r="C8" s="15" t="s">
        <v>136</v>
      </c>
      <c r="D8" s="10">
        <f>208</f>
        <v>208</v>
      </c>
      <c r="E8" s="10">
        <f>TOTAL_MOIS!M46</f>
        <v>38</v>
      </c>
      <c r="F8" s="8">
        <f>TOTAL_MOIS!N46</f>
        <v>0</v>
      </c>
      <c r="G8" s="8">
        <f>TOTAL_MOIS!O46</f>
        <v>0</v>
      </c>
      <c r="H8" s="8">
        <f>TOTAL_MOIS!P46</f>
        <v>0</v>
      </c>
      <c r="I8" s="8">
        <f>TOTAL_MOIS!Q46*8</f>
        <v>0</v>
      </c>
      <c r="J8" s="8">
        <f>TOTAL_MOIS!R46*8</f>
        <v>0</v>
      </c>
      <c r="K8" s="8">
        <f>IF(OR(TOTAL_MOIS!T46="STC",TOTAL_MOIS!U46="STC"),"STC",SUM(E8:G8,I8:J8))</f>
        <v>38</v>
      </c>
      <c r="L8" s="8" t="str">
        <f>TOTAL_MOIS!U46</f>
        <v>OK</v>
      </c>
    </row>
    <row r="9" spans="1:12">
      <c r="A9" s="10" t="s">
        <v>137</v>
      </c>
      <c r="B9" s="14" t="s">
        <v>138</v>
      </c>
      <c r="C9" s="15" t="s">
        <v>139</v>
      </c>
      <c r="D9" s="10">
        <f>208</f>
        <v>208</v>
      </c>
      <c r="E9" s="10">
        <f>TOTAL_MOIS!M47</f>
        <v>33.5</v>
      </c>
      <c r="F9" s="8">
        <f>TOTAL_MOIS!N47</f>
        <v>0</v>
      </c>
      <c r="G9" s="8">
        <f>TOTAL_MOIS!O47</f>
        <v>0</v>
      </c>
      <c r="H9" s="8">
        <f>TOTAL_MOIS!P47</f>
        <v>1</v>
      </c>
      <c r="I9" s="8">
        <f>TOTAL_MOIS!Q47*8</f>
        <v>0</v>
      </c>
      <c r="J9" s="8">
        <f>TOTAL_MOIS!R47*8</f>
        <v>0</v>
      </c>
      <c r="K9" s="8">
        <f>IF(OR(TOTAL_MOIS!T47="STC",TOTAL_MOIS!U47="STC"),"STC",SUM(E9:G9,I9:J9))</f>
        <v>33.5</v>
      </c>
      <c r="L9" s="8" t="str">
        <f>TOTAL_MOIS!U47</f>
        <v>OK</v>
      </c>
    </row>
    <row r="10" spans="1:12">
      <c r="A10" s="10" t="s">
        <v>140</v>
      </c>
      <c r="B10" s="14" t="s">
        <v>141</v>
      </c>
      <c r="C10" s="15" t="s">
        <v>142</v>
      </c>
      <c r="D10" s="10">
        <f>208</f>
        <v>208</v>
      </c>
      <c r="E10" s="10">
        <f>TOTAL_MOIS!M48</f>
        <v>24</v>
      </c>
      <c r="F10" s="8">
        <f>TOTAL_MOIS!N48</f>
        <v>0</v>
      </c>
      <c r="G10" s="8">
        <f>TOTAL_MOIS!O48</f>
        <v>0</v>
      </c>
      <c r="H10" s="8">
        <f>TOTAL_MOIS!P48</f>
        <v>2</v>
      </c>
      <c r="I10" s="8">
        <f>TOTAL_MOIS!Q48*8</f>
        <v>0</v>
      </c>
      <c r="J10" s="8">
        <f>TOTAL_MOIS!R48*8</f>
        <v>0</v>
      </c>
      <c r="K10" s="8">
        <f>IF(OR(TOTAL_MOIS!T48="STC",TOTAL_MOIS!U48="STC"),"STC",SUM(E10:G10,I10:J10))</f>
        <v>24</v>
      </c>
      <c r="L10" s="8" t="str">
        <f>TOTAL_MOIS!U48</f>
        <v>OK</v>
      </c>
    </row>
    <row r="11" spans="1:12">
      <c r="A11" s="10" t="s">
        <v>143</v>
      </c>
      <c r="B11" s="14" t="s">
        <v>144</v>
      </c>
      <c r="C11" s="15" t="s">
        <v>145</v>
      </c>
      <c r="D11" s="10">
        <f>208</f>
        <v>208</v>
      </c>
      <c r="E11" s="10">
        <f>TOTAL_MOIS!M49</f>
        <v>47.5</v>
      </c>
      <c r="F11" s="8">
        <f>TOTAL_MOIS!N49</f>
        <v>0</v>
      </c>
      <c r="G11" s="8">
        <f>TOTAL_MOIS!O49</f>
        <v>0</v>
      </c>
      <c r="H11" s="8">
        <f>TOTAL_MOIS!P49</f>
        <v>0</v>
      </c>
      <c r="I11" s="8">
        <f>TOTAL_MOIS!Q49*8</f>
        <v>0</v>
      </c>
      <c r="J11" s="8">
        <f>TOTAL_MOIS!R49*8</f>
        <v>0</v>
      </c>
      <c r="K11" s="8">
        <f>IF(OR(TOTAL_MOIS!T49="STC",TOTAL_MOIS!U49="STC"),"STC",SUM(E11:G11,I11:J11))</f>
        <v>47.5</v>
      </c>
      <c r="L11" s="8" t="str">
        <f>TOTAL_MOIS!U49</f>
        <v>OK</v>
      </c>
    </row>
    <row r="12" spans="1:12">
      <c r="A12" s="10" t="s">
        <v>146</v>
      </c>
      <c r="B12" s="14" t="s">
        <v>147</v>
      </c>
      <c r="C12" s="15" t="s">
        <v>148</v>
      </c>
      <c r="D12" s="10">
        <f>208</f>
        <v>208</v>
      </c>
      <c r="E12" s="10">
        <f>TOTAL_MOIS!M50</f>
        <v>46.999999999999993</v>
      </c>
      <c r="F12" s="8">
        <f>TOTAL_MOIS!N50</f>
        <v>0</v>
      </c>
      <c r="G12" s="8">
        <f>TOTAL_MOIS!O50</f>
        <v>0</v>
      </c>
      <c r="H12" s="8">
        <f>TOTAL_MOIS!P50</f>
        <v>0</v>
      </c>
      <c r="I12" s="8">
        <f>TOTAL_MOIS!Q50*8</f>
        <v>0</v>
      </c>
      <c r="J12" s="8">
        <f>TOTAL_MOIS!R50*8</f>
        <v>0</v>
      </c>
      <c r="K12" s="8">
        <f>IF(OR(TOTAL_MOIS!T50="STC",TOTAL_MOIS!U50="STC"),"STC",SUM(E12:G12,I12:J12))</f>
        <v>46.999999999999993</v>
      </c>
      <c r="L12" s="8" t="str">
        <f>TOTAL_MOIS!U50</f>
        <v>OK</v>
      </c>
    </row>
    <row r="13" spans="1:12">
      <c r="A13" s="10" t="s">
        <v>149</v>
      </c>
      <c r="B13" s="14" t="s">
        <v>150</v>
      </c>
      <c r="C13" s="15" t="s">
        <v>151</v>
      </c>
      <c r="D13" s="10">
        <f>208</f>
        <v>208</v>
      </c>
      <c r="E13" s="10">
        <f>TOTAL_MOIS!M51</f>
        <v>47.5</v>
      </c>
      <c r="F13" s="8">
        <f>TOTAL_MOIS!N51</f>
        <v>0</v>
      </c>
      <c r="G13" s="8">
        <f>TOTAL_MOIS!O51</f>
        <v>0</v>
      </c>
      <c r="H13" s="8">
        <f>TOTAL_MOIS!P51</f>
        <v>0</v>
      </c>
      <c r="I13" s="8">
        <f>TOTAL_MOIS!Q51*8</f>
        <v>0</v>
      </c>
      <c r="J13" s="8">
        <f>TOTAL_MOIS!R51*8</f>
        <v>0</v>
      </c>
      <c r="K13" s="8">
        <f>IF(OR(TOTAL_MOIS!T51="STC",TOTAL_MOIS!U51="STC"),"STC",SUM(E13:G13,I13:J13))</f>
        <v>47.5</v>
      </c>
      <c r="L13" s="8" t="str">
        <f>TOTAL_MOIS!U51</f>
        <v>OK</v>
      </c>
    </row>
    <row r="14" spans="1:12">
      <c r="A14" s="10" t="s">
        <v>114</v>
      </c>
      <c r="B14" s="14" t="s">
        <v>150</v>
      </c>
      <c r="C14" s="15" t="s">
        <v>152</v>
      </c>
      <c r="D14" s="10">
        <f>208</f>
        <v>208</v>
      </c>
      <c r="E14" s="10">
        <f>TOTAL_MOIS!M52</f>
        <v>85.5</v>
      </c>
      <c r="F14" s="8">
        <f>TOTAL_MOIS!N52</f>
        <v>0</v>
      </c>
      <c r="G14" s="8">
        <f>TOTAL_MOIS!O52</f>
        <v>0</v>
      </c>
      <c r="H14" s="8">
        <f>TOTAL_MOIS!P52</f>
        <v>0</v>
      </c>
      <c r="I14" s="8">
        <f>TOTAL_MOIS!Q52*8</f>
        <v>8</v>
      </c>
      <c r="J14" s="8">
        <f>TOTAL_MOIS!R52*8</f>
        <v>0</v>
      </c>
      <c r="K14" s="8">
        <f>IF(OR(TOTAL_MOIS!T52="STC",TOTAL_MOIS!U52="STC"),"STC",SUM(E14:G14,I14:J14))</f>
        <v>93.5</v>
      </c>
      <c r="L14" s="8" t="str">
        <f>TOTAL_MOIS!U52</f>
        <v>OK</v>
      </c>
    </row>
    <row r="15" spans="1:12">
      <c r="A15" s="10">
        <v>177</v>
      </c>
      <c r="B15" s="14" t="s">
        <v>153</v>
      </c>
      <c r="C15" s="15" t="s">
        <v>154</v>
      </c>
      <c r="D15" s="10">
        <f>208</f>
        <v>208</v>
      </c>
      <c r="E15" s="10">
        <f>TOTAL_MOIS!M53</f>
        <v>26.499999999999996</v>
      </c>
      <c r="F15" s="8">
        <f>TOTAL_MOIS!N53</f>
        <v>0</v>
      </c>
      <c r="G15" s="8">
        <f>TOTAL_MOIS!O53</f>
        <v>0</v>
      </c>
      <c r="H15" s="8">
        <f>TOTAL_MOIS!P53</f>
        <v>2</v>
      </c>
      <c r="I15" s="8">
        <f>TOTAL_MOIS!Q53*8</f>
        <v>0</v>
      </c>
      <c r="J15" s="8">
        <f>TOTAL_MOIS!R53*8</f>
        <v>0</v>
      </c>
      <c r="K15" s="8">
        <f>IF(OR(TOTAL_MOIS!T53="STC",TOTAL_MOIS!U53="STC"),"STC",SUM(E15:G15,I15:J15))</f>
        <v>26.499999999999996</v>
      </c>
      <c r="L15" s="8" t="str">
        <f>TOTAL_MOIS!U53</f>
        <v>OK</v>
      </c>
    </row>
    <row r="16" spans="1:12">
      <c r="A16" s="10" t="s">
        <v>155</v>
      </c>
      <c r="B16" s="14" t="s">
        <v>156</v>
      </c>
      <c r="C16" s="15" t="s">
        <v>154</v>
      </c>
      <c r="D16" s="10">
        <f>208</f>
        <v>208</v>
      </c>
      <c r="E16" s="10">
        <f>TOTAL_MOIS!M54</f>
        <v>47.5</v>
      </c>
      <c r="F16" s="8">
        <f>TOTAL_MOIS!N54</f>
        <v>0</v>
      </c>
      <c r="G16" s="8">
        <f>TOTAL_MOIS!O54</f>
        <v>0</v>
      </c>
      <c r="H16" s="8">
        <f>TOTAL_MOIS!P54</f>
        <v>0</v>
      </c>
      <c r="I16" s="8">
        <f>TOTAL_MOIS!Q54*8</f>
        <v>0</v>
      </c>
      <c r="J16" s="8">
        <f>TOTAL_MOIS!R54*8</f>
        <v>0</v>
      </c>
      <c r="K16" s="8">
        <f>IF(OR(TOTAL_MOIS!T54="STC",TOTAL_MOIS!U54="STC"),"STC",SUM(E16:G16,I16:J16))</f>
        <v>47.5</v>
      </c>
      <c r="L16" s="8" t="str">
        <f>TOTAL_MOIS!U54</f>
        <v>OK</v>
      </c>
    </row>
    <row r="17" spans="1:12">
      <c r="A17" s="10" t="s">
        <v>157</v>
      </c>
      <c r="B17" s="14" t="s">
        <v>158</v>
      </c>
      <c r="C17" s="15" t="s">
        <v>159</v>
      </c>
      <c r="D17" s="10">
        <f>208</f>
        <v>208</v>
      </c>
      <c r="E17" s="10">
        <f>TOTAL_MOIS!M55</f>
        <v>47.5</v>
      </c>
      <c r="F17" s="8">
        <f>TOTAL_MOIS!N55</f>
        <v>0</v>
      </c>
      <c r="G17" s="8">
        <f>TOTAL_MOIS!O55</f>
        <v>0</v>
      </c>
      <c r="H17" s="8">
        <f>TOTAL_MOIS!P55</f>
        <v>0</v>
      </c>
      <c r="I17" s="8">
        <f>TOTAL_MOIS!Q55*8</f>
        <v>0</v>
      </c>
      <c r="J17" s="8">
        <f>TOTAL_MOIS!R55*8</f>
        <v>0</v>
      </c>
      <c r="K17" s="8">
        <f>IF(OR(TOTAL_MOIS!T55="STC",TOTAL_MOIS!U55="STC"),"STC",SUM(E17:G17,I17:J17))</f>
        <v>47.5</v>
      </c>
      <c r="L17" s="8" t="str">
        <f>TOTAL_MOIS!U55</f>
        <v>OK</v>
      </c>
    </row>
    <row r="18" spans="1:12">
      <c r="A18" s="10">
        <v>163</v>
      </c>
      <c r="B18" s="14" t="s">
        <v>160</v>
      </c>
      <c r="C18" s="15" t="s">
        <v>161</v>
      </c>
      <c r="D18" s="10">
        <f>208</f>
        <v>208</v>
      </c>
      <c r="E18" s="10">
        <f>TOTAL_MOIS!M56</f>
        <v>47.5</v>
      </c>
      <c r="F18" s="8">
        <f>TOTAL_MOIS!N56</f>
        <v>0</v>
      </c>
      <c r="G18" s="8">
        <f>TOTAL_MOIS!O56</f>
        <v>0</v>
      </c>
      <c r="H18" s="8">
        <f>TOTAL_MOIS!P56</f>
        <v>0</v>
      </c>
      <c r="I18" s="8">
        <f>TOTAL_MOIS!Q56*8</f>
        <v>0</v>
      </c>
      <c r="J18" s="8">
        <f>TOTAL_MOIS!R56*8</f>
        <v>0</v>
      </c>
      <c r="K18" s="8">
        <f>IF(OR(TOTAL_MOIS!T56="STC",TOTAL_MOIS!U56="STC"),"STC",SUM(E18:G18,I18:J18))</f>
        <v>47.5</v>
      </c>
      <c r="L18" s="8" t="str">
        <f>TOTAL_MOIS!U56</f>
        <v>OK</v>
      </c>
    </row>
    <row r="19" spans="1:12">
      <c r="A19" s="10">
        <v>240</v>
      </c>
      <c r="B19" s="14" t="s">
        <v>162</v>
      </c>
      <c r="C19" s="15" t="s">
        <v>163</v>
      </c>
      <c r="D19" s="10">
        <f>208</f>
        <v>208</v>
      </c>
      <c r="E19" s="10">
        <f>TOTAL_MOIS!M57</f>
        <v>35.999999999999993</v>
      </c>
      <c r="F19" s="8">
        <f>TOTAL_MOIS!N57</f>
        <v>0</v>
      </c>
      <c r="G19" s="8">
        <f>TOTAL_MOIS!O57</f>
        <v>0</v>
      </c>
      <c r="H19" s="8">
        <f>TOTAL_MOIS!P57</f>
        <v>1</v>
      </c>
      <c r="I19" s="8">
        <f>TOTAL_MOIS!Q57*8</f>
        <v>0</v>
      </c>
      <c r="J19" s="8">
        <f>TOTAL_MOIS!R57*8</f>
        <v>0</v>
      </c>
      <c r="K19" s="8">
        <f>IF(OR(TOTAL_MOIS!T57="STC",TOTAL_MOIS!U57="STC"),"STC",SUM(E19:G19,I19:J19))</f>
        <v>35.999999999999993</v>
      </c>
      <c r="L19" s="8" t="str">
        <f>TOTAL_MOIS!U57</f>
        <v>OK</v>
      </c>
    </row>
    <row r="20" spans="1:12">
      <c r="A20" s="10" t="s">
        <v>164</v>
      </c>
      <c r="B20" s="14" t="s">
        <v>165</v>
      </c>
      <c r="C20" s="15" t="s">
        <v>166</v>
      </c>
      <c r="D20" s="10">
        <f>208</f>
        <v>208</v>
      </c>
      <c r="E20" s="10">
        <f>TOTAL_MOIS!M58</f>
        <v>0</v>
      </c>
      <c r="F20" s="8">
        <f>TOTAL_MOIS!N58</f>
        <v>0</v>
      </c>
      <c r="G20" s="8">
        <f>TOTAL_MOIS!O58</f>
        <v>0</v>
      </c>
      <c r="H20" s="8">
        <f>TOTAL_MOIS!P58</f>
        <v>0</v>
      </c>
      <c r="I20" s="8">
        <f>TOTAL_MOIS!Q58*8</f>
        <v>0</v>
      </c>
      <c r="J20" s="8">
        <f>TOTAL_MOIS!R58*8</f>
        <v>0</v>
      </c>
      <c r="K20" s="8" t="str">
        <f>IF(OR(TOTAL_MOIS!T58="STC",TOTAL_MOIS!U58="STC"),"STC",SUM(E20:G20,I20:J20))</f>
        <v>STC</v>
      </c>
      <c r="L20" s="8" t="str">
        <f>TOTAL_MOIS!U58</f>
        <v>STC</v>
      </c>
    </row>
    <row r="21" spans="1:12">
      <c r="A21" s="10" t="s">
        <v>167</v>
      </c>
      <c r="B21" s="14" t="s">
        <v>168</v>
      </c>
      <c r="C21" s="15" t="s">
        <v>169</v>
      </c>
      <c r="D21" s="10">
        <f>208</f>
        <v>208</v>
      </c>
      <c r="E21" s="10">
        <f>TOTAL_MOIS!M59</f>
        <v>0</v>
      </c>
      <c r="F21" s="8">
        <f>TOTAL_MOIS!N59</f>
        <v>0</v>
      </c>
      <c r="G21" s="8">
        <f>TOTAL_MOIS!O59</f>
        <v>0</v>
      </c>
      <c r="H21" s="8">
        <f>TOTAL_MOIS!P59</f>
        <v>0</v>
      </c>
      <c r="I21" s="8">
        <f>TOTAL_MOIS!Q59*8</f>
        <v>0</v>
      </c>
      <c r="J21" s="8">
        <f>TOTAL_MOIS!R59*8</f>
        <v>0</v>
      </c>
      <c r="K21" s="8" t="str">
        <f>IF(OR(TOTAL_MOIS!T59="STC",TOTAL_MOIS!U59="STC"),"STC",SUM(E21:G21,I21:J21))</f>
        <v>STC</v>
      </c>
      <c r="L21" s="8" t="str">
        <f>TOTAL_MOIS!U59</f>
        <v>STC</v>
      </c>
    </row>
    <row r="22" spans="1:12">
      <c r="A22" s="10">
        <v>192</v>
      </c>
      <c r="B22" s="14" t="s">
        <v>170</v>
      </c>
      <c r="C22" s="15" t="s">
        <v>171</v>
      </c>
      <c r="D22" s="10">
        <f>208</f>
        <v>208</v>
      </c>
      <c r="E22" s="10">
        <f>TOTAL_MOIS!M60</f>
        <v>74</v>
      </c>
      <c r="F22" s="8">
        <f>TOTAL_MOIS!N60</f>
        <v>0</v>
      </c>
      <c r="G22" s="8">
        <f>TOTAL_MOIS!O60</f>
        <v>0</v>
      </c>
      <c r="H22" s="8">
        <f>TOTAL_MOIS!P60</f>
        <v>2</v>
      </c>
      <c r="I22" s="8">
        <f>TOTAL_MOIS!Q60*8</f>
        <v>0</v>
      </c>
      <c r="J22" s="8">
        <f>TOTAL_MOIS!R60*8</f>
        <v>0</v>
      </c>
      <c r="K22" s="8">
        <f>IF(OR(TOTAL_MOIS!T60="STC",TOTAL_MOIS!U60="STC"),"STC",SUM(E22:G22,I22:J22))</f>
        <v>74</v>
      </c>
      <c r="L22" s="8" t="str">
        <f>TOTAL_MOIS!U60</f>
        <v>OK</v>
      </c>
    </row>
    <row r="23" spans="1:12">
      <c r="A23" s="10" t="s">
        <v>172</v>
      </c>
      <c r="B23" s="14" t="s">
        <v>173</v>
      </c>
      <c r="C23" s="15" t="s">
        <v>174</v>
      </c>
      <c r="D23" s="10">
        <f>208</f>
        <v>208</v>
      </c>
      <c r="E23" s="10">
        <f>TOTAL_MOIS!M61</f>
        <v>47.5</v>
      </c>
      <c r="F23" s="8">
        <f>TOTAL_MOIS!N61</f>
        <v>0</v>
      </c>
      <c r="G23" s="8">
        <f>TOTAL_MOIS!O61</f>
        <v>0</v>
      </c>
      <c r="H23" s="8">
        <f>TOTAL_MOIS!P61</f>
        <v>0</v>
      </c>
      <c r="I23" s="8">
        <f>TOTAL_MOIS!Q61*8</f>
        <v>0</v>
      </c>
      <c r="J23" s="8">
        <f>TOTAL_MOIS!R61*8</f>
        <v>0</v>
      </c>
      <c r="K23" s="8">
        <f>IF(OR(TOTAL_MOIS!T61="STC",TOTAL_MOIS!U61="STC"),"STC",SUM(E23:G23,I23:J23))</f>
        <v>47.5</v>
      </c>
      <c r="L23" s="8" t="str">
        <f>TOTAL_MOIS!U61</f>
        <v>OK</v>
      </c>
    </row>
    <row r="24" spans="1:12">
      <c r="A24" s="10" t="s">
        <v>175</v>
      </c>
      <c r="B24" s="14" t="s">
        <v>176</v>
      </c>
      <c r="C24" s="15" t="s">
        <v>177</v>
      </c>
      <c r="D24" s="10">
        <f>208</f>
        <v>208</v>
      </c>
      <c r="E24" s="10">
        <f>TOTAL_MOIS!M62</f>
        <v>47.5</v>
      </c>
      <c r="F24" s="8">
        <f>TOTAL_MOIS!N62</f>
        <v>0</v>
      </c>
      <c r="G24" s="8">
        <f>TOTAL_MOIS!O62</f>
        <v>0</v>
      </c>
      <c r="H24" s="8">
        <f>TOTAL_MOIS!P62</f>
        <v>0</v>
      </c>
      <c r="I24" s="8">
        <f>TOTAL_MOIS!Q62*8</f>
        <v>0</v>
      </c>
      <c r="J24" s="8">
        <f>TOTAL_MOIS!R62*8</f>
        <v>0</v>
      </c>
      <c r="K24" s="8">
        <f>IF(OR(TOTAL_MOIS!T62="STC",TOTAL_MOIS!U62="STC"),"STC",SUM(E24:G24,I24:J24))</f>
        <v>47.5</v>
      </c>
      <c r="L24" s="8" t="str">
        <f>TOTAL_MOIS!U62</f>
        <v>OK</v>
      </c>
    </row>
    <row r="25" spans="1:12">
      <c r="A25" s="10" t="s">
        <v>178</v>
      </c>
      <c r="B25" s="14" t="s">
        <v>179</v>
      </c>
      <c r="C25" s="15" t="s">
        <v>180</v>
      </c>
      <c r="D25" s="10">
        <f>208</f>
        <v>208</v>
      </c>
      <c r="E25" s="10">
        <f>TOTAL_MOIS!M63</f>
        <v>47.5</v>
      </c>
      <c r="F25" s="8">
        <f>TOTAL_MOIS!N63</f>
        <v>0</v>
      </c>
      <c r="G25" s="8">
        <f>TOTAL_MOIS!O63</f>
        <v>0</v>
      </c>
      <c r="H25" s="8">
        <f>TOTAL_MOIS!P63</f>
        <v>0</v>
      </c>
      <c r="I25" s="8">
        <f>TOTAL_MOIS!Q63*8</f>
        <v>0</v>
      </c>
      <c r="J25" s="8">
        <f>TOTAL_MOIS!R63*8</f>
        <v>0</v>
      </c>
      <c r="K25" s="8">
        <f>IF(OR(TOTAL_MOIS!T63="STC",TOTAL_MOIS!U63="STC"),"STC",SUM(E25:G25,I25:J25))</f>
        <v>47.5</v>
      </c>
      <c r="L25" s="8" t="str">
        <f>TOTAL_MOIS!U63</f>
        <v>OK</v>
      </c>
    </row>
    <row r="26" spans="1:12">
      <c r="A26" s="10" t="s">
        <v>181</v>
      </c>
      <c r="B26" s="14" t="s">
        <v>182</v>
      </c>
      <c r="C26" s="15" t="s">
        <v>183</v>
      </c>
      <c r="D26" s="10">
        <f>208</f>
        <v>208</v>
      </c>
      <c r="E26" s="10">
        <f>TOTAL_MOIS!M64</f>
        <v>44</v>
      </c>
      <c r="F26" s="8">
        <f>TOTAL_MOIS!N64</f>
        <v>0</v>
      </c>
      <c r="G26" s="8">
        <f>TOTAL_MOIS!O64</f>
        <v>0</v>
      </c>
      <c r="H26" s="8">
        <f>TOTAL_MOIS!P64</f>
        <v>0</v>
      </c>
      <c r="I26" s="8">
        <f>TOTAL_MOIS!Q64*8</f>
        <v>0</v>
      </c>
      <c r="J26" s="8">
        <f>TOTAL_MOIS!R64*8</f>
        <v>0</v>
      </c>
      <c r="K26" s="8">
        <f>IF(OR(TOTAL_MOIS!T64="STC",TOTAL_MOIS!U64="STC"),"STC",SUM(E26:G26,I26:J26))</f>
        <v>44</v>
      </c>
      <c r="L26" s="8" t="str">
        <f>TOTAL_MOIS!U64</f>
        <v>OK</v>
      </c>
    </row>
    <row r="27" spans="1:12">
      <c r="A27" s="10">
        <v>169</v>
      </c>
      <c r="B27" s="14" t="s">
        <v>184</v>
      </c>
      <c r="C27" s="15" t="s">
        <v>185</v>
      </c>
      <c r="D27" s="10">
        <f>208</f>
        <v>208</v>
      </c>
      <c r="E27" s="10">
        <f>TOTAL_MOIS!M65</f>
        <v>35.999999999999993</v>
      </c>
      <c r="F27" s="8">
        <f>TOTAL_MOIS!N65</f>
        <v>0</v>
      </c>
      <c r="G27" s="8">
        <f>TOTAL_MOIS!O65</f>
        <v>0</v>
      </c>
      <c r="H27" s="8">
        <f>TOTAL_MOIS!P65</f>
        <v>1</v>
      </c>
      <c r="I27" s="8">
        <f>TOTAL_MOIS!Q65*8</f>
        <v>0</v>
      </c>
      <c r="J27" s="8">
        <f>TOTAL_MOIS!R65*8</f>
        <v>0</v>
      </c>
      <c r="K27" s="8">
        <f>IF(OR(TOTAL_MOIS!T65="STC",TOTAL_MOIS!U65="STC"),"STC",SUM(E27:G27,I27:J27))</f>
        <v>35.999999999999993</v>
      </c>
      <c r="L27" s="8" t="str">
        <f>TOTAL_MOIS!U65</f>
        <v>OK</v>
      </c>
    </row>
    <row r="28" spans="1:12">
      <c r="A28" s="10" t="s">
        <v>186</v>
      </c>
      <c r="B28" s="14" t="s">
        <v>187</v>
      </c>
      <c r="C28" s="15" t="s">
        <v>188</v>
      </c>
      <c r="D28" s="10">
        <f>208</f>
        <v>208</v>
      </c>
      <c r="E28" s="10">
        <f>TOTAL_MOIS!M66</f>
        <v>34.499999999999993</v>
      </c>
      <c r="F28" s="8">
        <f>TOTAL_MOIS!N66</f>
        <v>0</v>
      </c>
      <c r="G28" s="8">
        <f>TOTAL_MOIS!O66</f>
        <v>0</v>
      </c>
      <c r="H28" s="8">
        <f>TOTAL_MOIS!P66</f>
        <v>1</v>
      </c>
      <c r="I28" s="8">
        <f>TOTAL_MOIS!Q66*8</f>
        <v>0</v>
      </c>
      <c r="J28" s="8">
        <f>TOTAL_MOIS!R66*8</f>
        <v>0</v>
      </c>
      <c r="K28" s="8">
        <f>IF(OR(TOTAL_MOIS!T66="STC",TOTAL_MOIS!U66="STC"),"STC",SUM(E28:G28,I28:J28))</f>
        <v>34.499999999999993</v>
      </c>
      <c r="L28" s="8" t="str">
        <f>TOTAL_MOIS!U66</f>
        <v>OK</v>
      </c>
    </row>
    <row r="29" spans="1:12">
      <c r="A29" s="10" t="s">
        <v>189</v>
      </c>
      <c r="B29" s="14" t="s">
        <v>190</v>
      </c>
      <c r="C29" s="15" t="s">
        <v>191</v>
      </c>
      <c r="D29" s="10">
        <f>208</f>
        <v>208</v>
      </c>
      <c r="E29" s="10">
        <f>TOTAL_MOIS!M67</f>
        <v>26.499999999999996</v>
      </c>
      <c r="F29" s="8">
        <f>TOTAL_MOIS!N67</f>
        <v>0</v>
      </c>
      <c r="G29" s="8">
        <f>TOTAL_MOIS!O67</f>
        <v>0</v>
      </c>
      <c r="H29" s="8">
        <f>TOTAL_MOIS!P67</f>
        <v>2</v>
      </c>
      <c r="I29" s="8">
        <f>TOTAL_MOIS!Q67*8</f>
        <v>0</v>
      </c>
      <c r="J29" s="8">
        <f>TOTAL_MOIS!R67*8</f>
        <v>0</v>
      </c>
      <c r="K29" s="8">
        <f>IF(OR(TOTAL_MOIS!T67="STC",TOTAL_MOIS!U67="STC"),"STC",SUM(E29:G29,I29:J29))</f>
        <v>26.499999999999996</v>
      </c>
      <c r="L29" s="8" t="str">
        <f>TOTAL_MOIS!U67</f>
        <v>OK</v>
      </c>
    </row>
    <row r="30" spans="1:12">
      <c r="A30" s="10" t="s">
        <v>192</v>
      </c>
      <c r="B30" s="14" t="s">
        <v>193</v>
      </c>
      <c r="C30" s="15" t="s">
        <v>194</v>
      </c>
      <c r="D30" s="10">
        <f>208</f>
        <v>208</v>
      </c>
      <c r="E30" s="10">
        <f>TOTAL_MOIS!M68</f>
        <v>16</v>
      </c>
      <c r="F30" s="8">
        <f>TOTAL_MOIS!N68</f>
        <v>0</v>
      </c>
      <c r="G30" s="8">
        <f>TOTAL_MOIS!O68</f>
        <v>0</v>
      </c>
      <c r="H30" s="8">
        <f>TOTAL_MOIS!P68</f>
        <v>3</v>
      </c>
      <c r="I30" s="8">
        <f>TOTAL_MOIS!Q68*8</f>
        <v>0</v>
      </c>
      <c r="J30" s="8">
        <f>TOTAL_MOIS!R68*8</f>
        <v>0</v>
      </c>
      <c r="K30" s="8">
        <f>IF(OR(TOTAL_MOIS!T68="STC",TOTAL_MOIS!U68="STC"),"STC",SUM(E30:G30,I30:J30))</f>
        <v>16</v>
      </c>
      <c r="L30" s="8" t="str">
        <f>TOTAL_MOIS!U68</f>
        <v>OK</v>
      </c>
    </row>
    <row r="31" spans="1:12">
      <c r="A31" s="10">
        <v>166</v>
      </c>
      <c r="B31" s="14" t="s">
        <v>195</v>
      </c>
      <c r="C31" s="15" t="s">
        <v>196</v>
      </c>
      <c r="D31" s="10">
        <f>208</f>
        <v>208</v>
      </c>
      <c r="E31" s="10">
        <f>TOTAL_MOIS!M69</f>
        <v>47.5</v>
      </c>
      <c r="F31" s="8">
        <f>TOTAL_MOIS!N69</f>
        <v>0</v>
      </c>
      <c r="G31" s="8">
        <f>TOTAL_MOIS!O69</f>
        <v>0</v>
      </c>
      <c r="H31" s="8">
        <f>TOTAL_MOIS!P69</f>
        <v>0</v>
      </c>
      <c r="I31" s="8">
        <f>TOTAL_MOIS!Q69*8</f>
        <v>0</v>
      </c>
      <c r="J31" s="8">
        <f>TOTAL_MOIS!R69*8</f>
        <v>0</v>
      </c>
      <c r="K31" s="8">
        <f>IF(OR(TOTAL_MOIS!T69="STC",TOTAL_MOIS!U69="STC"),"STC",SUM(E31:G31,I31:J31))</f>
        <v>47.5</v>
      </c>
      <c r="L31" s="8" t="str">
        <f>TOTAL_MOIS!U69</f>
        <v>OK</v>
      </c>
    </row>
    <row r="32" spans="1:12">
      <c r="A32" s="10" t="s">
        <v>197</v>
      </c>
      <c r="B32" s="14" t="s">
        <v>195</v>
      </c>
      <c r="C32" s="15" t="s">
        <v>198</v>
      </c>
      <c r="D32" s="10">
        <f>208</f>
        <v>208</v>
      </c>
      <c r="E32" s="10">
        <f>TOTAL_MOIS!M70</f>
        <v>35.999999999999993</v>
      </c>
      <c r="F32" s="8">
        <f>TOTAL_MOIS!N70</f>
        <v>0</v>
      </c>
      <c r="G32" s="8">
        <f>TOTAL_MOIS!O70</f>
        <v>0</v>
      </c>
      <c r="H32" s="8">
        <f>TOTAL_MOIS!P70</f>
        <v>1</v>
      </c>
      <c r="I32" s="8">
        <f>TOTAL_MOIS!Q70*8</f>
        <v>0</v>
      </c>
      <c r="J32" s="8">
        <f>TOTAL_MOIS!R70*8</f>
        <v>0</v>
      </c>
      <c r="K32" s="8">
        <f>IF(OR(TOTAL_MOIS!T70="STC",TOTAL_MOIS!U70="STC"),"STC",SUM(E32:G32,I32:J32))</f>
        <v>35.999999999999993</v>
      </c>
      <c r="L32" s="8" t="str">
        <f>TOTAL_MOIS!U70</f>
        <v>OK</v>
      </c>
    </row>
    <row r="33" spans="1:12">
      <c r="A33" s="10" t="s">
        <v>199</v>
      </c>
      <c r="B33" s="14" t="s">
        <v>195</v>
      </c>
      <c r="C33" s="15" t="s">
        <v>200</v>
      </c>
      <c r="D33" s="10">
        <f>208</f>
        <v>208</v>
      </c>
      <c r="E33" s="10">
        <f>TOTAL_MOIS!M71</f>
        <v>35.999999999999993</v>
      </c>
      <c r="F33" s="8">
        <f>TOTAL_MOIS!N71</f>
        <v>0</v>
      </c>
      <c r="G33" s="8">
        <f>TOTAL_MOIS!O71</f>
        <v>0</v>
      </c>
      <c r="H33" s="8">
        <f>TOTAL_MOIS!P71</f>
        <v>1</v>
      </c>
      <c r="I33" s="8">
        <f>TOTAL_MOIS!Q71*8</f>
        <v>0</v>
      </c>
      <c r="J33" s="8">
        <f>TOTAL_MOIS!R71*8</f>
        <v>0</v>
      </c>
      <c r="K33" s="8">
        <f>IF(OR(TOTAL_MOIS!T71="STC",TOTAL_MOIS!U71="STC"),"STC",SUM(E33:G33,I33:J33))</f>
        <v>35.999999999999993</v>
      </c>
      <c r="L33" s="8" t="str">
        <f>TOTAL_MOIS!U71</f>
        <v>OK</v>
      </c>
    </row>
    <row r="34" spans="1:12">
      <c r="A34" s="10" t="s">
        <v>201</v>
      </c>
      <c r="B34" s="14" t="s">
        <v>195</v>
      </c>
      <c r="C34" s="15" t="s">
        <v>202</v>
      </c>
      <c r="D34" s="10">
        <f>208</f>
        <v>208</v>
      </c>
      <c r="E34" s="10">
        <f>TOTAL_MOIS!M72</f>
        <v>35.999999999999993</v>
      </c>
      <c r="F34" s="8">
        <f>TOTAL_MOIS!N72</f>
        <v>0</v>
      </c>
      <c r="G34" s="8">
        <f>TOTAL_MOIS!O72</f>
        <v>0</v>
      </c>
      <c r="H34" s="8">
        <f>TOTAL_MOIS!P72</f>
        <v>1</v>
      </c>
      <c r="I34" s="8">
        <f>TOTAL_MOIS!Q72*8</f>
        <v>0</v>
      </c>
      <c r="J34" s="8">
        <f>TOTAL_MOIS!R72*8</f>
        <v>0</v>
      </c>
      <c r="K34" s="8">
        <f>IF(OR(TOTAL_MOIS!T72="STC",TOTAL_MOIS!U72="STC"),"STC",SUM(E34:G34,I34:J34))</f>
        <v>35.999999999999993</v>
      </c>
      <c r="L34" s="8" t="str">
        <f>TOTAL_MOIS!U72</f>
        <v>OK</v>
      </c>
    </row>
    <row r="35" spans="1:12">
      <c r="A35" s="10" t="s">
        <v>203</v>
      </c>
      <c r="B35" s="14" t="s">
        <v>204</v>
      </c>
      <c r="C35" s="15" t="s">
        <v>205</v>
      </c>
      <c r="D35" s="10">
        <f>208</f>
        <v>208</v>
      </c>
      <c r="E35" s="10">
        <f>TOTAL_MOIS!M73</f>
        <v>28.5</v>
      </c>
      <c r="F35" s="8">
        <f>TOTAL_MOIS!N73</f>
        <v>0</v>
      </c>
      <c r="G35" s="8">
        <f>TOTAL_MOIS!O73</f>
        <v>0</v>
      </c>
      <c r="H35" s="8">
        <f>TOTAL_MOIS!P73</f>
        <v>2</v>
      </c>
      <c r="I35" s="8">
        <f>TOTAL_MOIS!Q73*8</f>
        <v>0</v>
      </c>
      <c r="J35" s="8">
        <f>TOTAL_MOIS!R73*8</f>
        <v>0</v>
      </c>
      <c r="K35" s="8">
        <f>IF(OR(TOTAL_MOIS!T73="STC",TOTAL_MOIS!U73="STC"),"STC",SUM(E35:G35,I35:J35))</f>
        <v>28.5</v>
      </c>
      <c r="L35" s="8" t="str">
        <f>TOTAL_MOIS!U73</f>
        <v>OK</v>
      </c>
    </row>
    <row r="36" spans="1:12">
      <c r="A36" s="10" t="s">
        <v>206</v>
      </c>
      <c r="B36" s="14" t="s">
        <v>207</v>
      </c>
      <c r="C36" s="15" t="s">
        <v>208</v>
      </c>
      <c r="D36" s="10">
        <f>208</f>
        <v>208</v>
      </c>
      <c r="E36" s="10">
        <f>TOTAL_MOIS!M74</f>
        <v>35.999999999999993</v>
      </c>
      <c r="F36" s="8">
        <f>TOTAL_MOIS!N74</f>
        <v>0</v>
      </c>
      <c r="G36" s="8">
        <f>TOTAL_MOIS!O74</f>
        <v>0</v>
      </c>
      <c r="H36" s="8">
        <f>TOTAL_MOIS!P74</f>
        <v>1</v>
      </c>
      <c r="I36" s="8">
        <f>TOTAL_MOIS!Q74*8</f>
        <v>0</v>
      </c>
      <c r="J36" s="8">
        <f>TOTAL_MOIS!R74*8</f>
        <v>0</v>
      </c>
      <c r="K36" s="8">
        <f>IF(OR(TOTAL_MOIS!T74="STC",TOTAL_MOIS!U74="STC"),"STC",SUM(E36:G36,I36:J36))</f>
        <v>35.999999999999993</v>
      </c>
      <c r="L36" s="8" t="str">
        <f>TOTAL_MOIS!U74</f>
        <v>OK</v>
      </c>
    </row>
    <row r="37" spans="1:12">
      <c r="A37" s="10" t="s">
        <v>209</v>
      </c>
      <c r="B37" s="14" t="s">
        <v>210</v>
      </c>
      <c r="C37" s="15" t="s">
        <v>211</v>
      </c>
      <c r="D37" s="10">
        <f>208</f>
        <v>208</v>
      </c>
      <c r="E37" s="10">
        <f>TOTAL_MOIS!M75</f>
        <v>47.5</v>
      </c>
      <c r="F37" s="8">
        <f>TOTAL_MOIS!N75</f>
        <v>0</v>
      </c>
      <c r="G37" s="8">
        <f>TOTAL_MOIS!O75</f>
        <v>0</v>
      </c>
      <c r="H37" s="8">
        <f>TOTAL_MOIS!P75</f>
        <v>0</v>
      </c>
      <c r="I37" s="8">
        <f>TOTAL_MOIS!Q75*8</f>
        <v>0</v>
      </c>
      <c r="J37" s="8">
        <f>TOTAL_MOIS!R75*8</f>
        <v>0</v>
      </c>
      <c r="K37" s="8">
        <f>IF(OR(TOTAL_MOIS!T75="STC",TOTAL_MOIS!U75="STC"),"STC",SUM(E37:G37,I37:J37))</f>
        <v>47.5</v>
      </c>
      <c r="L37" s="8" t="str">
        <f>TOTAL_MOIS!U75</f>
        <v>OK</v>
      </c>
    </row>
    <row r="38" spans="1:12">
      <c r="A38" s="10">
        <v>244</v>
      </c>
      <c r="B38" s="14" t="s">
        <v>212</v>
      </c>
      <c r="C38" s="15" t="s">
        <v>163</v>
      </c>
      <c r="D38" s="10">
        <f>208</f>
        <v>208</v>
      </c>
      <c r="E38" s="10">
        <f>TOTAL_MOIS!M76</f>
        <v>2</v>
      </c>
      <c r="F38" s="8">
        <f>TOTAL_MOIS!N76</f>
        <v>0</v>
      </c>
      <c r="G38" s="8">
        <f>TOTAL_MOIS!O76</f>
        <v>0</v>
      </c>
      <c r="H38" s="8">
        <f>TOTAL_MOIS!P76</f>
        <v>4</v>
      </c>
      <c r="I38" s="8">
        <f>TOTAL_MOIS!Q76*8</f>
        <v>0</v>
      </c>
      <c r="J38" s="8">
        <f>TOTAL_MOIS!R76*8</f>
        <v>0</v>
      </c>
      <c r="K38" s="8">
        <f>IF(OR(TOTAL_MOIS!T76="STC",TOTAL_MOIS!U76="STC"),"STC",SUM(E38:G38,I38:J38))</f>
        <v>2</v>
      </c>
      <c r="L38" s="8" t="str">
        <f>TOTAL_MOIS!U76</f>
        <v>OK</v>
      </c>
    </row>
    <row r="39" spans="1:12">
      <c r="A39" s="10" t="s">
        <v>213</v>
      </c>
      <c r="B39" s="14" t="s">
        <v>214</v>
      </c>
      <c r="C39" s="15" t="s">
        <v>61</v>
      </c>
      <c r="D39" s="10">
        <f>208</f>
        <v>208</v>
      </c>
      <c r="E39" s="10">
        <f>TOTAL_MOIS!M77</f>
        <v>74</v>
      </c>
      <c r="F39" s="8">
        <f>TOTAL_MOIS!N77</f>
        <v>0</v>
      </c>
      <c r="G39" s="8">
        <f>TOTAL_MOIS!O77</f>
        <v>0</v>
      </c>
      <c r="H39" s="8">
        <f>TOTAL_MOIS!P77</f>
        <v>2</v>
      </c>
      <c r="I39" s="8">
        <f>TOTAL_MOIS!Q77*8</f>
        <v>0</v>
      </c>
      <c r="J39" s="8">
        <f>TOTAL_MOIS!R77*8</f>
        <v>0</v>
      </c>
      <c r="K39" s="8">
        <f>IF(OR(TOTAL_MOIS!T77="STC",TOTAL_MOIS!U77="STC"),"STC",SUM(E39:G39,I39:J39))</f>
        <v>74</v>
      </c>
      <c r="L39" s="8" t="str">
        <f>TOTAL_MOIS!U77</f>
        <v>OK</v>
      </c>
    </row>
    <row r="40" spans="1:12">
      <c r="A40" s="10">
        <v>183</v>
      </c>
      <c r="B40" s="14" t="s">
        <v>215</v>
      </c>
      <c r="C40" s="15" t="s">
        <v>216</v>
      </c>
      <c r="D40" s="10">
        <f>208</f>
        <v>208</v>
      </c>
      <c r="E40" s="10">
        <f>TOTAL_MOIS!M78</f>
        <v>0</v>
      </c>
      <c r="F40" s="8">
        <f>TOTAL_MOIS!N78</f>
        <v>0</v>
      </c>
      <c r="G40" s="8">
        <f>TOTAL_MOIS!O78</f>
        <v>0</v>
      </c>
      <c r="H40" s="8">
        <f>TOTAL_MOIS!P78</f>
        <v>0</v>
      </c>
      <c r="I40" s="8">
        <f>TOTAL_MOIS!Q78*8</f>
        <v>0</v>
      </c>
      <c r="J40" s="8">
        <f>TOTAL_MOIS!R78*8</f>
        <v>0</v>
      </c>
      <c r="K40" s="8" t="str">
        <f>IF(OR(TOTAL_MOIS!T78="STC",TOTAL_MOIS!U78="STC"),"STC",SUM(E40:G40,I40:J40))</f>
        <v>STC</v>
      </c>
      <c r="L40" s="8" t="str">
        <f>TOTAL_MOIS!U78</f>
        <v>STC</v>
      </c>
    </row>
    <row r="41" spans="1:12">
      <c r="A41" s="10">
        <v>234</v>
      </c>
      <c r="B41" s="14" t="s">
        <v>217</v>
      </c>
      <c r="C41" s="15" t="s">
        <v>218</v>
      </c>
      <c r="D41" s="10">
        <f>208</f>
        <v>208</v>
      </c>
      <c r="E41" s="10">
        <f>TOTAL_MOIS!M79</f>
        <v>45</v>
      </c>
      <c r="F41" s="8">
        <f>TOTAL_MOIS!N79</f>
        <v>0</v>
      </c>
      <c r="G41" s="8">
        <f>TOTAL_MOIS!O79</f>
        <v>0</v>
      </c>
      <c r="H41" s="8">
        <f>TOTAL_MOIS!P79</f>
        <v>0</v>
      </c>
      <c r="I41" s="8">
        <f>TOTAL_MOIS!Q79*8</f>
        <v>0</v>
      </c>
      <c r="J41" s="8">
        <f>TOTAL_MOIS!R79*8</f>
        <v>0</v>
      </c>
      <c r="K41" s="8">
        <f>IF(OR(TOTAL_MOIS!T79="STC",TOTAL_MOIS!U79="STC"),"STC",SUM(E41:G41,I41:J41))</f>
        <v>45</v>
      </c>
      <c r="L41" s="8" t="str">
        <f>TOTAL_MOIS!U79</f>
        <v>OK</v>
      </c>
    </row>
    <row r="42" spans="1:12">
      <c r="A42" s="10" t="s">
        <v>219</v>
      </c>
      <c r="B42" s="14" t="s">
        <v>220</v>
      </c>
      <c r="C42" s="15" t="s">
        <v>221</v>
      </c>
      <c r="D42" s="10">
        <f>208</f>
        <v>208</v>
      </c>
      <c r="E42" s="10">
        <f>TOTAL_MOIS!M80</f>
        <v>47.5</v>
      </c>
      <c r="F42" s="8">
        <f>TOTAL_MOIS!N80</f>
        <v>0</v>
      </c>
      <c r="G42" s="8">
        <f>TOTAL_MOIS!O80</f>
        <v>0</v>
      </c>
      <c r="H42" s="8">
        <f>TOTAL_MOIS!P80</f>
        <v>0</v>
      </c>
      <c r="I42" s="8">
        <f>TOTAL_MOIS!Q80*8</f>
        <v>0</v>
      </c>
      <c r="J42" s="8">
        <f>TOTAL_MOIS!R80*8</f>
        <v>0</v>
      </c>
      <c r="K42" s="8">
        <f>IF(OR(TOTAL_MOIS!T80="STC",TOTAL_MOIS!U80="STC"),"STC",SUM(E42:G42,I42:J42))</f>
        <v>47.5</v>
      </c>
      <c r="L42" s="8" t="str">
        <f>TOTAL_MOIS!U80</f>
        <v>OK</v>
      </c>
    </row>
    <row r="43" spans="1:12">
      <c r="A43" s="10" t="s">
        <v>222</v>
      </c>
      <c r="B43" s="14" t="s">
        <v>223</v>
      </c>
      <c r="C43" s="15" t="s">
        <v>19</v>
      </c>
      <c r="D43" s="10">
        <f>208</f>
        <v>208</v>
      </c>
      <c r="E43" s="10">
        <f>TOTAL_MOIS!M81</f>
        <v>80.5</v>
      </c>
      <c r="F43" s="8">
        <f>TOTAL_MOIS!N81</f>
        <v>0</v>
      </c>
      <c r="G43" s="8">
        <f>TOTAL_MOIS!O81</f>
        <v>0</v>
      </c>
      <c r="H43" s="8">
        <f>TOTAL_MOIS!P81</f>
        <v>1</v>
      </c>
      <c r="I43" s="8">
        <f>TOTAL_MOIS!Q81*8</f>
        <v>0</v>
      </c>
      <c r="J43" s="8">
        <f>TOTAL_MOIS!R81*8</f>
        <v>0</v>
      </c>
      <c r="K43" s="8">
        <f>IF(OR(TOTAL_MOIS!T81="STC",TOTAL_MOIS!U81="STC"),"STC",SUM(E43:G43,I43:J43))</f>
        <v>80.5</v>
      </c>
      <c r="L43" s="8" t="str">
        <f>TOTAL_MOIS!U81</f>
        <v>OK</v>
      </c>
    </row>
    <row r="44" spans="1:12">
      <c r="A44" s="10">
        <v>118</v>
      </c>
      <c r="B44" s="14" t="s">
        <v>224</v>
      </c>
      <c r="C44" s="15" t="s">
        <v>225</v>
      </c>
      <c r="D44" s="10">
        <f>208</f>
        <v>208</v>
      </c>
      <c r="E44" s="10">
        <f>TOTAL_MOIS!M82</f>
        <v>43</v>
      </c>
      <c r="F44" s="8">
        <f>TOTAL_MOIS!N82</f>
        <v>0</v>
      </c>
      <c r="G44" s="8">
        <f>TOTAL_MOIS!O82</f>
        <v>0</v>
      </c>
      <c r="H44" s="8">
        <f>TOTAL_MOIS!P82</f>
        <v>0</v>
      </c>
      <c r="I44" s="8">
        <f>TOTAL_MOIS!Q82*8</f>
        <v>0</v>
      </c>
      <c r="J44" s="8">
        <f>TOTAL_MOIS!R82*8</f>
        <v>0</v>
      </c>
      <c r="K44" s="8">
        <f>IF(OR(TOTAL_MOIS!T82="STC",TOTAL_MOIS!U82="STC"),"STC",SUM(E44:G44,I44:J44))</f>
        <v>43</v>
      </c>
      <c r="L44" s="8" t="str">
        <f>TOTAL_MOIS!U82</f>
        <v>OK</v>
      </c>
    </row>
    <row r="45" spans="1:12">
      <c r="A45" s="10">
        <v>199</v>
      </c>
      <c r="B45" s="14" t="s">
        <v>226</v>
      </c>
      <c r="C45" s="15" t="s">
        <v>227</v>
      </c>
      <c r="D45" s="10">
        <f>208</f>
        <v>208</v>
      </c>
      <c r="E45" s="10">
        <f>TOTAL_MOIS!M83</f>
        <v>35.999999999999993</v>
      </c>
      <c r="F45" s="8">
        <f>TOTAL_MOIS!N83</f>
        <v>0</v>
      </c>
      <c r="G45" s="8">
        <f>TOTAL_MOIS!O83</f>
        <v>0</v>
      </c>
      <c r="H45" s="8">
        <f>TOTAL_MOIS!P83</f>
        <v>1</v>
      </c>
      <c r="I45" s="8">
        <f>TOTAL_MOIS!Q83*8</f>
        <v>0</v>
      </c>
      <c r="J45" s="8">
        <f>TOTAL_MOIS!R83*8</f>
        <v>0</v>
      </c>
      <c r="K45" s="8">
        <f>IF(OR(TOTAL_MOIS!T83="STC",TOTAL_MOIS!U83="STC"),"STC",SUM(E45:G45,I45:J45))</f>
        <v>35.999999999999993</v>
      </c>
      <c r="L45" s="8" t="str">
        <f>TOTAL_MOIS!U83</f>
        <v>OK</v>
      </c>
    </row>
    <row r="46" spans="1:12">
      <c r="A46" s="10" t="s">
        <v>228</v>
      </c>
      <c r="B46" s="14" t="s">
        <v>226</v>
      </c>
      <c r="C46" s="15" t="s">
        <v>229</v>
      </c>
      <c r="D46" s="10">
        <f>208</f>
        <v>208</v>
      </c>
      <c r="E46" s="10">
        <f>TOTAL_MOIS!M84</f>
        <v>37.499999999999993</v>
      </c>
      <c r="F46" s="8">
        <f>TOTAL_MOIS!N84</f>
        <v>0</v>
      </c>
      <c r="G46" s="8">
        <f>TOTAL_MOIS!O84</f>
        <v>0</v>
      </c>
      <c r="H46" s="8">
        <f>TOTAL_MOIS!P84</f>
        <v>1</v>
      </c>
      <c r="I46" s="8">
        <f>TOTAL_MOIS!Q84*8</f>
        <v>0</v>
      </c>
      <c r="J46" s="8">
        <f>TOTAL_MOIS!R84*8</f>
        <v>0</v>
      </c>
      <c r="K46" s="8">
        <f>IF(OR(TOTAL_MOIS!T84="STC",TOTAL_MOIS!U84="STC"),"STC",SUM(E46:G46,I46:J46))</f>
        <v>37.499999999999993</v>
      </c>
      <c r="L46" s="8" t="str">
        <f>TOTAL_MOIS!U84</f>
        <v>OK</v>
      </c>
    </row>
    <row r="47" spans="1:12">
      <c r="A47" s="10">
        <v>243</v>
      </c>
      <c r="B47" s="14" t="s">
        <v>230</v>
      </c>
      <c r="C47" s="15" t="s">
        <v>205</v>
      </c>
      <c r="D47" s="10">
        <f>208</f>
        <v>208</v>
      </c>
      <c r="E47" s="10">
        <f>TOTAL_MOIS!M85</f>
        <v>35.999999999999993</v>
      </c>
      <c r="F47" s="8">
        <f>TOTAL_MOIS!N85</f>
        <v>0</v>
      </c>
      <c r="G47" s="8">
        <f>TOTAL_MOIS!O85</f>
        <v>0</v>
      </c>
      <c r="H47" s="8">
        <f>TOTAL_MOIS!P85</f>
        <v>1</v>
      </c>
      <c r="I47" s="8">
        <f>TOTAL_MOIS!Q85*8</f>
        <v>0</v>
      </c>
      <c r="J47" s="8">
        <f>TOTAL_MOIS!R85*8</f>
        <v>0</v>
      </c>
      <c r="K47" s="8">
        <f>IF(OR(TOTAL_MOIS!T85="STC",TOTAL_MOIS!U85="STC"),"STC",SUM(E47:G47,I47:J47))</f>
        <v>35.999999999999993</v>
      </c>
      <c r="L47" s="8" t="str">
        <f>TOTAL_MOIS!U85</f>
        <v>OK</v>
      </c>
    </row>
    <row r="48" spans="1:12">
      <c r="A48" s="10" t="s">
        <v>231</v>
      </c>
      <c r="B48" s="14" t="s">
        <v>232</v>
      </c>
      <c r="C48" s="15" t="s">
        <v>233</v>
      </c>
      <c r="D48" s="10">
        <f>208</f>
        <v>208</v>
      </c>
      <c r="E48" s="10">
        <f>TOTAL_MOIS!M86</f>
        <v>17</v>
      </c>
      <c r="F48" s="8">
        <f>TOTAL_MOIS!N86</f>
        <v>0</v>
      </c>
      <c r="G48" s="8">
        <f>TOTAL_MOIS!O86</f>
        <v>0</v>
      </c>
      <c r="H48" s="8">
        <f>TOTAL_MOIS!P86</f>
        <v>3</v>
      </c>
      <c r="I48" s="8">
        <f>TOTAL_MOIS!Q86*8</f>
        <v>0</v>
      </c>
      <c r="J48" s="8">
        <f>TOTAL_MOIS!R86*8</f>
        <v>0</v>
      </c>
      <c r="K48" s="8">
        <f>IF(OR(TOTAL_MOIS!T86="STC",TOTAL_MOIS!U86="STC"),"STC",SUM(E48:G48,I48:J48))</f>
        <v>17</v>
      </c>
      <c r="L48" s="8" t="str">
        <f>TOTAL_MOIS!U86</f>
        <v>OK</v>
      </c>
    </row>
    <row r="49" spans="1:12">
      <c r="A49" s="10">
        <v>96</v>
      </c>
      <c r="B49" s="14" t="s">
        <v>232</v>
      </c>
      <c r="C49" s="15" t="s">
        <v>234</v>
      </c>
      <c r="D49" s="10">
        <f>208</f>
        <v>208</v>
      </c>
      <c r="E49" s="10">
        <f>TOTAL_MOIS!M87</f>
        <v>35.999999999999993</v>
      </c>
      <c r="F49" s="8">
        <f>TOTAL_MOIS!N87</f>
        <v>0</v>
      </c>
      <c r="G49" s="8">
        <f>TOTAL_MOIS!O87</f>
        <v>0</v>
      </c>
      <c r="H49" s="8">
        <f>TOTAL_MOIS!P87</f>
        <v>1</v>
      </c>
      <c r="I49" s="8">
        <f>TOTAL_MOIS!Q87*8</f>
        <v>0</v>
      </c>
      <c r="J49" s="8">
        <f>TOTAL_MOIS!R87*8</f>
        <v>0</v>
      </c>
      <c r="K49" s="8">
        <f>IF(OR(TOTAL_MOIS!T87="STC",TOTAL_MOIS!U87="STC"),"STC",SUM(E49:G49,I49:J49))</f>
        <v>35.999999999999993</v>
      </c>
      <c r="L49" s="8" t="str">
        <f>TOTAL_MOIS!U87</f>
        <v>OK</v>
      </c>
    </row>
    <row r="50" spans="1:12">
      <c r="A50" s="10" t="s">
        <v>235</v>
      </c>
      <c r="B50" s="14" t="s">
        <v>232</v>
      </c>
      <c r="C50" s="15" t="s">
        <v>236</v>
      </c>
      <c r="D50" s="10">
        <f>208</f>
        <v>208</v>
      </c>
      <c r="E50" s="10">
        <f>TOTAL_MOIS!M88</f>
        <v>38</v>
      </c>
      <c r="F50" s="8">
        <f>TOTAL_MOIS!N88</f>
        <v>0</v>
      </c>
      <c r="G50" s="8">
        <f>TOTAL_MOIS!O88</f>
        <v>0</v>
      </c>
      <c r="H50" s="8">
        <f>TOTAL_MOIS!P88</f>
        <v>1</v>
      </c>
      <c r="I50" s="8">
        <f>TOTAL_MOIS!Q88*8</f>
        <v>0</v>
      </c>
      <c r="J50" s="8">
        <f>TOTAL_MOIS!R88*8</f>
        <v>0</v>
      </c>
      <c r="K50" s="8">
        <f>IF(OR(TOTAL_MOIS!T88="STC",TOTAL_MOIS!U88="STC"),"STC",SUM(E50:G50,I50:J50))</f>
        <v>38</v>
      </c>
      <c r="L50" s="8" t="str">
        <f>TOTAL_MOIS!U88</f>
        <v>OK</v>
      </c>
    </row>
    <row r="51" spans="1:12">
      <c r="A51" s="10" t="s">
        <v>237</v>
      </c>
      <c r="B51" s="14" t="s">
        <v>238</v>
      </c>
      <c r="C51" s="15" t="s">
        <v>239</v>
      </c>
      <c r="D51" s="10">
        <f>208</f>
        <v>208</v>
      </c>
      <c r="E51" s="10">
        <f>TOTAL_MOIS!M89</f>
        <v>47.5</v>
      </c>
      <c r="F51" s="8">
        <f>TOTAL_MOIS!N89</f>
        <v>0</v>
      </c>
      <c r="G51" s="8">
        <f>TOTAL_MOIS!O89</f>
        <v>0</v>
      </c>
      <c r="H51" s="8">
        <f>TOTAL_MOIS!P89</f>
        <v>0</v>
      </c>
      <c r="I51" s="8">
        <f>TOTAL_MOIS!Q89*8</f>
        <v>0</v>
      </c>
      <c r="J51" s="8">
        <f>TOTAL_MOIS!R89*8</f>
        <v>0</v>
      </c>
      <c r="K51" s="8">
        <f>IF(OR(TOTAL_MOIS!T89="STC",TOTAL_MOIS!U89="STC"),"STC",SUM(E51:G51,I51:J51))</f>
        <v>47.5</v>
      </c>
      <c r="L51" s="8" t="str">
        <f>TOTAL_MOIS!U89</f>
        <v>OK</v>
      </c>
    </row>
    <row r="52" spans="1:12">
      <c r="A52" s="10" t="s">
        <v>240</v>
      </c>
      <c r="B52" s="14" t="s">
        <v>241</v>
      </c>
      <c r="C52" s="15" t="s">
        <v>242</v>
      </c>
      <c r="D52" s="10">
        <f>208</f>
        <v>208</v>
      </c>
      <c r="E52" s="10">
        <f>TOTAL_MOIS!M90</f>
        <v>47.5</v>
      </c>
      <c r="F52" s="8">
        <f>TOTAL_MOIS!N90</f>
        <v>0</v>
      </c>
      <c r="G52" s="8">
        <f>TOTAL_MOIS!O90</f>
        <v>0</v>
      </c>
      <c r="H52" s="8">
        <f>TOTAL_MOIS!P90</f>
        <v>0</v>
      </c>
      <c r="I52" s="8">
        <f>TOTAL_MOIS!Q90*8</f>
        <v>0</v>
      </c>
      <c r="J52" s="8">
        <f>TOTAL_MOIS!R90*8</f>
        <v>0</v>
      </c>
      <c r="K52" s="8">
        <f>IF(OR(TOTAL_MOIS!T90="STC",TOTAL_MOIS!U90="STC"),"STC",SUM(E52:G52,I52:J52))</f>
        <v>47.5</v>
      </c>
      <c r="L52" s="8" t="str">
        <f>TOTAL_MOIS!U90</f>
        <v>OK</v>
      </c>
    </row>
    <row r="53" spans="1:12">
      <c r="A53" s="10" t="s">
        <v>243</v>
      </c>
      <c r="B53" s="14" t="s">
        <v>244</v>
      </c>
      <c r="C53" s="15" t="s">
        <v>245</v>
      </c>
      <c r="D53" s="10">
        <f>208</f>
        <v>208</v>
      </c>
      <c r="E53" s="10">
        <f>TOTAL_MOIS!M91</f>
        <v>9.5</v>
      </c>
      <c r="F53" s="8">
        <f>TOTAL_MOIS!N91</f>
        <v>0</v>
      </c>
      <c r="G53" s="8">
        <f>TOTAL_MOIS!O91</f>
        <v>0</v>
      </c>
      <c r="H53" s="8">
        <f>TOTAL_MOIS!P91</f>
        <v>0</v>
      </c>
      <c r="I53" s="8">
        <f>TOTAL_MOIS!Q91*8</f>
        <v>0</v>
      </c>
      <c r="J53" s="8">
        <f>TOTAL_MOIS!R91*8</f>
        <v>0</v>
      </c>
      <c r="K53" s="8" t="str">
        <f>IF(OR(TOTAL_MOIS!T91="STC",TOTAL_MOIS!U91="STC"),"STC",SUM(E53:G53,I53:J53))</f>
        <v>STC</v>
      </c>
      <c r="L53" s="8" t="str">
        <f>TOTAL_MOIS!U91</f>
        <v>STC</v>
      </c>
    </row>
    <row r="54" spans="1:12">
      <c r="A54" s="10" t="s">
        <v>246</v>
      </c>
      <c r="B54" s="14" t="s">
        <v>247</v>
      </c>
      <c r="C54" s="15" t="s">
        <v>248</v>
      </c>
      <c r="D54" s="10">
        <f>208</f>
        <v>208</v>
      </c>
      <c r="E54" s="10">
        <f>TOTAL_MOIS!M92</f>
        <v>47.5</v>
      </c>
      <c r="F54" s="8">
        <f>TOTAL_MOIS!N92</f>
        <v>0</v>
      </c>
      <c r="G54" s="8">
        <f>TOTAL_MOIS!O92</f>
        <v>0</v>
      </c>
      <c r="H54" s="8">
        <f>TOTAL_MOIS!P92</f>
        <v>0</v>
      </c>
      <c r="I54" s="8">
        <f>TOTAL_MOIS!Q92*8</f>
        <v>0</v>
      </c>
      <c r="J54" s="8">
        <f>TOTAL_MOIS!R92*8</f>
        <v>0</v>
      </c>
      <c r="K54" s="8">
        <f>IF(OR(TOTAL_MOIS!T92="STC",TOTAL_MOIS!U92="STC"),"STC",SUM(E54:G54,I54:J54))</f>
        <v>47.5</v>
      </c>
      <c r="L54" s="8" t="str">
        <f>TOTAL_MOIS!U92</f>
        <v>OK</v>
      </c>
    </row>
    <row r="55" spans="1:12">
      <c r="A55" s="10" t="s">
        <v>249</v>
      </c>
      <c r="B55" s="14" t="s">
        <v>250</v>
      </c>
      <c r="C55" s="15" t="s">
        <v>251</v>
      </c>
      <c r="D55" s="10">
        <f>208</f>
        <v>208</v>
      </c>
      <c r="E55" s="10">
        <f>TOTAL_MOIS!M93</f>
        <v>35.999999999999993</v>
      </c>
      <c r="F55" s="8">
        <f>TOTAL_MOIS!N93</f>
        <v>0</v>
      </c>
      <c r="G55" s="8">
        <f>TOTAL_MOIS!O93</f>
        <v>0</v>
      </c>
      <c r="H55" s="8">
        <f>TOTAL_MOIS!P93</f>
        <v>1</v>
      </c>
      <c r="I55" s="8">
        <f>TOTAL_MOIS!Q93*8</f>
        <v>0</v>
      </c>
      <c r="J55" s="8">
        <f>TOTAL_MOIS!R93*8</f>
        <v>0</v>
      </c>
      <c r="K55" s="8">
        <f>IF(OR(TOTAL_MOIS!T93="STC",TOTAL_MOIS!U93="STC"),"STC",SUM(E55:G55,I55:J55))</f>
        <v>35.999999999999993</v>
      </c>
      <c r="L55" s="8" t="str">
        <f>TOTAL_MOIS!U93</f>
        <v>OK</v>
      </c>
    </row>
    <row r="56" spans="1:12">
      <c r="A56" s="10" t="s">
        <v>252</v>
      </c>
      <c r="B56" s="14" t="s">
        <v>253</v>
      </c>
      <c r="C56" s="15" t="s">
        <v>254</v>
      </c>
      <c r="D56" s="10">
        <f>208</f>
        <v>208</v>
      </c>
      <c r="E56" s="10">
        <f>TOTAL_MOIS!M94</f>
        <v>35.999999999999993</v>
      </c>
      <c r="F56" s="8">
        <f>TOTAL_MOIS!N94</f>
        <v>0</v>
      </c>
      <c r="G56" s="8">
        <f>TOTAL_MOIS!O94</f>
        <v>0</v>
      </c>
      <c r="H56" s="8">
        <f>TOTAL_MOIS!P94</f>
        <v>1</v>
      </c>
      <c r="I56" s="8">
        <f>TOTAL_MOIS!Q94*8</f>
        <v>0</v>
      </c>
      <c r="J56" s="8">
        <f>TOTAL_MOIS!R94*8</f>
        <v>0</v>
      </c>
      <c r="K56" s="8">
        <f>IF(OR(TOTAL_MOIS!T94="STC",TOTAL_MOIS!U94="STC"),"STC",SUM(E56:G56,I56:J56))</f>
        <v>35.999999999999993</v>
      </c>
      <c r="L56" s="8" t="str">
        <f>TOTAL_MOIS!U94</f>
        <v>OK</v>
      </c>
    </row>
    <row r="57" spans="1:12">
      <c r="A57" s="10" t="s">
        <v>255</v>
      </c>
      <c r="B57" s="14" t="s">
        <v>256</v>
      </c>
      <c r="C57" s="15" t="s">
        <v>257</v>
      </c>
      <c r="D57" s="10">
        <f>208</f>
        <v>208</v>
      </c>
      <c r="E57" s="10">
        <f>TOTAL_MOIS!M95</f>
        <v>47.5</v>
      </c>
      <c r="F57" s="8">
        <f>TOTAL_MOIS!N95</f>
        <v>0</v>
      </c>
      <c r="G57" s="8">
        <f>TOTAL_MOIS!O95</f>
        <v>0</v>
      </c>
      <c r="H57" s="8">
        <f>TOTAL_MOIS!P95</f>
        <v>0</v>
      </c>
      <c r="I57" s="8">
        <f>TOTAL_MOIS!Q95*8</f>
        <v>0</v>
      </c>
      <c r="J57" s="8">
        <f>TOTAL_MOIS!R95*8</f>
        <v>0</v>
      </c>
      <c r="K57" s="8">
        <f>IF(OR(TOTAL_MOIS!T95="STC",TOTAL_MOIS!U95="STC"),"STC",SUM(E57:G57,I57:J57))</f>
        <v>47.5</v>
      </c>
      <c r="L57" s="8" t="str">
        <f>TOTAL_MOIS!U95</f>
        <v>OK</v>
      </c>
    </row>
    <row r="58" spans="1:12">
      <c r="A58" s="10">
        <v>247</v>
      </c>
      <c r="B58" s="14" t="s">
        <v>258</v>
      </c>
      <c r="C58" s="15" t="s">
        <v>259</v>
      </c>
      <c r="D58" s="10">
        <f>208</f>
        <v>208</v>
      </c>
      <c r="E58" s="10">
        <f>TOTAL_MOIS!M96</f>
        <v>47.5</v>
      </c>
      <c r="F58" s="8">
        <f>TOTAL_MOIS!N96</f>
        <v>0</v>
      </c>
      <c r="G58" s="8">
        <f>TOTAL_MOIS!O96</f>
        <v>0</v>
      </c>
      <c r="H58" s="8">
        <f>TOTAL_MOIS!P96</f>
        <v>0</v>
      </c>
      <c r="I58" s="8">
        <f>TOTAL_MOIS!Q96*8</f>
        <v>0</v>
      </c>
      <c r="J58" s="8">
        <f>TOTAL_MOIS!R96*8</f>
        <v>0</v>
      </c>
      <c r="K58" s="8">
        <f>IF(OR(TOTAL_MOIS!T96="STC",TOTAL_MOIS!U96="STC"),"STC",SUM(E58:G58,I58:J58))</f>
        <v>47.5</v>
      </c>
      <c r="L58" s="8" t="str">
        <f>TOTAL_MOIS!U96</f>
        <v>OK</v>
      </c>
    </row>
    <row r="59" spans="1:12">
      <c r="A59" s="10" t="s">
        <v>260</v>
      </c>
      <c r="B59" s="14" t="s">
        <v>261</v>
      </c>
      <c r="C59" s="15" t="s">
        <v>188</v>
      </c>
      <c r="D59" s="10">
        <f>208</f>
        <v>208</v>
      </c>
      <c r="E59" s="10">
        <f>TOTAL_MOIS!M97</f>
        <v>35.999999999999993</v>
      </c>
      <c r="F59" s="8">
        <f>TOTAL_MOIS!N97</f>
        <v>0</v>
      </c>
      <c r="G59" s="8">
        <f>TOTAL_MOIS!O97</f>
        <v>0</v>
      </c>
      <c r="H59" s="8">
        <f>TOTAL_MOIS!P97</f>
        <v>1</v>
      </c>
      <c r="I59" s="8">
        <f>TOTAL_MOIS!Q97*8</f>
        <v>0</v>
      </c>
      <c r="J59" s="8">
        <f>TOTAL_MOIS!R97*8</f>
        <v>0</v>
      </c>
      <c r="K59" s="8">
        <f>IF(OR(TOTAL_MOIS!T97="STC",TOTAL_MOIS!U97="STC"),"STC",SUM(E59:G59,I59:J59))</f>
        <v>35.999999999999993</v>
      </c>
      <c r="L59" s="8" t="str">
        <f>TOTAL_MOIS!U97</f>
        <v>OK</v>
      </c>
    </row>
    <row r="60" spans="1:12">
      <c r="A60" s="10">
        <v>242</v>
      </c>
      <c r="B60" s="14" t="s">
        <v>262</v>
      </c>
      <c r="C60" s="15" t="s">
        <v>263</v>
      </c>
      <c r="D60" s="10">
        <f>208</f>
        <v>208</v>
      </c>
      <c r="E60" s="10">
        <f>TOTAL_MOIS!M98</f>
        <v>35.999999999999993</v>
      </c>
      <c r="F60" s="8">
        <f>TOTAL_MOIS!N98</f>
        <v>0</v>
      </c>
      <c r="G60" s="8">
        <f>TOTAL_MOIS!O98</f>
        <v>0</v>
      </c>
      <c r="H60" s="8">
        <f>TOTAL_MOIS!P98</f>
        <v>1</v>
      </c>
      <c r="I60" s="8">
        <f>TOTAL_MOIS!Q98*8</f>
        <v>0</v>
      </c>
      <c r="J60" s="8">
        <f>TOTAL_MOIS!R98*8</f>
        <v>0</v>
      </c>
      <c r="K60" s="8">
        <f>IF(OR(TOTAL_MOIS!T98="STC",TOTAL_MOIS!U98="STC"),"STC",SUM(E60:G60,I60:J60))</f>
        <v>35.999999999999993</v>
      </c>
      <c r="L60" s="8" t="str">
        <f>TOTAL_MOIS!U98</f>
        <v>OK</v>
      </c>
    </row>
    <row r="61" spans="1:12">
      <c r="A61" s="10">
        <v>94</v>
      </c>
      <c r="B61" s="14" t="s">
        <v>264</v>
      </c>
      <c r="C61" s="15" t="s">
        <v>265</v>
      </c>
      <c r="D61" s="10">
        <f>208</f>
        <v>208</v>
      </c>
      <c r="E61" s="10">
        <f>TOTAL_MOIS!M99</f>
        <v>80.5</v>
      </c>
      <c r="F61" s="8">
        <f>TOTAL_MOIS!N99</f>
        <v>0</v>
      </c>
      <c r="G61" s="8">
        <f>TOTAL_MOIS!O99</f>
        <v>0</v>
      </c>
      <c r="H61" s="8">
        <f>TOTAL_MOIS!P99</f>
        <v>1</v>
      </c>
      <c r="I61" s="8">
        <f>TOTAL_MOIS!Q99*8</f>
        <v>0</v>
      </c>
      <c r="J61" s="8">
        <f>TOTAL_MOIS!R99*8</f>
        <v>0</v>
      </c>
      <c r="K61" s="8">
        <f>IF(OR(TOTAL_MOIS!T99="STC",TOTAL_MOIS!U99="STC"),"STC",SUM(E61:G61,I61:J61))</f>
        <v>80.5</v>
      </c>
      <c r="L61" s="8" t="str">
        <f>TOTAL_MOIS!U99</f>
        <v>OK</v>
      </c>
    </row>
    <row r="62" spans="1:12">
      <c r="A62" s="10" t="s">
        <v>266</v>
      </c>
      <c r="B62" s="14" t="s">
        <v>267</v>
      </c>
      <c r="C62" s="15" t="s">
        <v>63</v>
      </c>
      <c r="D62" s="10">
        <f>208</f>
        <v>208</v>
      </c>
      <c r="E62" s="10">
        <f>TOTAL_MOIS!M100</f>
        <v>44</v>
      </c>
      <c r="F62" s="8">
        <f>TOTAL_MOIS!N100</f>
        <v>0</v>
      </c>
      <c r="G62" s="8">
        <f>TOTAL_MOIS!O100</f>
        <v>0</v>
      </c>
      <c r="H62" s="8">
        <f>TOTAL_MOIS!P100</f>
        <v>0</v>
      </c>
      <c r="I62" s="8">
        <f>TOTAL_MOIS!Q100*8</f>
        <v>0</v>
      </c>
      <c r="J62" s="8">
        <f>TOTAL_MOIS!R100*8</f>
        <v>0</v>
      </c>
      <c r="K62" s="8">
        <f>IF(OR(TOTAL_MOIS!T100="STC",TOTAL_MOIS!U100="STC"),"STC",SUM(E62:G62,I62:J62))</f>
        <v>44</v>
      </c>
      <c r="L62" s="8" t="str">
        <f>TOTAL_MOIS!U100</f>
        <v>OK</v>
      </c>
    </row>
    <row r="63" spans="1:12">
      <c r="A63" s="10" t="s">
        <v>268</v>
      </c>
      <c r="B63" s="14" t="s">
        <v>269</v>
      </c>
      <c r="C63" s="15" t="s">
        <v>270</v>
      </c>
      <c r="D63" s="10">
        <f>208</f>
        <v>208</v>
      </c>
      <c r="E63" s="10">
        <f>TOTAL_MOIS!M101</f>
        <v>43</v>
      </c>
      <c r="F63" s="8">
        <f>TOTAL_MOIS!N101</f>
        <v>0</v>
      </c>
      <c r="G63" s="8">
        <f>TOTAL_MOIS!O101</f>
        <v>0</v>
      </c>
      <c r="H63" s="8">
        <f>TOTAL_MOIS!P101</f>
        <v>0</v>
      </c>
      <c r="I63" s="8">
        <f>TOTAL_MOIS!Q101*8</f>
        <v>0</v>
      </c>
      <c r="J63" s="8">
        <f>TOTAL_MOIS!R101*8</f>
        <v>0</v>
      </c>
      <c r="K63" s="8">
        <f>IF(OR(TOTAL_MOIS!T101="STC",TOTAL_MOIS!U101="STC"),"STC",SUM(E63:G63,I63:J63))</f>
        <v>43</v>
      </c>
      <c r="L63" s="8" t="str">
        <f>TOTAL_MOIS!U101</f>
        <v>OK</v>
      </c>
    </row>
    <row r="64" spans="1:12">
      <c r="A64" s="10" t="s">
        <v>271</v>
      </c>
      <c r="B64" s="14" t="s">
        <v>272</v>
      </c>
      <c r="C64" s="15" t="s">
        <v>273</v>
      </c>
      <c r="D64" s="10">
        <f>208</f>
        <v>208</v>
      </c>
      <c r="E64" s="10">
        <f>TOTAL_MOIS!M102</f>
        <v>34</v>
      </c>
      <c r="F64" s="8">
        <f>TOTAL_MOIS!N102</f>
        <v>0</v>
      </c>
      <c r="G64" s="8">
        <f>TOTAL_MOIS!O102</f>
        <v>0</v>
      </c>
      <c r="H64" s="8">
        <f>TOTAL_MOIS!P102</f>
        <v>1</v>
      </c>
      <c r="I64" s="8">
        <f>TOTAL_MOIS!Q102*8</f>
        <v>0</v>
      </c>
      <c r="J64" s="8">
        <f>TOTAL_MOIS!R102*8</f>
        <v>0</v>
      </c>
      <c r="K64" s="8">
        <f>IF(OR(TOTAL_MOIS!T102="STC",TOTAL_MOIS!U102="STC"),"STC",SUM(E64:G64,I64:J64))</f>
        <v>34</v>
      </c>
      <c r="L64" s="8" t="str">
        <f>TOTAL_MOIS!U102</f>
        <v>OK</v>
      </c>
    </row>
    <row r="65" spans="1:12">
      <c r="A65" s="10" t="s">
        <v>274</v>
      </c>
      <c r="B65" s="14" t="s">
        <v>272</v>
      </c>
      <c r="C65" s="15" t="s">
        <v>275</v>
      </c>
      <c r="D65" s="10">
        <f>208</f>
        <v>208</v>
      </c>
      <c r="E65" s="10">
        <f>TOTAL_MOIS!M103</f>
        <v>35.999999999999993</v>
      </c>
      <c r="F65" s="8">
        <f>TOTAL_MOIS!N103</f>
        <v>0</v>
      </c>
      <c r="G65" s="8">
        <f>TOTAL_MOIS!O103</f>
        <v>0</v>
      </c>
      <c r="H65" s="8">
        <f>TOTAL_MOIS!P103</f>
        <v>1</v>
      </c>
      <c r="I65" s="8">
        <f>TOTAL_MOIS!Q103*8</f>
        <v>0</v>
      </c>
      <c r="J65" s="8">
        <f>TOTAL_MOIS!R103*8</f>
        <v>0</v>
      </c>
      <c r="K65" s="8">
        <f>IF(OR(TOTAL_MOIS!T103="STC",TOTAL_MOIS!U103="STC"),"STC",SUM(E65:G65,I65:J65))</f>
        <v>35.999999999999993</v>
      </c>
      <c r="L65" s="8" t="str">
        <f>TOTAL_MOIS!U103</f>
        <v>OK</v>
      </c>
    </row>
    <row r="66" spans="1:12">
      <c r="A66" s="10" t="s">
        <v>276</v>
      </c>
      <c r="B66" s="14" t="s">
        <v>277</v>
      </c>
      <c r="C66" s="15" t="s">
        <v>278</v>
      </c>
      <c r="D66" s="10">
        <f>208</f>
        <v>208</v>
      </c>
      <c r="E66" s="10">
        <f>TOTAL_MOIS!M104</f>
        <v>35.999999999999993</v>
      </c>
      <c r="F66" s="8">
        <f>TOTAL_MOIS!N104</f>
        <v>0</v>
      </c>
      <c r="G66" s="8">
        <f>TOTAL_MOIS!O104</f>
        <v>0</v>
      </c>
      <c r="H66" s="8">
        <f>TOTAL_MOIS!P104</f>
        <v>1</v>
      </c>
      <c r="I66" s="8">
        <f>TOTAL_MOIS!Q104*8</f>
        <v>0</v>
      </c>
      <c r="J66" s="8">
        <f>TOTAL_MOIS!R104*8</f>
        <v>0</v>
      </c>
      <c r="K66" s="8">
        <f>IF(OR(TOTAL_MOIS!T104="STC",TOTAL_MOIS!U104="STC"),"STC",SUM(E66:G66,I66:J66))</f>
        <v>35.999999999999993</v>
      </c>
      <c r="L66" s="8" t="str">
        <f>TOTAL_MOIS!U104</f>
        <v>OK</v>
      </c>
    </row>
    <row r="67" spans="1:12">
      <c r="A67" s="10">
        <v>215</v>
      </c>
      <c r="B67" s="14" t="s">
        <v>279</v>
      </c>
      <c r="C67" s="15" t="s">
        <v>280</v>
      </c>
      <c r="D67" s="10">
        <f>208</f>
        <v>208</v>
      </c>
      <c r="E67" s="10">
        <f>TOTAL_MOIS!M105</f>
        <v>47.5</v>
      </c>
      <c r="F67" s="8">
        <f>TOTAL_MOIS!N105</f>
        <v>0</v>
      </c>
      <c r="G67" s="8">
        <f>TOTAL_MOIS!O105</f>
        <v>0</v>
      </c>
      <c r="H67" s="8">
        <f>TOTAL_MOIS!P105</f>
        <v>0</v>
      </c>
      <c r="I67" s="8">
        <f>TOTAL_MOIS!Q105*8</f>
        <v>0</v>
      </c>
      <c r="J67" s="8">
        <f>TOTAL_MOIS!R105*8</f>
        <v>0</v>
      </c>
      <c r="K67" s="8">
        <f>IF(OR(TOTAL_MOIS!T105="STC",TOTAL_MOIS!U105="STC"),"STC",SUM(E67:G67,I67:J67))</f>
        <v>47.5</v>
      </c>
      <c r="L67" s="8" t="str">
        <f>TOTAL_MOIS!U105</f>
        <v>OK</v>
      </c>
    </row>
    <row r="68" spans="1:12">
      <c r="A68" s="10">
        <v>204</v>
      </c>
      <c r="B68" s="14" t="s">
        <v>281</v>
      </c>
      <c r="C68" s="15" t="s">
        <v>282</v>
      </c>
      <c r="D68" s="10">
        <f>208</f>
        <v>208</v>
      </c>
      <c r="E68" s="10">
        <f>TOTAL_MOIS!M106</f>
        <v>47.5</v>
      </c>
      <c r="F68" s="8">
        <f>TOTAL_MOIS!N106</f>
        <v>0</v>
      </c>
      <c r="G68" s="8">
        <f>TOTAL_MOIS!O106</f>
        <v>0</v>
      </c>
      <c r="H68" s="8">
        <f>TOTAL_MOIS!P106</f>
        <v>0</v>
      </c>
      <c r="I68" s="8">
        <f>TOTAL_MOIS!Q106*8</f>
        <v>0</v>
      </c>
      <c r="J68" s="8">
        <f>TOTAL_MOIS!R106*8</f>
        <v>0</v>
      </c>
      <c r="K68" s="8">
        <f>IF(OR(TOTAL_MOIS!T106="STC",TOTAL_MOIS!U106="STC"),"STC",SUM(E68:G68,I68:J68))</f>
        <v>47.5</v>
      </c>
      <c r="L68" s="8" t="str">
        <f>TOTAL_MOIS!U106</f>
        <v>OK</v>
      </c>
    </row>
    <row r="69" spans="1:12">
      <c r="A69" s="10" t="s">
        <v>283</v>
      </c>
      <c r="B69" s="14" t="s">
        <v>284</v>
      </c>
      <c r="C69" s="15" t="s">
        <v>285</v>
      </c>
      <c r="D69" s="10">
        <f>208</f>
        <v>208</v>
      </c>
      <c r="E69" s="10">
        <f>TOTAL_MOIS!M107</f>
        <v>47.5</v>
      </c>
      <c r="F69" s="8">
        <f>TOTAL_MOIS!N107</f>
        <v>0</v>
      </c>
      <c r="G69" s="8">
        <f>TOTAL_MOIS!O107</f>
        <v>0</v>
      </c>
      <c r="H69" s="8">
        <f>TOTAL_MOIS!P107</f>
        <v>0</v>
      </c>
      <c r="I69" s="8">
        <f>TOTAL_MOIS!Q107*8</f>
        <v>0</v>
      </c>
      <c r="J69" s="8">
        <f>TOTAL_MOIS!R107*8</f>
        <v>0</v>
      </c>
      <c r="K69" s="8">
        <f>IF(OR(TOTAL_MOIS!T107="STC",TOTAL_MOIS!U107="STC"),"STC",SUM(E69:G69,I69:J69))</f>
        <v>47.5</v>
      </c>
      <c r="L69" s="8" t="str">
        <f>TOTAL_MOIS!U107</f>
        <v>OK</v>
      </c>
    </row>
    <row r="70" spans="1:12">
      <c r="A70" s="10" t="s">
        <v>286</v>
      </c>
      <c r="B70" s="14" t="s">
        <v>63</v>
      </c>
      <c r="C70" s="15" t="s">
        <v>287</v>
      </c>
      <c r="D70" s="10">
        <f>208</f>
        <v>208</v>
      </c>
      <c r="E70" s="10">
        <f>TOTAL_MOIS!M108</f>
        <v>47.5</v>
      </c>
      <c r="F70" s="8">
        <f>TOTAL_MOIS!N108</f>
        <v>0</v>
      </c>
      <c r="G70" s="8">
        <f>TOTAL_MOIS!O108</f>
        <v>0</v>
      </c>
      <c r="H70" s="8">
        <f>TOTAL_MOIS!P108</f>
        <v>0</v>
      </c>
      <c r="I70" s="8">
        <f>TOTAL_MOIS!Q108*8</f>
        <v>0</v>
      </c>
      <c r="J70" s="8">
        <f>TOTAL_MOIS!R108*8</f>
        <v>0</v>
      </c>
      <c r="K70" s="8">
        <f>IF(OR(TOTAL_MOIS!T108="STC",TOTAL_MOIS!U108="STC"),"STC",SUM(E70:G70,I70:J70))</f>
        <v>47.5</v>
      </c>
      <c r="L70" s="8" t="str">
        <f>TOTAL_MOIS!U108</f>
        <v>OK</v>
      </c>
    </row>
    <row r="71" spans="1:12">
      <c r="A71" s="10" t="s">
        <v>288</v>
      </c>
      <c r="B71" s="14" t="s">
        <v>289</v>
      </c>
      <c r="C71" s="15" t="s">
        <v>290</v>
      </c>
      <c r="D71" s="10">
        <f>208</f>
        <v>208</v>
      </c>
      <c r="E71" s="10">
        <f>TOTAL_MOIS!M109</f>
        <v>47.5</v>
      </c>
      <c r="F71" s="8">
        <f>TOTAL_MOIS!N109</f>
        <v>0</v>
      </c>
      <c r="G71" s="8">
        <f>TOTAL_MOIS!O109</f>
        <v>0</v>
      </c>
      <c r="H71" s="8">
        <f>TOTAL_MOIS!P109</f>
        <v>0</v>
      </c>
      <c r="I71" s="8">
        <f>TOTAL_MOIS!Q109*8</f>
        <v>0</v>
      </c>
      <c r="J71" s="8">
        <f>TOTAL_MOIS!R109*8</f>
        <v>0</v>
      </c>
      <c r="K71" s="8">
        <f>IF(OR(TOTAL_MOIS!T109="STC",TOTAL_MOIS!U109="STC"),"STC",SUM(E71:G71,I71:J71))</f>
        <v>47.5</v>
      </c>
      <c r="L71" s="8" t="str">
        <f>TOTAL_MOIS!U109</f>
        <v>OK</v>
      </c>
    </row>
    <row r="72" spans="1:12">
      <c r="A72" s="10" t="s">
        <v>291</v>
      </c>
      <c r="B72" s="14" t="s">
        <v>292</v>
      </c>
      <c r="C72" s="15" t="s">
        <v>77</v>
      </c>
      <c r="D72" s="10">
        <f>208</f>
        <v>208</v>
      </c>
      <c r="E72" s="10">
        <f>TOTAL_MOIS!M110</f>
        <v>35.5</v>
      </c>
      <c r="F72" s="8">
        <f>TOTAL_MOIS!N110</f>
        <v>0</v>
      </c>
      <c r="G72" s="8">
        <f>TOTAL_MOIS!O110</f>
        <v>0</v>
      </c>
      <c r="H72" s="8">
        <f>TOTAL_MOIS!P110</f>
        <v>0</v>
      </c>
      <c r="I72" s="8">
        <f>TOTAL_MOIS!Q110*8</f>
        <v>0</v>
      </c>
      <c r="J72" s="8">
        <f>TOTAL_MOIS!R110*8</f>
        <v>0</v>
      </c>
      <c r="K72" s="8">
        <f>IF(OR(TOTAL_MOIS!T110="STC",TOTAL_MOIS!U110="STC"),"STC",SUM(E72:G72,I72:J72))</f>
        <v>35.5</v>
      </c>
      <c r="L72" s="8" t="str">
        <f>TOTAL_MOIS!U110</f>
        <v>OK</v>
      </c>
    </row>
    <row r="73" spans="1:12">
      <c r="A73" s="10" t="s">
        <v>293</v>
      </c>
      <c r="B73" s="14" t="s">
        <v>294</v>
      </c>
      <c r="C73" s="15" t="s">
        <v>295</v>
      </c>
      <c r="D73" s="10">
        <f>208</f>
        <v>208</v>
      </c>
      <c r="E73" s="10">
        <f>TOTAL_MOIS!M111</f>
        <v>47.5</v>
      </c>
      <c r="F73" s="8">
        <f>TOTAL_MOIS!N111</f>
        <v>0</v>
      </c>
      <c r="G73" s="8">
        <f>TOTAL_MOIS!O111</f>
        <v>0</v>
      </c>
      <c r="H73" s="8">
        <f>TOTAL_MOIS!P111</f>
        <v>0</v>
      </c>
      <c r="I73" s="8">
        <f>TOTAL_MOIS!Q111*8</f>
        <v>0</v>
      </c>
      <c r="J73" s="8">
        <f>TOTAL_MOIS!R111*8</f>
        <v>0</v>
      </c>
      <c r="K73" s="8">
        <f>IF(OR(TOTAL_MOIS!T111="STC",TOTAL_MOIS!U111="STC"),"STC",SUM(E73:G73,I73:J73))</f>
        <v>47.5</v>
      </c>
      <c r="L73" s="8" t="str">
        <f>TOTAL_MOIS!U111</f>
        <v>OK</v>
      </c>
    </row>
    <row r="74" spans="1:12">
      <c r="A74" s="10" t="s">
        <v>296</v>
      </c>
      <c r="B74" s="14" t="s">
        <v>217</v>
      </c>
      <c r="C74" s="15" t="s">
        <v>297</v>
      </c>
      <c r="D74" s="10">
        <f>208</f>
        <v>208</v>
      </c>
      <c r="E74" s="10">
        <f>TOTAL_MOIS!M112</f>
        <v>45.499999999999993</v>
      </c>
      <c r="F74" s="8">
        <f>TOTAL_MOIS!N112</f>
        <v>0</v>
      </c>
      <c r="G74" s="8">
        <f>TOTAL_MOIS!O112</f>
        <v>0</v>
      </c>
      <c r="H74" s="8">
        <f>TOTAL_MOIS!P112</f>
        <v>0</v>
      </c>
      <c r="I74" s="8">
        <f>TOTAL_MOIS!Q112*8</f>
        <v>0</v>
      </c>
      <c r="J74" s="8">
        <f>TOTAL_MOIS!R112*8</f>
        <v>0</v>
      </c>
      <c r="K74" s="8">
        <f>IF(OR(TOTAL_MOIS!T112="STC",TOTAL_MOIS!U112="STC"),"STC",SUM(E74:G74,I74:J74))</f>
        <v>45.499999999999993</v>
      </c>
      <c r="L74" s="8" t="str">
        <f>TOTAL_MOIS!U112</f>
        <v>OK</v>
      </c>
    </row>
    <row r="75" spans="1:12">
      <c r="A75" s="10">
        <v>89</v>
      </c>
      <c r="B75" s="14" t="s">
        <v>298</v>
      </c>
      <c r="C75" s="15" t="s">
        <v>299</v>
      </c>
      <c r="D75" s="10">
        <f>208</f>
        <v>208</v>
      </c>
      <c r="E75" s="10">
        <f>TOTAL_MOIS!M113</f>
        <v>43.999999999999993</v>
      </c>
      <c r="F75" s="8">
        <f>TOTAL_MOIS!N113</f>
        <v>0</v>
      </c>
      <c r="G75" s="8">
        <f>TOTAL_MOIS!O113</f>
        <v>0</v>
      </c>
      <c r="H75" s="8">
        <f>TOTAL_MOIS!P113</f>
        <v>0</v>
      </c>
      <c r="I75" s="8">
        <f>TOTAL_MOIS!Q113*8</f>
        <v>0</v>
      </c>
      <c r="J75" s="8">
        <f>TOTAL_MOIS!R113*8</f>
        <v>0</v>
      </c>
      <c r="K75" s="8">
        <f>IF(OR(TOTAL_MOIS!T113="STC",TOTAL_MOIS!U113="STC"),"STC",SUM(E75:G75,I75:J75))</f>
        <v>43.999999999999993</v>
      </c>
      <c r="L75" s="8" t="str">
        <f>TOTAL_MOIS!U113</f>
        <v>OK</v>
      </c>
    </row>
  </sheetData>
  <mergeCells count="1">
    <mergeCell ref="A1:L1"/>
  </mergeCells>
  <conditionalFormatting sqref="F3:K75">
    <cfRule type="cellIs" dxfId="23" priority="2" operator="greaterThan">
      <formula>0</formula>
    </cfRule>
  </conditionalFormatting>
  <conditionalFormatting sqref="L3:L75">
    <cfRule type="cellIs" dxfId="22" priority="1" operator="greaterThanOrEqual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6"/>
  <sheetViews>
    <sheetView workbookViewId="0"/>
  </sheetViews>
  <sheetFormatPr baseColWidth="10" defaultColWidth="9" defaultRowHeight="14.25"/>
  <cols>
    <col min="1" max="1" width="12" customWidth="1"/>
    <col min="2" max="2" width="28" customWidth="1"/>
    <col min="3" max="3" width="18" customWidth="1"/>
    <col min="4" max="4" width="45" customWidth="1"/>
    <col min="6" max="6" width="24" customWidth="1"/>
    <col min="7" max="7" width="16" customWidth="1"/>
    <col min="8" max="8" width="26" customWidth="1"/>
  </cols>
  <sheetData>
    <row r="1" spans="1:8" ht="18">
      <c r="A1" s="34" t="s">
        <v>361</v>
      </c>
      <c r="B1" s="34"/>
      <c r="C1" s="34"/>
      <c r="D1" s="34"/>
      <c r="E1" s="34"/>
      <c r="F1" s="34"/>
      <c r="G1" s="34"/>
      <c r="H1" s="34"/>
    </row>
    <row r="2" spans="1:8" ht="15">
      <c r="A2" s="1" t="s">
        <v>1</v>
      </c>
      <c r="B2" s="1" t="s">
        <v>362</v>
      </c>
      <c r="C2" s="1" t="s">
        <v>363</v>
      </c>
      <c r="D2" s="1" t="s">
        <v>364</v>
      </c>
      <c r="F2" s="1" t="s">
        <v>363</v>
      </c>
      <c r="G2" s="1" t="s">
        <v>365</v>
      </c>
      <c r="H2" s="1" t="s">
        <v>366</v>
      </c>
    </row>
    <row r="3" spans="1:8">
      <c r="A3" s="2" t="s">
        <v>109</v>
      </c>
      <c r="B3" s="2" t="s">
        <v>367</v>
      </c>
      <c r="C3" s="2" t="s">
        <v>368</v>
      </c>
      <c r="D3" s="2" t="s">
        <v>369</v>
      </c>
      <c r="F3" s="2" t="s">
        <v>370</v>
      </c>
      <c r="G3" s="2" t="s">
        <v>371</v>
      </c>
      <c r="H3" s="2" t="s">
        <v>372</v>
      </c>
    </row>
    <row r="4" spans="1:8">
      <c r="A4" s="2" t="s">
        <v>373</v>
      </c>
      <c r="B4" s="2" t="s">
        <v>374</v>
      </c>
      <c r="C4" s="2" t="s">
        <v>368</v>
      </c>
      <c r="D4" s="2" t="s">
        <v>369</v>
      </c>
      <c r="F4" s="2" t="s">
        <v>370</v>
      </c>
      <c r="G4" s="2" t="s">
        <v>375</v>
      </c>
      <c r="H4" s="2" t="s">
        <v>372</v>
      </c>
    </row>
    <row r="5" spans="1:8">
      <c r="A5" s="2" t="s">
        <v>376</v>
      </c>
      <c r="B5" s="2" t="s">
        <v>377</v>
      </c>
      <c r="C5" s="2" t="s">
        <v>368</v>
      </c>
      <c r="D5" s="2" t="s">
        <v>369</v>
      </c>
      <c r="F5" s="2" t="s">
        <v>370</v>
      </c>
      <c r="G5" s="2" t="s">
        <v>378</v>
      </c>
      <c r="H5" s="2" t="s">
        <v>372</v>
      </c>
    </row>
    <row r="6" spans="1:8">
      <c r="A6" s="2" t="s">
        <v>379</v>
      </c>
      <c r="B6" s="2" t="s">
        <v>380</v>
      </c>
      <c r="C6" s="2" t="s">
        <v>368</v>
      </c>
      <c r="D6" s="2" t="s">
        <v>369</v>
      </c>
      <c r="F6" s="2"/>
      <c r="G6" s="2"/>
      <c r="H6" s="2"/>
    </row>
    <row r="7" spans="1:8">
      <c r="A7" s="2" t="s">
        <v>381</v>
      </c>
      <c r="B7" s="2" t="s">
        <v>382</v>
      </c>
      <c r="C7" s="2" t="s">
        <v>368</v>
      </c>
      <c r="D7" s="2" t="s">
        <v>369</v>
      </c>
      <c r="F7" s="2" t="s">
        <v>383</v>
      </c>
      <c r="G7" s="2" t="s">
        <v>384</v>
      </c>
      <c r="H7" s="2" t="s">
        <v>385</v>
      </c>
    </row>
    <row r="8" spans="1:8">
      <c r="A8" s="2" t="s">
        <v>386</v>
      </c>
      <c r="B8" s="2" t="s">
        <v>387</v>
      </c>
      <c r="C8" s="2" t="s">
        <v>368</v>
      </c>
      <c r="D8" s="2" t="s">
        <v>369</v>
      </c>
      <c r="F8" s="2" t="s">
        <v>388</v>
      </c>
      <c r="G8" s="2" t="s">
        <v>389</v>
      </c>
      <c r="H8" s="2" t="s">
        <v>390</v>
      </c>
    </row>
    <row r="9" spans="1:8">
      <c r="A9" s="2" t="s">
        <v>391</v>
      </c>
      <c r="B9" s="2" t="s">
        <v>392</v>
      </c>
      <c r="C9" s="2" t="s">
        <v>368</v>
      </c>
      <c r="D9" s="2" t="s">
        <v>369</v>
      </c>
    </row>
    <row r="10" spans="1:8" ht="24" customHeight="1">
      <c r="A10" s="2" t="s">
        <v>38</v>
      </c>
      <c r="B10" s="2" t="s">
        <v>393</v>
      </c>
      <c r="C10" s="2" t="s">
        <v>370</v>
      </c>
      <c r="D10" s="2" t="s">
        <v>394</v>
      </c>
      <c r="F10" s="35" t="s">
        <v>395</v>
      </c>
      <c r="G10" s="35"/>
      <c r="H10" s="35"/>
    </row>
    <row r="11" spans="1:8" ht="24" customHeight="1">
      <c r="A11" s="2" t="s">
        <v>41</v>
      </c>
      <c r="B11" s="2" t="s">
        <v>396</v>
      </c>
      <c r="C11" s="2" t="s">
        <v>370</v>
      </c>
      <c r="D11" s="2" t="s">
        <v>394</v>
      </c>
      <c r="F11" s="21" t="s">
        <v>384</v>
      </c>
      <c r="G11" s="21" t="s">
        <v>397</v>
      </c>
      <c r="H11" s="21" t="s">
        <v>398</v>
      </c>
    </row>
    <row r="12" spans="1:8" ht="24" customHeight="1">
      <c r="A12" s="2" t="s">
        <v>32</v>
      </c>
      <c r="B12" s="2" t="s">
        <v>399</v>
      </c>
      <c r="C12" s="2" t="s">
        <v>370</v>
      </c>
      <c r="D12" s="2" t="s">
        <v>394</v>
      </c>
      <c r="F12" s="22" t="s">
        <v>312</v>
      </c>
      <c r="G12" s="22" t="s">
        <v>400</v>
      </c>
      <c r="H12" s="22" t="s">
        <v>401</v>
      </c>
    </row>
    <row r="13" spans="1:8" ht="24" customHeight="1">
      <c r="A13" s="2" t="s">
        <v>44</v>
      </c>
      <c r="B13" s="2" t="s">
        <v>402</v>
      </c>
      <c r="C13" s="2" t="s">
        <v>370</v>
      </c>
      <c r="D13" s="2" t="s">
        <v>394</v>
      </c>
      <c r="F13" s="23" t="s">
        <v>403</v>
      </c>
      <c r="G13" s="23" t="s">
        <v>404</v>
      </c>
      <c r="H13" s="23" t="s">
        <v>405</v>
      </c>
    </row>
    <row r="14" spans="1:8" ht="24" customHeight="1">
      <c r="A14" s="2" t="s">
        <v>286</v>
      </c>
      <c r="B14" s="2" t="s">
        <v>406</v>
      </c>
      <c r="C14" s="2" t="s">
        <v>370</v>
      </c>
      <c r="D14" s="2" t="s">
        <v>394</v>
      </c>
      <c r="F14" s="24" t="s">
        <v>407</v>
      </c>
      <c r="G14" s="24" t="s">
        <v>404</v>
      </c>
      <c r="H14" s="24" t="s">
        <v>408</v>
      </c>
    </row>
    <row r="15" spans="1:8">
      <c r="A15" s="2" t="s">
        <v>137</v>
      </c>
      <c r="B15" s="2" t="s">
        <v>409</v>
      </c>
      <c r="C15" s="2" t="s">
        <v>370</v>
      </c>
      <c r="D15" s="2" t="s">
        <v>394</v>
      </c>
    </row>
    <row r="16" spans="1:8">
      <c r="A16" s="2" t="s">
        <v>192</v>
      </c>
      <c r="B16" s="2" t="s">
        <v>410</v>
      </c>
      <c r="C16" s="2" t="s">
        <v>370</v>
      </c>
      <c r="D16" s="2" t="s">
        <v>394</v>
      </c>
    </row>
    <row r="17" spans="1:8">
      <c r="A17" s="2" t="s">
        <v>266</v>
      </c>
      <c r="B17" s="2" t="s">
        <v>411</v>
      </c>
      <c r="C17" s="2" t="s">
        <v>370</v>
      </c>
      <c r="D17" s="2" t="s">
        <v>394</v>
      </c>
    </row>
    <row r="18" spans="1:8">
      <c r="A18" s="2" t="s">
        <v>268</v>
      </c>
      <c r="B18" s="2" t="s">
        <v>412</v>
      </c>
      <c r="C18" s="2" t="s">
        <v>370</v>
      </c>
      <c r="D18" s="2" t="s">
        <v>394</v>
      </c>
    </row>
    <row r="19" spans="1:8">
      <c r="A19" s="2" t="s">
        <v>181</v>
      </c>
      <c r="B19" s="2" t="s">
        <v>413</v>
      </c>
      <c r="C19" s="2" t="s">
        <v>370</v>
      </c>
      <c r="D19" s="2" t="s">
        <v>394</v>
      </c>
    </row>
    <row r="20" spans="1:8" ht="15">
      <c r="A20" s="2" t="s">
        <v>140</v>
      </c>
      <c r="B20" s="2" t="s">
        <v>414</v>
      </c>
      <c r="C20" s="2" t="s">
        <v>370</v>
      </c>
      <c r="D20" s="2" t="s">
        <v>394</v>
      </c>
      <c r="F20" s="26" t="s">
        <v>415</v>
      </c>
      <c r="G20" s="26" t="s">
        <v>416</v>
      </c>
      <c r="H20" s="26" t="s">
        <v>417</v>
      </c>
    </row>
    <row r="21" spans="1:8">
      <c r="A21" s="2" t="s">
        <v>271</v>
      </c>
      <c r="B21" s="2" t="s">
        <v>418</v>
      </c>
      <c r="C21" s="2" t="s">
        <v>370</v>
      </c>
      <c r="D21" s="2" t="s">
        <v>394</v>
      </c>
      <c r="F21" t="s">
        <v>312</v>
      </c>
      <c r="G21" t="s">
        <v>419</v>
      </c>
      <c r="H21" t="s">
        <v>400</v>
      </c>
    </row>
    <row r="22" spans="1:8" ht="15">
      <c r="A22" s="2" t="s">
        <v>213</v>
      </c>
      <c r="B22" s="2" t="s">
        <v>420</v>
      </c>
      <c r="C22" s="2" t="s">
        <v>370</v>
      </c>
      <c r="D22" s="2" t="s">
        <v>394</v>
      </c>
      <c r="F22" s="27" t="s">
        <v>313</v>
      </c>
      <c r="G22" s="27" t="s">
        <v>403</v>
      </c>
      <c r="H22" s="27" t="s">
        <v>404</v>
      </c>
    </row>
    <row r="23" spans="1:8" ht="15">
      <c r="A23" s="2" t="s">
        <v>252</v>
      </c>
      <c r="B23" s="2" t="s">
        <v>421</v>
      </c>
      <c r="C23" s="2" t="s">
        <v>370</v>
      </c>
      <c r="D23" s="2" t="s">
        <v>394</v>
      </c>
      <c r="F23" s="27" t="s">
        <v>310</v>
      </c>
      <c r="G23" s="27" t="s">
        <v>407</v>
      </c>
      <c r="H23" s="27" t="s">
        <v>404</v>
      </c>
    </row>
    <row r="24" spans="1:8">
      <c r="A24" s="2" t="s">
        <v>422</v>
      </c>
      <c r="B24" s="2" t="s">
        <v>423</v>
      </c>
      <c r="C24" s="2" t="s">
        <v>370</v>
      </c>
      <c r="D24" s="2" t="s">
        <v>394</v>
      </c>
      <c r="F24" t="s">
        <v>424</v>
      </c>
      <c r="G24" t="s">
        <v>425</v>
      </c>
      <c r="H24" t="s">
        <v>426</v>
      </c>
    </row>
    <row r="25" spans="1:8">
      <c r="A25" s="2" t="s">
        <v>427</v>
      </c>
      <c r="B25" s="2" t="s">
        <v>428</v>
      </c>
      <c r="C25" s="2" t="s">
        <v>370</v>
      </c>
      <c r="D25" s="2" t="s">
        <v>394</v>
      </c>
    </row>
    <row r="26" spans="1:8">
      <c r="A26" s="2" t="s">
        <v>429</v>
      </c>
      <c r="B26" s="2" t="s">
        <v>430</v>
      </c>
      <c r="C26" s="2" t="s">
        <v>370</v>
      </c>
      <c r="D26" s="2" t="s">
        <v>394</v>
      </c>
    </row>
  </sheetData>
  <mergeCells count="2">
    <mergeCell ref="A1:H1"/>
    <mergeCell ref="F10:H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68"/>
  <sheetViews>
    <sheetView workbookViewId="0"/>
  </sheetViews>
  <sheetFormatPr baseColWidth="10" defaultColWidth="9" defaultRowHeight="14.25"/>
  <sheetData>
    <row r="1" spans="1:8" ht="15">
      <c r="A1" s="31" t="s">
        <v>1241</v>
      </c>
      <c r="B1" s="31" t="s">
        <v>1242</v>
      </c>
      <c r="C1" s="31" t="s">
        <v>2</v>
      </c>
      <c r="D1" s="31" t="s">
        <v>1243</v>
      </c>
      <c r="E1" s="31" t="s">
        <v>1244</v>
      </c>
      <c r="F1" s="31" t="s">
        <v>1245</v>
      </c>
      <c r="G1" s="31" t="s">
        <v>1246</v>
      </c>
      <c r="H1" s="31" t="s">
        <v>1247</v>
      </c>
    </row>
    <row r="2" spans="1:8">
      <c r="A2" t="s">
        <v>431</v>
      </c>
      <c r="B2">
        <v>4</v>
      </c>
      <c r="C2" t="s">
        <v>1248</v>
      </c>
      <c r="D2" t="s">
        <v>1249</v>
      </c>
      <c r="F2" t="s">
        <v>463</v>
      </c>
      <c r="G2" t="s">
        <v>474</v>
      </c>
      <c r="H2">
        <v>0</v>
      </c>
    </row>
    <row r="3" spans="1:8">
      <c r="A3" t="s">
        <v>431</v>
      </c>
      <c r="B3">
        <v>4</v>
      </c>
      <c r="C3" t="s">
        <v>1248</v>
      </c>
      <c r="D3" t="s">
        <v>1250</v>
      </c>
      <c r="F3" t="s">
        <v>434</v>
      </c>
      <c r="G3" t="s">
        <v>474</v>
      </c>
      <c r="H3">
        <v>0</v>
      </c>
    </row>
    <row r="4" spans="1:8">
      <c r="A4" t="s">
        <v>431</v>
      </c>
      <c r="B4">
        <v>12</v>
      </c>
      <c r="C4" t="s">
        <v>1251</v>
      </c>
      <c r="D4" t="s">
        <v>1252</v>
      </c>
      <c r="F4" t="s">
        <v>463</v>
      </c>
      <c r="G4" t="s">
        <v>474</v>
      </c>
      <c r="H4">
        <v>0</v>
      </c>
    </row>
    <row r="5" spans="1:8">
      <c r="A5" t="s">
        <v>431</v>
      </c>
      <c r="B5">
        <v>12</v>
      </c>
      <c r="C5" t="s">
        <v>1251</v>
      </c>
      <c r="D5" t="s">
        <v>1253</v>
      </c>
      <c r="F5" t="s">
        <v>434</v>
      </c>
      <c r="G5" t="s">
        <v>474</v>
      </c>
      <c r="H5">
        <v>0</v>
      </c>
    </row>
    <row r="6" spans="1:8">
      <c r="A6" t="s">
        <v>431</v>
      </c>
      <c r="B6">
        <v>17</v>
      </c>
      <c r="C6" t="s">
        <v>1254</v>
      </c>
      <c r="D6" t="s">
        <v>1255</v>
      </c>
      <c r="F6" t="s">
        <v>434</v>
      </c>
      <c r="G6" t="s">
        <v>435</v>
      </c>
      <c r="H6">
        <v>0</v>
      </c>
    </row>
    <row r="7" spans="1:8">
      <c r="A7" t="s">
        <v>431</v>
      </c>
      <c r="B7">
        <v>17</v>
      </c>
      <c r="C7" t="s">
        <v>1254</v>
      </c>
      <c r="D7" t="s">
        <v>1256</v>
      </c>
      <c r="F7" t="s">
        <v>434</v>
      </c>
      <c r="G7" t="s">
        <v>474</v>
      </c>
      <c r="H7">
        <v>0</v>
      </c>
    </row>
    <row r="8" spans="1:8">
      <c r="A8" t="s">
        <v>431</v>
      </c>
      <c r="B8">
        <v>16</v>
      </c>
      <c r="C8" t="s">
        <v>1257</v>
      </c>
      <c r="D8" t="s">
        <v>1258</v>
      </c>
      <c r="F8" t="s">
        <v>434</v>
      </c>
      <c r="G8" t="s">
        <v>435</v>
      </c>
      <c r="H8">
        <v>0</v>
      </c>
    </row>
    <row r="9" spans="1:8">
      <c r="A9" t="s">
        <v>431</v>
      </c>
      <c r="B9">
        <v>16</v>
      </c>
      <c r="C9" t="s">
        <v>1257</v>
      </c>
      <c r="D9" t="s">
        <v>1259</v>
      </c>
      <c r="F9" t="s">
        <v>434</v>
      </c>
      <c r="G9" t="s">
        <v>435</v>
      </c>
      <c r="H9">
        <v>0</v>
      </c>
    </row>
    <row r="10" spans="1:8">
      <c r="A10" t="s">
        <v>431</v>
      </c>
      <c r="B10">
        <v>13</v>
      </c>
      <c r="C10" t="s">
        <v>1260</v>
      </c>
      <c r="D10" t="s">
        <v>1261</v>
      </c>
      <c r="F10" t="s">
        <v>463</v>
      </c>
      <c r="G10" t="s">
        <v>474</v>
      </c>
      <c r="H10">
        <v>0</v>
      </c>
    </row>
    <row r="11" spans="1:8">
      <c r="A11" t="s">
        <v>431</v>
      </c>
      <c r="B11">
        <v>13</v>
      </c>
      <c r="C11" t="s">
        <v>1260</v>
      </c>
      <c r="D11" t="s">
        <v>1262</v>
      </c>
      <c r="F11" t="s">
        <v>434</v>
      </c>
      <c r="G11" t="s">
        <v>474</v>
      </c>
      <c r="H11">
        <v>0</v>
      </c>
    </row>
    <row r="12" spans="1:8">
      <c r="A12" t="s">
        <v>431</v>
      </c>
      <c r="B12">
        <v>13</v>
      </c>
      <c r="C12" t="s">
        <v>1260</v>
      </c>
      <c r="D12" t="s">
        <v>1263</v>
      </c>
      <c r="F12" t="s">
        <v>434</v>
      </c>
      <c r="G12" t="s">
        <v>474</v>
      </c>
      <c r="H12">
        <v>0</v>
      </c>
    </row>
    <row r="13" spans="1:8">
      <c r="A13" t="s">
        <v>431</v>
      </c>
      <c r="B13">
        <v>10</v>
      </c>
      <c r="C13" t="s">
        <v>1264</v>
      </c>
      <c r="D13" t="s">
        <v>1265</v>
      </c>
      <c r="F13" t="s">
        <v>434</v>
      </c>
      <c r="G13" t="s">
        <v>459</v>
      </c>
      <c r="H13">
        <v>0</v>
      </c>
    </row>
    <row r="14" spans="1:8">
      <c r="A14" t="s">
        <v>431</v>
      </c>
      <c r="B14">
        <v>10</v>
      </c>
      <c r="C14" t="s">
        <v>1264</v>
      </c>
      <c r="D14" t="s">
        <v>1266</v>
      </c>
      <c r="F14" t="s">
        <v>463</v>
      </c>
      <c r="G14" t="s">
        <v>459</v>
      </c>
      <c r="H14">
        <v>0</v>
      </c>
    </row>
    <row r="15" spans="1:8">
      <c r="A15" t="s">
        <v>431</v>
      </c>
      <c r="B15">
        <v>14</v>
      </c>
      <c r="C15" t="s">
        <v>1267</v>
      </c>
      <c r="D15" t="s">
        <v>1268</v>
      </c>
      <c r="F15" t="s">
        <v>434</v>
      </c>
      <c r="G15" t="s">
        <v>435</v>
      </c>
      <c r="H15">
        <v>0</v>
      </c>
    </row>
    <row r="16" spans="1:8">
      <c r="A16" t="s">
        <v>431</v>
      </c>
      <c r="B16">
        <v>14</v>
      </c>
      <c r="C16" t="s">
        <v>1267</v>
      </c>
      <c r="D16" t="s">
        <v>1269</v>
      </c>
      <c r="F16" t="s">
        <v>434</v>
      </c>
      <c r="G16" t="s">
        <v>459</v>
      </c>
      <c r="H16">
        <v>0</v>
      </c>
    </row>
    <row r="17" spans="1:8">
      <c r="A17" t="s">
        <v>431</v>
      </c>
      <c r="B17">
        <v>6</v>
      </c>
      <c r="C17" t="s">
        <v>1270</v>
      </c>
      <c r="D17" t="s">
        <v>1271</v>
      </c>
      <c r="F17" t="s">
        <v>434</v>
      </c>
      <c r="G17" t="s">
        <v>459</v>
      </c>
      <c r="H17">
        <v>0</v>
      </c>
    </row>
    <row r="18" spans="1:8">
      <c r="A18" t="s">
        <v>431</v>
      </c>
      <c r="B18">
        <v>19</v>
      </c>
      <c r="C18" t="s">
        <v>1272</v>
      </c>
      <c r="D18" t="s">
        <v>1273</v>
      </c>
      <c r="F18" t="s">
        <v>463</v>
      </c>
      <c r="G18" t="s">
        <v>474</v>
      </c>
      <c r="H18">
        <v>0</v>
      </c>
    </row>
    <row r="19" spans="1:8">
      <c r="A19" t="s">
        <v>431</v>
      </c>
      <c r="B19">
        <v>19</v>
      </c>
      <c r="C19" t="s">
        <v>1272</v>
      </c>
      <c r="D19" t="s">
        <v>1274</v>
      </c>
      <c r="F19" t="s">
        <v>463</v>
      </c>
      <c r="G19" t="s">
        <v>474</v>
      </c>
      <c r="H19">
        <v>0</v>
      </c>
    </row>
    <row r="20" spans="1:8">
      <c r="A20" t="s">
        <v>431</v>
      </c>
      <c r="B20">
        <v>20</v>
      </c>
      <c r="C20" t="s">
        <v>1275</v>
      </c>
      <c r="D20" t="s">
        <v>1276</v>
      </c>
      <c r="F20" t="s">
        <v>463</v>
      </c>
      <c r="G20" t="s">
        <v>459</v>
      </c>
      <c r="H20">
        <v>0</v>
      </c>
    </row>
    <row r="21" spans="1:8">
      <c r="A21" t="s">
        <v>431</v>
      </c>
      <c r="B21">
        <v>20</v>
      </c>
      <c r="C21" t="s">
        <v>1275</v>
      </c>
      <c r="D21" t="s">
        <v>1277</v>
      </c>
      <c r="F21" t="s">
        <v>434</v>
      </c>
      <c r="G21" t="s">
        <v>459</v>
      </c>
      <c r="H21">
        <v>0</v>
      </c>
    </row>
    <row r="22" spans="1:8">
      <c r="A22" t="s">
        <v>431</v>
      </c>
      <c r="B22">
        <v>22</v>
      </c>
      <c r="C22" t="s">
        <v>1278</v>
      </c>
      <c r="D22" t="s">
        <v>1279</v>
      </c>
      <c r="F22" t="s">
        <v>434</v>
      </c>
      <c r="G22" t="s">
        <v>435</v>
      </c>
      <c r="H22">
        <v>0</v>
      </c>
    </row>
    <row r="23" spans="1:8">
      <c r="A23" t="s">
        <v>431</v>
      </c>
      <c r="B23">
        <v>22</v>
      </c>
      <c r="C23" t="s">
        <v>1278</v>
      </c>
      <c r="D23" t="s">
        <v>1280</v>
      </c>
      <c r="F23" t="s">
        <v>463</v>
      </c>
      <c r="G23" t="s">
        <v>474</v>
      </c>
      <c r="H23">
        <v>0</v>
      </c>
    </row>
    <row r="24" spans="1:8">
      <c r="A24" t="s">
        <v>431</v>
      </c>
      <c r="B24">
        <v>23</v>
      </c>
      <c r="C24" t="s">
        <v>1281</v>
      </c>
      <c r="D24" t="s">
        <v>1282</v>
      </c>
      <c r="F24" t="s">
        <v>434</v>
      </c>
      <c r="G24" t="s">
        <v>435</v>
      </c>
      <c r="H24">
        <v>0</v>
      </c>
    </row>
    <row r="25" spans="1:8">
      <c r="A25" t="s">
        <v>431</v>
      </c>
      <c r="B25">
        <v>23</v>
      </c>
      <c r="C25" t="s">
        <v>1281</v>
      </c>
      <c r="D25" t="s">
        <v>1283</v>
      </c>
      <c r="F25" t="s">
        <v>434</v>
      </c>
      <c r="G25" t="s">
        <v>474</v>
      </c>
      <c r="H25">
        <v>0</v>
      </c>
    </row>
    <row r="26" spans="1:8">
      <c r="A26" t="s">
        <v>431</v>
      </c>
      <c r="B26">
        <v>24</v>
      </c>
      <c r="C26" t="s">
        <v>1284</v>
      </c>
      <c r="D26" t="s">
        <v>1285</v>
      </c>
      <c r="F26" t="s">
        <v>463</v>
      </c>
      <c r="G26" t="s">
        <v>459</v>
      </c>
      <c r="H26">
        <v>0</v>
      </c>
    </row>
    <row r="27" spans="1:8">
      <c r="A27" t="s">
        <v>431</v>
      </c>
      <c r="B27">
        <v>24</v>
      </c>
      <c r="C27" t="s">
        <v>1284</v>
      </c>
      <c r="D27" t="s">
        <v>1286</v>
      </c>
      <c r="F27" t="s">
        <v>434</v>
      </c>
      <c r="G27" t="s">
        <v>474</v>
      </c>
      <c r="H27">
        <v>0</v>
      </c>
    </row>
    <row r="28" spans="1:8">
      <c r="A28" t="s">
        <v>431</v>
      </c>
      <c r="B28">
        <v>25</v>
      </c>
      <c r="C28" t="s">
        <v>1287</v>
      </c>
      <c r="D28" t="s">
        <v>1288</v>
      </c>
      <c r="F28" t="s">
        <v>463</v>
      </c>
      <c r="G28" t="s">
        <v>474</v>
      </c>
      <c r="H28">
        <v>0</v>
      </c>
    </row>
    <row r="29" spans="1:8">
      <c r="A29" t="s">
        <v>431</v>
      </c>
      <c r="B29">
        <v>25</v>
      </c>
      <c r="C29" t="s">
        <v>1287</v>
      </c>
      <c r="D29" t="s">
        <v>1289</v>
      </c>
      <c r="F29" t="s">
        <v>434</v>
      </c>
      <c r="G29" t="s">
        <v>474</v>
      </c>
      <c r="H29">
        <v>0</v>
      </c>
    </row>
    <row r="30" spans="1:8">
      <c r="A30" t="s">
        <v>431</v>
      </c>
      <c r="B30">
        <v>29</v>
      </c>
      <c r="C30" t="s">
        <v>1290</v>
      </c>
      <c r="D30" t="s">
        <v>1291</v>
      </c>
      <c r="F30" t="s">
        <v>434</v>
      </c>
      <c r="G30" t="s">
        <v>435</v>
      </c>
      <c r="H30">
        <v>0</v>
      </c>
    </row>
    <row r="31" spans="1:8">
      <c r="A31" t="s">
        <v>431</v>
      </c>
      <c r="B31">
        <v>29</v>
      </c>
      <c r="C31" t="s">
        <v>1290</v>
      </c>
      <c r="D31" t="s">
        <v>1292</v>
      </c>
      <c r="F31" t="s">
        <v>434</v>
      </c>
      <c r="G31" t="s">
        <v>474</v>
      </c>
      <c r="H31">
        <v>0</v>
      </c>
    </row>
    <row r="32" spans="1:8">
      <c r="A32" t="s">
        <v>431</v>
      </c>
      <c r="B32">
        <v>31</v>
      </c>
      <c r="C32" t="s">
        <v>1293</v>
      </c>
      <c r="D32" t="s">
        <v>1294</v>
      </c>
      <c r="F32" t="s">
        <v>434</v>
      </c>
      <c r="G32" t="s">
        <v>459</v>
      </c>
      <c r="H32">
        <v>0</v>
      </c>
    </row>
    <row r="33" spans="1:8">
      <c r="A33" t="s">
        <v>431</v>
      </c>
      <c r="B33">
        <v>31</v>
      </c>
      <c r="C33" t="s">
        <v>1293</v>
      </c>
      <c r="D33" t="s">
        <v>1295</v>
      </c>
      <c r="F33" t="s">
        <v>434</v>
      </c>
      <c r="G33" t="s">
        <v>474</v>
      </c>
      <c r="H33">
        <v>0</v>
      </c>
    </row>
    <row r="34" spans="1:8">
      <c r="A34" t="s">
        <v>431</v>
      </c>
      <c r="B34">
        <v>33</v>
      </c>
      <c r="C34" t="s">
        <v>1296</v>
      </c>
      <c r="D34" t="s">
        <v>1297</v>
      </c>
      <c r="F34" t="s">
        <v>434</v>
      </c>
      <c r="G34" t="s">
        <v>435</v>
      </c>
      <c r="H34">
        <v>0</v>
      </c>
    </row>
    <row r="35" spans="1:8">
      <c r="A35" t="s">
        <v>431</v>
      </c>
      <c r="B35">
        <v>47</v>
      </c>
      <c r="C35" t="s">
        <v>1298</v>
      </c>
      <c r="D35" t="s">
        <v>1299</v>
      </c>
      <c r="F35" t="s">
        <v>434</v>
      </c>
      <c r="G35" t="s">
        <v>435</v>
      </c>
      <c r="H35">
        <v>0</v>
      </c>
    </row>
    <row r="36" spans="1:8">
      <c r="A36" t="s">
        <v>431</v>
      </c>
      <c r="B36">
        <v>47</v>
      </c>
      <c r="C36" t="s">
        <v>1298</v>
      </c>
      <c r="D36" t="s">
        <v>1300</v>
      </c>
      <c r="F36" t="s">
        <v>434</v>
      </c>
      <c r="G36" t="s">
        <v>474</v>
      </c>
      <c r="H36">
        <v>0</v>
      </c>
    </row>
    <row r="37" spans="1:8">
      <c r="A37" t="s">
        <v>431</v>
      </c>
      <c r="B37">
        <v>50</v>
      </c>
      <c r="C37" t="s">
        <v>1301</v>
      </c>
      <c r="D37" t="s">
        <v>1302</v>
      </c>
      <c r="F37" t="s">
        <v>434</v>
      </c>
      <c r="G37" t="s">
        <v>459</v>
      </c>
      <c r="H37">
        <v>0</v>
      </c>
    </row>
    <row r="38" spans="1:8">
      <c r="A38" t="s">
        <v>431</v>
      </c>
      <c r="B38">
        <v>50</v>
      </c>
      <c r="C38" t="s">
        <v>1301</v>
      </c>
      <c r="D38" t="s">
        <v>1303</v>
      </c>
      <c r="F38" t="s">
        <v>463</v>
      </c>
      <c r="G38" t="s">
        <v>459</v>
      </c>
      <c r="H38">
        <v>0</v>
      </c>
    </row>
    <row r="39" spans="1:8">
      <c r="A39" t="s">
        <v>431</v>
      </c>
      <c r="B39">
        <v>53</v>
      </c>
      <c r="C39" t="s">
        <v>1304</v>
      </c>
      <c r="D39" t="s">
        <v>1305</v>
      </c>
      <c r="F39" t="s">
        <v>463</v>
      </c>
      <c r="G39" t="s">
        <v>459</v>
      </c>
      <c r="H39">
        <v>0</v>
      </c>
    </row>
    <row r="40" spans="1:8">
      <c r="A40" t="s">
        <v>431</v>
      </c>
      <c r="B40">
        <v>66</v>
      </c>
      <c r="C40" t="s">
        <v>1306</v>
      </c>
      <c r="D40" t="s">
        <v>1307</v>
      </c>
      <c r="F40" t="s">
        <v>463</v>
      </c>
      <c r="G40" t="s">
        <v>474</v>
      </c>
      <c r="H40">
        <v>0</v>
      </c>
    </row>
    <row r="41" spans="1:8">
      <c r="A41" t="s">
        <v>431</v>
      </c>
      <c r="B41">
        <v>66</v>
      </c>
      <c r="C41" t="s">
        <v>1306</v>
      </c>
      <c r="D41" t="s">
        <v>1308</v>
      </c>
      <c r="F41" t="s">
        <v>434</v>
      </c>
      <c r="G41" t="s">
        <v>474</v>
      </c>
      <c r="H41">
        <v>0</v>
      </c>
    </row>
    <row r="42" spans="1:8">
      <c r="A42" t="s">
        <v>431</v>
      </c>
      <c r="B42">
        <v>70</v>
      </c>
      <c r="C42" t="s">
        <v>1309</v>
      </c>
      <c r="D42" t="s">
        <v>1310</v>
      </c>
      <c r="F42" t="s">
        <v>463</v>
      </c>
      <c r="G42" t="s">
        <v>459</v>
      </c>
      <c r="H42">
        <v>0</v>
      </c>
    </row>
    <row r="43" spans="1:8">
      <c r="A43" t="s">
        <v>431</v>
      </c>
      <c r="B43">
        <v>71</v>
      </c>
      <c r="C43" t="s">
        <v>1311</v>
      </c>
      <c r="D43" t="s">
        <v>1312</v>
      </c>
      <c r="F43" t="s">
        <v>434</v>
      </c>
      <c r="G43" t="s">
        <v>459</v>
      </c>
      <c r="H43">
        <v>0</v>
      </c>
    </row>
    <row r="44" spans="1:8">
      <c r="A44" t="s">
        <v>431</v>
      </c>
      <c r="B44">
        <v>71</v>
      </c>
      <c r="C44" t="s">
        <v>1311</v>
      </c>
      <c r="D44" t="s">
        <v>1313</v>
      </c>
      <c r="F44" t="s">
        <v>434</v>
      </c>
      <c r="G44" t="s">
        <v>459</v>
      </c>
      <c r="H44">
        <v>0</v>
      </c>
    </row>
    <row r="45" spans="1:8">
      <c r="A45" t="s">
        <v>431</v>
      </c>
      <c r="B45">
        <v>81</v>
      </c>
      <c r="C45" t="s">
        <v>1314</v>
      </c>
      <c r="D45" t="s">
        <v>1315</v>
      </c>
      <c r="F45" t="s">
        <v>463</v>
      </c>
      <c r="G45" t="s">
        <v>474</v>
      </c>
      <c r="H45">
        <v>0</v>
      </c>
    </row>
    <row r="46" spans="1:8">
      <c r="A46" t="s">
        <v>431</v>
      </c>
      <c r="B46">
        <v>81</v>
      </c>
      <c r="C46" t="s">
        <v>1314</v>
      </c>
      <c r="D46" t="s">
        <v>1316</v>
      </c>
      <c r="F46" t="s">
        <v>434</v>
      </c>
      <c r="G46" t="s">
        <v>474</v>
      </c>
      <c r="H46">
        <v>0</v>
      </c>
    </row>
    <row r="47" spans="1:8">
      <c r="A47" t="s">
        <v>431</v>
      </c>
      <c r="B47">
        <v>83</v>
      </c>
      <c r="C47" t="s">
        <v>1317</v>
      </c>
      <c r="D47" t="s">
        <v>1318</v>
      </c>
      <c r="F47" t="s">
        <v>463</v>
      </c>
      <c r="G47" t="s">
        <v>474</v>
      </c>
      <c r="H47">
        <v>0</v>
      </c>
    </row>
    <row r="48" spans="1:8">
      <c r="A48" t="s">
        <v>431</v>
      </c>
      <c r="B48">
        <v>83</v>
      </c>
      <c r="C48" t="s">
        <v>1317</v>
      </c>
      <c r="D48" t="s">
        <v>1319</v>
      </c>
      <c r="F48" t="s">
        <v>434</v>
      </c>
      <c r="G48" t="s">
        <v>474</v>
      </c>
      <c r="H48">
        <v>0</v>
      </c>
    </row>
    <row r="49" spans="1:8">
      <c r="A49" t="s">
        <v>431</v>
      </c>
      <c r="B49">
        <v>89</v>
      </c>
      <c r="C49" t="s">
        <v>1320</v>
      </c>
      <c r="D49" t="s">
        <v>1321</v>
      </c>
      <c r="F49" t="s">
        <v>434</v>
      </c>
      <c r="G49" t="s">
        <v>435</v>
      </c>
      <c r="H49">
        <v>0</v>
      </c>
    </row>
    <row r="50" spans="1:8">
      <c r="A50" t="s">
        <v>431</v>
      </c>
      <c r="B50">
        <v>89</v>
      </c>
      <c r="C50" t="s">
        <v>1320</v>
      </c>
      <c r="D50" t="s">
        <v>1322</v>
      </c>
      <c r="F50" t="s">
        <v>434</v>
      </c>
      <c r="G50" t="s">
        <v>474</v>
      </c>
      <c r="H50">
        <v>0</v>
      </c>
    </row>
    <row r="51" spans="1:8">
      <c r="A51" t="s">
        <v>431</v>
      </c>
      <c r="B51">
        <v>92</v>
      </c>
      <c r="C51" t="s">
        <v>1323</v>
      </c>
      <c r="D51" t="s">
        <v>1324</v>
      </c>
      <c r="F51" t="s">
        <v>463</v>
      </c>
      <c r="G51" t="s">
        <v>459</v>
      </c>
      <c r="H51">
        <v>0</v>
      </c>
    </row>
    <row r="52" spans="1:8">
      <c r="A52" t="s">
        <v>431</v>
      </c>
      <c r="B52">
        <v>92</v>
      </c>
      <c r="C52" t="s">
        <v>1323</v>
      </c>
      <c r="D52" t="s">
        <v>1325</v>
      </c>
      <c r="F52" t="s">
        <v>463</v>
      </c>
      <c r="G52" t="s">
        <v>459</v>
      </c>
      <c r="H52">
        <v>0</v>
      </c>
    </row>
    <row r="53" spans="1:8">
      <c r="A53" t="s">
        <v>431</v>
      </c>
      <c r="B53">
        <v>93</v>
      </c>
      <c r="C53" t="s">
        <v>1326</v>
      </c>
      <c r="D53" t="s">
        <v>1327</v>
      </c>
      <c r="F53" t="s">
        <v>434</v>
      </c>
      <c r="G53" t="s">
        <v>459</v>
      </c>
      <c r="H53">
        <v>0</v>
      </c>
    </row>
    <row r="54" spans="1:8">
      <c r="A54" t="s">
        <v>431</v>
      </c>
      <c r="B54">
        <v>93</v>
      </c>
      <c r="C54" t="s">
        <v>1326</v>
      </c>
      <c r="D54" t="s">
        <v>1328</v>
      </c>
      <c r="F54" t="s">
        <v>463</v>
      </c>
      <c r="G54" t="s">
        <v>459</v>
      </c>
      <c r="H54">
        <v>0</v>
      </c>
    </row>
    <row r="55" spans="1:8">
      <c r="A55" t="s">
        <v>431</v>
      </c>
      <c r="B55">
        <v>94</v>
      </c>
      <c r="C55" t="s">
        <v>1329</v>
      </c>
      <c r="D55" t="s">
        <v>1330</v>
      </c>
      <c r="F55" t="s">
        <v>434</v>
      </c>
      <c r="G55" t="s">
        <v>435</v>
      </c>
      <c r="H55">
        <v>0</v>
      </c>
    </row>
    <row r="56" spans="1:8">
      <c r="A56" t="s">
        <v>431</v>
      </c>
      <c r="B56">
        <v>96</v>
      </c>
      <c r="C56" t="s">
        <v>1331</v>
      </c>
      <c r="D56" t="s">
        <v>1332</v>
      </c>
      <c r="F56" t="s">
        <v>463</v>
      </c>
      <c r="G56" t="s">
        <v>459</v>
      </c>
      <c r="H56">
        <v>0</v>
      </c>
    </row>
    <row r="57" spans="1:8">
      <c r="A57" t="s">
        <v>431</v>
      </c>
      <c r="B57">
        <v>96</v>
      </c>
      <c r="C57" t="s">
        <v>1331</v>
      </c>
      <c r="D57" t="s">
        <v>1333</v>
      </c>
      <c r="F57" t="s">
        <v>434</v>
      </c>
      <c r="G57" t="s">
        <v>459</v>
      </c>
      <c r="H57">
        <v>0</v>
      </c>
    </row>
    <row r="58" spans="1:8">
      <c r="A58" t="s">
        <v>431</v>
      </c>
      <c r="B58">
        <v>100</v>
      </c>
      <c r="C58" t="s">
        <v>1334</v>
      </c>
      <c r="D58" t="s">
        <v>1335</v>
      </c>
      <c r="F58" t="s">
        <v>463</v>
      </c>
      <c r="G58" t="s">
        <v>474</v>
      </c>
      <c r="H58">
        <v>0</v>
      </c>
    </row>
    <row r="59" spans="1:8">
      <c r="A59" t="s">
        <v>431</v>
      </c>
      <c r="B59">
        <v>100</v>
      </c>
      <c r="C59" t="s">
        <v>1334</v>
      </c>
      <c r="D59" t="s">
        <v>1336</v>
      </c>
      <c r="F59" t="s">
        <v>434</v>
      </c>
      <c r="G59" t="s">
        <v>459</v>
      </c>
      <c r="H59">
        <v>0</v>
      </c>
    </row>
    <row r="60" spans="1:8">
      <c r="A60" t="s">
        <v>431</v>
      </c>
      <c r="B60">
        <v>104</v>
      </c>
      <c r="C60" t="s">
        <v>1337</v>
      </c>
      <c r="D60" t="s">
        <v>1338</v>
      </c>
      <c r="F60" t="s">
        <v>463</v>
      </c>
      <c r="G60" t="s">
        <v>459</v>
      </c>
      <c r="H60">
        <v>0</v>
      </c>
    </row>
    <row r="61" spans="1:8">
      <c r="A61" t="s">
        <v>431</v>
      </c>
      <c r="B61">
        <v>104</v>
      </c>
      <c r="C61" t="s">
        <v>1337</v>
      </c>
      <c r="D61" t="s">
        <v>1339</v>
      </c>
      <c r="F61" t="s">
        <v>434</v>
      </c>
      <c r="G61" t="s">
        <v>459</v>
      </c>
      <c r="H61">
        <v>0</v>
      </c>
    </row>
    <row r="62" spans="1:8">
      <c r="A62" t="s">
        <v>431</v>
      </c>
      <c r="B62">
        <v>108</v>
      </c>
      <c r="C62" t="s">
        <v>1340</v>
      </c>
      <c r="D62" t="s">
        <v>1341</v>
      </c>
      <c r="F62" t="s">
        <v>463</v>
      </c>
      <c r="G62" t="s">
        <v>459</v>
      </c>
      <c r="H62">
        <v>0</v>
      </c>
    </row>
    <row r="63" spans="1:8">
      <c r="A63" t="s">
        <v>431</v>
      </c>
      <c r="B63">
        <v>108</v>
      </c>
      <c r="C63" t="s">
        <v>1340</v>
      </c>
      <c r="D63" t="s">
        <v>1342</v>
      </c>
      <c r="F63" t="s">
        <v>463</v>
      </c>
      <c r="G63" t="s">
        <v>459</v>
      </c>
      <c r="H63">
        <v>0</v>
      </c>
    </row>
    <row r="64" spans="1:8">
      <c r="A64" t="s">
        <v>431</v>
      </c>
      <c r="B64">
        <v>109</v>
      </c>
      <c r="C64" t="s">
        <v>1343</v>
      </c>
      <c r="D64" t="s">
        <v>1344</v>
      </c>
      <c r="F64" t="s">
        <v>463</v>
      </c>
      <c r="G64" t="s">
        <v>459</v>
      </c>
      <c r="H64">
        <v>0</v>
      </c>
    </row>
    <row r="65" spans="1:8">
      <c r="A65" t="s">
        <v>431</v>
      </c>
      <c r="B65">
        <v>109</v>
      </c>
      <c r="C65" t="s">
        <v>1343</v>
      </c>
      <c r="D65" t="s">
        <v>1345</v>
      </c>
      <c r="F65" t="s">
        <v>434</v>
      </c>
      <c r="G65" t="s">
        <v>474</v>
      </c>
      <c r="H65">
        <v>0</v>
      </c>
    </row>
    <row r="66" spans="1:8">
      <c r="A66" t="s">
        <v>431</v>
      </c>
      <c r="B66">
        <v>113</v>
      </c>
      <c r="C66" t="s">
        <v>1346</v>
      </c>
      <c r="D66" t="s">
        <v>1347</v>
      </c>
      <c r="F66" t="s">
        <v>434</v>
      </c>
      <c r="G66" t="s">
        <v>435</v>
      </c>
      <c r="H66">
        <v>0</v>
      </c>
    </row>
    <row r="67" spans="1:8">
      <c r="A67" t="s">
        <v>431</v>
      </c>
      <c r="B67">
        <v>113</v>
      </c>
      <c r="C67" t="s">
        <v>1346</v>
      </c>
      <c r="D67" t="s">
        <v>1348</v>
      </c>
      <c r="F67" t="s">
        <v>434</v>
      </c>
      <c r="G67" t="s">
        <v>474</v>
      </c>
      <c r="H67">
        <v>0</v>
      </c>
    </row>
    <row r="68" spans="1:8">
      <c r="A68" t="s">
        <v>431</v>
      </c>
      <c r="B68">
        <v>115</v>
      </c>
      <c r="C68" t="s">
        <v>436</v>
      </c>
      <c r="D68" t="s">
        <v>1349</v>
      </c>
      <c r="F68" t="s">
        <v>434</v>
      </c>
      <c r="G68" t="s">
        <v>435</v>
      </c>
      <c r="H68">
        <v>0</v>
      </c>
    </row>
    <row r="69" spans="1:8">
      <c r="A69" t="s">
        <v>431</v>
      </c>
      <c r="B69">
        <v>115</v>
      </c>
      <c r="C69" t="s">
        <v>436</v>
      </c>
      <c r="D69" t="s">
        <v>1350</v>
      </c>
      <c r="F69" t="s">
        <v>434</v>
      </c>
      <c r="G69" t="s">
        <v>435</v>
      </c>
      <c r="H69">
        <v>0</v>
      </c>
    </row>
    <row r="70" spans="1:8">
      <c r="A70" t="s">
        <v>431</v>
      </c>
      <c r="B70">
        <v>118</v>
      </c>
      <c r="C70" t="s">
        <v>443</v>
      </c>
      <c r="D70" t="s">
        <v>1351</v>
      </c>
      <c r="F70" t="s">
        <v>434</v>
      </c>
      <c r="G70" t="s">
        <v>435</v>
      </c>
      <c r="H70">
        <v>0</v>
      </c>
    </row>
    <row r="71" spans="1:8">
      <c r="A71" t="s">
        <v>431</v>
      </c>
      <c r="B71">
        <v>118</v>
      </c>
      <c r="C71" t="s">
        <v>443</v>
      </c>
      <c r="D71" t="s">
        <v>1352</v>
      </c>
      <c r="F71" t="s">
        <v>434</v>
      </c>
      <c r="G71" t="s">
        <v>474</v>
      </c>
      <c r="H71">
        <v>0</v>
      </c>
    </row>
    <row r="72" spans="1:8">
      <c r="A72" t="s">
        <v>431</v>
      </c>
      <c r="B72">
        <v>119</v>
      </c>
      <c r="C72" t="s">
        <v>450</v>
      </c>
      <c r="D72" t="s">
        <v>1353</v>
      </c>
      <c r="F72" t="s">
        <v>434</v>
      </c>
      <c r="G72" t="s">
        <v>435</v>
      </c>
      <c r="H72">
        <v>0</v>
      </c>
    </row>
    <row r="73" spans="1:8">
      <c r="A73" t="s">
        <v>431</v>
      </c>
      <c r="B73">
        <v>119</v>
      </c>
      <c r="C73" t="s">
        <v>450</v>
      </c>
      <c r="D73" t="s">
        <v>1354</v>
      </c>
      <c r="F73" t="s">
        <v>434</v>
      </c>
      <c r="G73" t="s">
        <v>435</v>
      </c>
      <c r="H73">
        <v>0</v>
      </c>
    </row>
    <row r="74" spans="1:8">
      <c r="A74" t="s">
        <v>431</v>
      </c>
      <c r="B74">
        <v>121</v>
      </c>
      <c r="C74" t="s">
        <v>457</v>
      </c>
      <c r="D74" t="s">
        <v>1355</v>
      </c>
      <c r="F74" t="s">
        <v>434</v>
      </c>
      <c r="G74" t="s">
        <v>459</v>
      </c>
      <c r="H74">
        <v>0</v>
      </c>
    </row>
    <row r="75" spans="1:8">
      <c r="A75" t="s">
        <v>431</v>
      </c>
      <c r="B75">
        <v>121</v>
      </c>
      <c r="C75" t="s">
        <v>457</v>
      </c>
      <c r="D75" t="s">
        <v>1356</v>
      </c>
      <c r="F75" t="s">
        <v>434</v>
      </c>
      <c r="G75" t="s">
        <v>459</v>
      </c>
      <c r="H75">
        <v>0</v>
      </c>
    </row>
    <row r="76" spans="1:8">
      <c r="A76" t="s">
        <v>431</v>
      </c>
      <c r="B76">
        <v>124</v>
      </c>
      <c r="C76" t="s">
        <v>466</v>
      </c>
      <c r="D76" t="s">
        <v>1357</v>
      </c>
      <c r="F76" t="s">
        <v>434</v>
      </c>
      <c r="G76" t="s">
        <v>459</v>
      </c>
      <c r="H76">
        <v>0</v>
      </c>
    </row>
    <row r="77" spans="1:8">
      <c r="A77" t="s">
        <v>431</v>
      </c>
      <c r="B77">
        <v>124</v>
      </c>
      <c r="C77" t="s">
        <v>466</v>
      </c>
      <c r="D77" t="s">
        <v>1358</v>
      </c>
      <c r="F77" t="s">
        <v>463</v>
      </c>
      <c r="G77" t="s">
        <v>459</v>
      </c>
      <c r="H77">
        <v>0</v>
      </c>
    </row>
    <row r="78" spans="1:8">
      <c r="A78" t="s">
        <v>431</v>
      </c>
      <c r="B78">
        <v>141</v>
      </c>
      <c r="C78" t="s">
        <v>489</v>
      </c>
      <c r="D78" t="s">
        <v>1359</v>
      </c>
      <c r="F78" t="s">
        <v>463</v>
      </c>
      <c r="G78" t="s">
        <v>474</v>
      </c>
      <c r="H78">
        <v>0</v>
      </c>
    </row>
    <row r="79" spans="1:8">
      <c r="A79" t="s">
        <v>431</v>
      </c>
      <c r="B79">
        <v>141</v>
      </c>
      <c r="C79" t="s">
        <v>489</v>
      </c>
      <c r="D79" t="s">
        <v>1360</v>
      </c>
      <c r="F79" t="s">
        <v>434</v>
      </c>
      <c r="G79" t="s">
        <v>474</v>
      </c>
      <c r="H79">
        <v>0</v>
      </c>
    </row>
    <row r="80" spans="1:8">
      <c r="A80" t="s">
        <v>431</v>
      </c>
      <c r="B80">
        <v>137</v>
      </c>
      <c r="C80" t="s">
        <v>494</v>
      </c>
      <c r="D80" t="s">
        <v>1361</v>
      </c>
      <c r="F80" t="s">
        <v>463</v>
      </c>
      <c r="G80" t="s">
        <v>459</v>
      </c>
      <c r="H80">
        <v>0</v>
      </c>
    </row>
    <row r="81" spans="1:8">
      <c r="A81" t="s">
        <v>431</v>
      </c>
      <c r="B81">
        <v>137</v>
      </c>
      <c r="C81" t="s">
        <v>494</v>
      </c>
      <c r="D81" t="s">
        <v>1362</v>
      </c>
      <c r="F81" t="s">
        <v>434</v>
      </c>
      <c r="G81" t="s">
        <v>459</v>
      </c>
      <c r="H81">
        <v>0</v>
      </c>
    </row>
    <row r="82" spans="1:8">
      <c r="A82" t="s">
        <v>431</v>
      </c>
      <c r="B82">
        <v>136</v>
      </c>
      <c r="C82" t="s">
        <v>501</v>
      </c>
      <c r="D82" t="s">
        <v>1363</v>
      </c>
      <c r="F82" t="s">
        <v>434</v>
      </c>
      <c r="G82" t="s">
        <v>474</v>
      </c>
      <c r="H82">
        <v>0</v>
      </c>
    </row>
    <row r="83" spans="1:8">
      <c r="A83" t="s">
        <v>431</v>
      </c>
      <c r="B83">
        <v>136</v>
      </c>
      <c r="C83" t="s">
        <v>501</v>
      </c>
      <c r="D83" t="s">
        <v>1364</v>
      </c>
      <c r="F83" t="s">
        <v>434</v>
      </c>
      <c r="G83" t="s">
        <v>474</v>
      </c>
      <c r="H83">
        <v>0</v>
      </c>
    </row>
    <row r="84" spans="1:8">
      <c r="A84" t="s">
        <v>431</v>
      </c>
      <c r="B84">
        <v>143</v>
      </c>
      <c r="C84" t="s">
        <v>508</v>
      </c>
      <c r="D84" t="s">
        <v>1365</v>
      </c>
      <c r="F84" t="s">
        <v>434</v>
      </c>
      <c r="G84" t="s">
        <v>435</v>
      </c>
      <c r="H84">
        <v>0</v>
      </c>
    </row>
    <row r="85" spans="1:8">
      <c r="A85" t="s">
        <v>431</v>
      </c>
      <c r="B85">
        <v>148</v>
      </c>
      <c r="C85" t="s">
        <v>515</v>
      </c>
      <c r="D85" t="s">
        <v>1366</v>
      </c>
      <c r="F85" t="s">
        <v>463</v>
      </c>
      <c r="G85" t="s">
        <v>459</v>
      </c>
      <c r="H85">
        <v>0</v>
      </c>
    </row>
    <row r="86" spans="1:8">
      <c r="A86" t="s">
        <v>431</v>
      </c>
      <c r="B86">
        <v>148</v>
      </c>
      <c r="C86" t="s">
        <v>515</v>
      </c>
      <c r="D86" t="s">
        <v>1367</v>
      </c>
      <c r="F86" t="s">
        <v>434</v>
      </c>
      <c r="G86" t="s">
        <v>474</v>
      </c>
      <c r="H86">
        <v>0</v>
      </c>
    </row>
    <row r="87" spans="1:8">
      <c r="A87" t="s">
        <v>431</v>
      </c>
      <c r="B87">
        <v>150</v>
      </c>
      <c r="C87" t="s">
        <v>520</v>
      </c>
      <c r="D87" t="s">
        <v>1368</v>
      </c>
      <c r="F87" t="s">
        <v>463</v>
      </c>
      <c r="G87" t="s">
        <v>459</v>
      </c>
      <c r="H87">
        <v>0</v>
      </c>
    </row>
    <row r="88" spans="1:8">
      <c r="A88" t="s">
        <v>431</v>
      </c>
      <c r="B88">
        <v>150</v>
      </c>
      <c r="C88" t="s">
        <v>520</v>
      </c>
      <c r="D88" t="s">
        <v>1369</v>
      </c>
      <c r="F88" t="s">
        <v>434</v>
      </c>
      <c r="G88" t="s">
        <v>459</v>
      </c>
      <c r="H88">
        <v>0</v>
      </c>
    </row>
    <row r="89" spans="1:8">
      <c r="A89" t="s">
        <v>431</v>
      </c>
      <c r="B89">
        <v>152</v>
      </c>
      <c r="C89" t="s">
        <v>527</v>
      </c>
      <c r="D89" t="s">
        <v>1370</v>
      </c>
      <c r="F89" t="s">
        <v>463</v>
      </c>
      <c r="G89" t="s">
        <v>459</v>
      </c>
      <c r="H89">
        <v>0</v>
      </c>
    </row>
    <row r="90" spans="1:8">
      <c r="A90" t="s">
        <v>431</v>
      </c>
      <c r="B90">
        <v>152</v>
      </c>
      <c r="C90" t="s">
        <v>527</v>
      </c>
      <c r="D90" t="s">
        <v>1371</v>
      </c>
      <c r="F90" t="s">
        <v>463</v>
      </c>
      <c r="G90" t="s">
        <v>459</v>
      </c>
      <c r="H90">
        <v>0</v>
      </c>
    </row>
    <row r="91" spans="1:8">
      <c r="A91" t="s">
        <v>431</v>
      </c>
      <c r="B91">
        <v>152</v>
      </c>
      <c r="C91" t="s">
        <v>527</v>
      </c>
      <c r="D91" t="s">
        <v>1372</v>
      </c>
      <c r="F91" t="s">
        <v>434</v>
      </c>
      <c r="G91" t="s">
        <v>459</v>
      </c>
      <c r="H91">
        <v>0</v>
      </c>
    </row>
    <row r="92" spans="1:8">
      <c r="A92" t="s">
        <v>431</v>
      </c>
      <c r="B92">
        <v>154</v>
      </c>
      <c r="C92" t="s">
        <v>532</v>
      </c>
      <c r="D92" t="s">
        <v>1373</v>
      </c>
      <c r="F92" t="s">
        <v>463</v>
      </c>
      <c r="G92" t="s">
        <v>459</v>
      </c>
      <c r="H92">
        <v>0</v>
      </c>
    </row>
    <row r="93" spans="1:8">
      <c r="A93" t="s">
        <v>431</v>
      </c>
      <c r="B93">
        <v>154</v>
      </c>
      <c r="C93" t="s">
        <v>532</v>
      </c>
      <c r="D93" t="s">
        <v>1374</v>
      </c>
      <c r="F93" t="s">
        <v>434</v>
      </c>
      <c r="G93" t="s">
        <v>459</v>
      </c>
      <c r="H93">
        <v>0</v>
      </c>
    </row>
    <row r="94" spans="1:8">
      <c r="A94" t="s">
        <v>431</v>
      </c>
      <c r="B94">
        <v>155</v>
      </c>
      <c r="C94" t="s">
        <v>536</v>
      </c>
      <c r="D94" t="s">
        <v>1375</v>
      </c>
      <c r="F94" t="s">
        <v>463</v>
      </c>
      <c r="G94" t="s">
        <v>459</v>
      </c>
      <c r="H94">
        <v>0</v>
      </c>
    </row>
    <row r="95" spans="1:8">
      <c r="A95" t="s">
        <v>431</v>
      </c>
      <c r="B95">
        <v>155</v>
      </c>
      <c r="C95" t="s">
        <v>536</v>
      </c>
      <c r="D95" t="s">
        <v>1376</v>
      </c>
      <c r="F95" t="s">
        <v>463</v>
      </c>
      <c r="G95" t="s">
        <v>459</v>
      </c>
      <c r="H95">
        <v>0</v>
      </c>
    </row>
    <row r="96" spans="1:8">
      <c r="A96" t="s">
        <v>431</v>
      </c>
      <c r="B96">
        <v>155</v>
      </c>
      <c r="C96" t="s">
        <v>536</v>
      </c>
      <c r="D96" t="s">
        <v>1377</v>
      </c>
      <c r="F96" t="s">
        <v>434</v>
      </c>
      <c r="G96" t="s">
        <v>459</v>
      </c>
      <c r="H96">
        <v>0</v>
      </c>
    </row>
    <row r="97" spans="1:8">
      <c r="A97" t="s">
        <v>431</v>
      </c>
      <c r="B97">
        <v>156</v>
      </c>
      <c r="C97" t="s">
        <v>541</v>
      </c>
      <c r="D97" t="s">
        <v>1378</v>
      </c>
      <c r="F97" t="s">
        <v>463</v>
      </c>
      <c r="G97" t="s">
        <v>459</v>
      </c>
      <c r="H97">
        <v>0</v>
      </c>
    </row>
    <row r="98" spans="1:8">
      <c r="A98" t="s">
        <v>431</v>
      </c>
      <c r="B98">
        <v>156</v>
      </c>
      <c r="C98" t="s">
        <v>541</v>
      </c>
      <c r="D98" t="s">
        <v>1379</v>
      </c>
      <c r="F98" t="s">
        <v>463</v>
      </c>
      <c r="G98" t="s">
        <v>459</v>
      </c>
      <c r="H98">
        <v>0</v>
      </c>
    </row>
    <row r="99" spans="1:8">
      <c r="A99" t="s">
        <v>431</v>
      </c>
      <c r="B99">
        <v>158</v>
      </c>
      <c r="C99" t="s">
        <v>548</v>
      </c>
      <c r="D99" t="s">
        <v>1380</v>
      </c>
      <c r="F99" t="s">
        <v>463</v>
      </c>
      <c r="G99" t="s">
        <v>459</v>
      </c>
      <c r="H99">
        <v>0</v>
      </c>
    </row>
    <row r="100" spans="1:8">
      <c r="A100" t="s">
        <v>431</v>
      </c>
      <c r="B100">
        <v>158</v>
      </c>
      <c r="C100" t="s">
        <v>548</v>
      </c>
      <c r="D100" t="s">
        <v>1381</v>
      </c>
      <c r="F100" t="s">
        <v>463</v>
      </c>
      <c r="G100" t="s">
        <v>474</v>
      </c>
      <c r="H100">
        <v>0</v>
      </c>
    </row>
    <row r="101" spans="1:8">
      <c r="A101" t="s">
        <v>431</v>
      </c>
      <c r="B101">
        <v>159</v>
      </c>
      <c r="C101" t="s">
        <v>555</v>
      </c>
      <c r="D101" t="s">
        <v>1382</v>
      </c>
      <c r="F101" t="s">
        <v>434</v>
      </c>
      <c r="G101" t="s">
        <v>459</v>
      </c>
      <c r="H101">
        <v>0</v>
      </c>
    </row>
    <row r="102" spans="1:8">
      <c r="A102" t="s">
        <v>431</v>
      </c>
      <c r="B102">
        <v>159</v>
      </c>
      <c r="C102" t="s">
        <v>555</v>
      </c>
      <c r="D102" t="s">
        <v>1383</v>
      </c>
      <c r="F102" t="s">
        <v>434</v>
      </c>
      <c r="G102" t="s">
        <v>474</v>
      </c>
      <c r="H102">
        <v>0</v>
      </c>
    </row>
    <row r="103" spans="1:8">
      <c r="A103" t="s">
        <v>431</v>
      </c>
      <c r="B103">
        <v>163</v>
      </c>
      <c r="C103" t="s">
        <v>565</v>
      </c>
      <c r="D103" t="s">
        <v>1384</v>
      </c>
      <c r="F103" t="s">
        <v>463</v>
      </c>
      <c r="G103" t="s">
        <v>474</v>
      </c>
      <c r="H103">
        <v>0</v>
      </c>
    </row>
    <row r="104" spans="1:8">
      <c r="A104" t="s">
        <v>431</v>
      </c>
      <c r="B104">
        <v>163</v>
      </c>
      <c r="C104" t="s">
        <v>565</v>
      </c>
      <c r="D104" t="s">
        <v>1385</v>
      </c>
      <c r="F104" t="s">
        <v>434</v>
      </c>
      <c r="G104" t="s">
        <v>459</v>
      </c>
      <c r="H104">
        <v>0</v>
      </c>
    </row>
    <row r="105" spans="1:8">
      <c r="A105" t="s">
        <v>431</v>
      </c>
      <c r="B105">
        <v>166</v>
      </c>
      <c r="C105" t="s">
        <v>572</v>
      </c>
      <c r="D105" t="s">
        <v>1386</v>
      </c>
      <c r="F105" t="s">
        <v>463</v>
      </c>
      <c r="G105" t="s">
        <v>459</v>
      </c>
      <c r="H105">
        <v>0</v>
      </c>
    </row>
    <row r="106" spans="1:8">
      <c r="A106" t="s">
        <v>431</v>
      </c>
      <c r="B106">
        <v>166</v>
      </c>
      <c r="C106" t="s">
        <v>572</v>
      </c>
      <c r="D106" t="s">
        <v>1387</v>
      </c>
      <c r="F106" t="s">
        <v>434</v>
      </c>
      <c r="G106" t="s">
        <v>459</v>
      </c>
      <c r="H106">
        <v>0</v>
      </c>
    </row>
    <row r="107" spans="1:8">
      <c r="A107" t="s">
        <v>431</v>
      </c>
      <c r="B107">
        <v>167</v>
      </c>
      <c r="C107" t="s">
        <v>581</v>
      </c>
      <c r="D107" t="s">
        <v>1388</v>
      </c>
      <c r="F107" t="s">
        <v>463</v>
      </c>
      <c r="G107" t="s">
        <v>459</v>
      </c>
      <c r="H107">
        <v>0</v>
      </c>
    </row>
    <row r="108" spans="1:8">
      <c r="A108" t="s">
        <v>431</v>
      </c>
      <c r="B108">
        <v>167</v>
      </c>
      <c r="C108" t="s">
        <v>581</v>
      </c>
      <c r="D108" t="s">
        <v>1389</v>
      </c>
      <c r="F108" t="s">
        <v>434</v>
      </c>
      <c r="G108" t="s">
        <v>459</v>
      </c>
      <c r="H108">
        <v>0</v>
      </c>
    </row>
    <row r="109" spans="1:8">
      <c r="A109" t="s">
        <v>431</v>
      </c>
      <c r="B109">
        <v>167</v>
      </c>
      <c r="C109" t="s">
        <v>581</v>
      </c>
      <c r="D109" t="s">
        <v>1390</v>
      </c>
      <c r="F109" t="s">
        <v>434</v>
      </c>
      <c r="G109" t="s">
        <v>459</v>
      </c>
      <c r="H109">
        <v>0</v>
      </c>
    </row>
    <row r="110" spans="1:8">
      <c r="A110" t="s">
        <v>431</v>
      </c>
      <c r="B110">
        <v>169</v>
      </c>
      <c r="C110" t="s">
        <v>589</v>
      </c>
      <c r="D110" t="s">
        <v>1391</v>
      </c>
      <c r="F110" t="s">
        <v>463</v>
      </c>
      <c r="G110" t="s">
        <v>459</v>
      </c>
      <c r="H110">
        <v>0</v>
      </c>
    </row>
    <row r="111" spans="1:8">
      <c r="A111" t="s">
        <v>431</v>
      </c>
      <c r="B111">
        <v>169</v>
      </c>
      <c r="C111" t="s">
        <v>589</v>
      </c>
      <c r="D111" t="s">
        <v>1392</v>
      </c>
      <c r="F111" t="s">
        <v>434</v>
      </c>
      <c r="G111" t="s">
        <v>474</v>
      </c>
      <c r="H111">
        <v>0</v>
      </c>
    </row>
    <row r="112" spans="1:8">
      <c r="A112" t="s">
        <v>431</v>
      </c>
      <c r="B112">
        <v>172</v>
      </c>
      <c r="C112" t="s">
        <v>594</v>
      </c>
      <c r="D112" t="s">
        <v>1393</v>
      </c>
      <c r="F112" t="s">
        <v>463</v>
      </c>
      <c r="G112" t="s">
        <v>459</v>
      </c>
      <c r="H112">
        <v>0</v>
      </c>
    </row>
    <row r="113" spans="1:8">
      <c r="A113" t="s">
        <v>431</v>
      </c>
      <c r="B113">
        <v>172</v>
      </c>
      <c r="C113" t="s">
        <v>594</v>
      </c>
      <c r="D113" t="s">
        <v>1394</v>
      </c>
      <c r="F113" t="s">
        <v>463</v>
      </c>
      <c r="G113" t="s">
        <v>459</v>
      </c>
      <c r="H113">
        <v>0</v>
      </c>
    </row>
    <row r="114" spans="1:8">
      <c r="A114" t="s">
        <v>431</v>
      </c>
      <c r="B114">
        <v>174</v>
      </c>
      <c r="C114" t="s">
        <v>601</v>
      </c>
      <c r="D114" t="s">
        <v>1395</v>
      </c>
      <c r="F114" t="s">
        <v>463</v>
      </c>
      <c r="G114" t="s">
        <v>459</v>
      </c>
      <c r="H114">
        <v>0</v>
      </c>
    </row>
    <row r="115" spans="1:8">
      <c r="A115" t="s">
        <v>431</v>
      </c>
      <c r="B115">
        <v>174</v>
      </c>
      <c r="C115" t="s">
        <v>601</v>
      </c>
      <c r="D115" t="s">
        <v>1396</v>
      </c>
      <c r="F115" t="s">
        <v>463</v>
      </c>
      <c r="G115" t="s">
        <v>459</v>
      </c>
      <c r="H115">
        <v>0</v>
      </c>
    </row>
    <row r="116" spans="1:8">
      <c r="A116" t="s">
        <v>431</v>
      </c>
      <c r="B116">
        <v>175</v>
      </c>
      <c r="C116" t="s">
        <v>608</v>
      </c>
      <c r="D116" t="s">
        <v>1397</v>
      </c>
      <c r="F116" t="s">
        <v>463</v>
      </c>
      <c r="G116" t="s">
        <v>459</v>
      </c>
      <c r="H116">
        <v>0</v>
      </c>
    </row>
    <row r="117" spans="1:8">
      <c r="A117" t="s">
        <v>431</v>
      </c>
      <c r="B117">
        <v>175</v>
      </c>
      <c r="C117" t="s">
        <v>608</v>
      </c>
      <c r="D117" t="s">
        <v>1398</v>
      </c>
      <c r="F117" t="s">
        <v>434</v>
      </c>
      <c r="G117" t="s">
        <v>459</v>
      </c>
      <c r="H117">
        <v>0</v>
      </c>
    </row>
    <row r="118" spans="1:8">
      <c r="A118" t="s">
        <v>431</v>
      </c>
      <c r="B118">
        <v>176</v>
      </c>
      <c r="C118" t="s">
        <v>1399</v>
      </c>
      <c r="D118" t="s">
        <v>1400</v>
      </c>
      <c r="F118" t="s">
        <v>463</v>
      </c>
      <c r="G118" t="s">
        <v>459</v>
      </c>
      <c r="H118">
        <v>0</v>
      </c>
    </row>
    <row r="119" spans="1:8">
      <c r="A119" t="s">
        <v>431</v>
      </c>
      <c r="B119">
        <v>176</v>
      </c>
      <c r="C119" t="s">
        <v>1399</v>
      </c>
      <c r="D119" t="s">
        <v>1401</v>
      </c>
      <c r="F119" t="s">
        <v>434</v>
      </c>
      <c r="G119" t="s">
        <v>474</v>
      </c>
      <c r="H119">
        <v>0</v>
      </c>
    </row>
    <row r="120" spans="1:8">
      <c r="A120" t="s">
        <v>431</v>
      </c>
      <c r="B120">
        <v>177</v>
      </c>
      <c r="C120" t="s">
        <v>613</v>
      </c>
      <c r="D120" t="s">
        <v>1402</v>
      </c>
      <c r="F120" t="s">
        <v>463</v>
      </c>
      <c r="G120" t="s">
        <v>459</v>
      </c>
      <c r="H120">
        <v>0</v>
      </c>
    </row>
    <row r="121" spans="1:8">
      <c r="A121" t="s">
        <v>431</v>
      </c>
      <c r="B121">
        <v>177</v>
      </c>
      <c r="C121" t="s">
        <v>613</v>
      </c>
      <c r="D121" t="s">
        <v>1403</v>
      </c>
      <c r="F121" t="s">
        <v>434</v>
      </c>
      <c r="G121" t="s">
        <v>474</v>
      </c>
      <c r="H121">
        <v>0</v>
      </c>
    </row>
    <row r="122" spans="1:8">
      <c r="A122" t="s">
        <v>431</v>
      </c>
      <c r="B122">
        <v>179</v>
      </c>
      <c r="C122" t="s">
        <v>616</v>
      </c>
      <c r="D122" t="s">
        <v>1404</v>
      </c>
      <c r="F122" t="s">
        <v>463</v>
      </c>
      <c r="G122" t="s">
        <v>459</v>
      </c>
      <c r="H122">
        <v>0</v>
      </c>
    </row>
    <row r="123" spans="1:8">
      <c r="A123" t="s">
        <v>431</v>
      </c>
      <c r="B123">
        <v>179</v>
      </c>
      <c r="C123" t="s">
        <v>616</v>
      </c>
      <c r="D123" t="s">
        <v>1405</v>
      </c>
      <c r="F123" t="s">
        <v>434</v>
      </c>
      <c r="G123" t="s">
        <v>459</v>
      </c>
      <c r="H123">
        <v>0</v>
      </c>
    </row>
    <row r="124" spans="1:8">
      <c r="A124" t="s">
        <v>431</v>
      </c>
      <c r="B124">
        <v>182</v>
      </c>
      <c r="C124" t="s">
        <v>623</v>
      </c>
      <c r="D124" t="s">
        <v>1406</v>
      </c>
      <c r="F124" t="s">
        <v>463</v>
      </c>
      <c r="G124" t="s">
        <v>459</v>
      </c>
      <c r="H124">
        <v>0</v>
      </c>
    </row>
    <row r="125" spans="1:8">
      <c r="A125" t="s">
        <v>431</v>
      </c>
      <c r="B125">
        <v>182</v>
      </c>
      <c r="C125" t="s">
        <v>623</v>
      </c>
      <c r="D125" t="s">
        <v>1407</v>
      </c>
      <c r="F125" t="s">
        <v>434</v>
      </c>
      <c r="G125" t="s">
        <v>459</v>
      </c>
      <c r="H125">
        <v>0</v>
      </c>
    </row>
    <row r="126" spans="1:8">
      <c r="A126" t="s">
        <v>431</v>
      </c>
      <c r="B126">
        <v>185</v>
      </c>
      <c r="C126" t="s">
        <v>629</v>
      </c>
      <c r="D126" t="s">
        <v>1408</v>
      </c>
      <c r="F126" t="s">
        <v>463</v>
      </c>
      <c r="G126" t="s">
        <v>459</v>
      </c>
      <c r="H126">
        <v>0</v>
      </c>
    </row>
    <row r="127" spans="1:8">
      <c r="A127" t="s">
        <v>431</v>
      </c>
      <c r="B127">
        <v>185</v>
      </c>
      <c r="C127" t="s">
        <v>629</v>
      </c>
      <c r="D127" t="s">
        <v>1409</v>
      </c>
      <c r="F127" t="s">
        <v>434</v>
      </c>
      <c r="G127" t="s">
        <v>474</v>
      </c>
      <c r="H127">
        <v>0</v>
      </c>
    </row>
    <row r="128" spans="1:8">
      <c r="A128" t="s">
        <v>431</v>
      </c>
      <c r="B128">
        <v>185</v>
      </c>
      <c r="C128" t="s">
        <v>629</v>
      </c>
      <c r="D128" t="s">
        <v>1410</v>
      </c>
      <c r="F128" t="s">
        <v>434</v>
      </c>
      <c r="G128" t="s">
        <v>459</v>
      </c>
      <c r="H128">
        <v>0</v>
      </c>
    </row>
    <row r="129" spans="1:8">
      <c r="A129" t="s">
        <v>431</v>
      </c>
      <c r="B129">
        <v>187</v>
      </c>
      <c r="C129" t="s">
        <v>636</v>
      </c>
      <c r="D129" t="s">
        <v>1411</v>
      </c>
      <c r="F129" t="s">
        <v>434</v>
      </c>
      <c r="G129" t="s">
        <v>459</v>
      </c>
      <c r="H129">
        <v>0</v>
      </c>
    </row>
    <row r="130" spans="1:8">
      <c r="A130" t="s">
        <v>431</v>
      </c>
      <c r="B130">
        <v>187</v>
      </c>
      <c r="C130" t="s">
        <v>636</v>
      </c>
      <c r="D130" t="s">
        <v>1412</v>
      </c>
      <c r="F130" t="s">
        <v>434</v>
      </c>
      <c r="G130" t="s">
        <v>474</v>
      </c>
      <c r="H130">
        <v>0</v>
      </c>
    </row>
    <row r="131" spans="1:8">
      <c r="A131" t="s">
        <v>431</v>
      </c>
      <c r="B131">
        <v>191</v>
      </c>
      <c r="C131" t="s">
        <v>641</v>
      </c>
      <c r="D131" t="s">
        <v>1413</v>
      </c>
      <c r="F131" t="s">
        <v>463</v>
      </c>
      <c r="G131" t="s">
        <v>459</v>
      </c>
      <c r="H131">
        <v>0</v>
      </c>
    </row>
    <row r="132" spans="1:8">
      <c r="A132" t="s">
        <v>431</v>
      </c>
      <c r="B132">
        <v>191</v>
      </c>
      <c r="C132" t="s">
        <v>641</v>
      </c>
      <c r="D132" t="s">
        <v>1414</v>
      </c>
      <c r="F132" t="s">
        <v>434</v>
      </c>
      <c r="G132" t="s">
        <v>459</v>
      </c>
      <c r="H132">
        <v>0</v>
      </c>
    </row>
    <row r="133" spans="1:8">
      <c r="A133" t="s">
        <v>431</v>
      </c>
      <c r="B133">
        <v>192</v>
      </c>
      <c r="C133" t="s">
        <v>646</v>
      </c>
      <c r="D133" t="s">
        <v>1415</v>
      </c>
      <c r="F133" t="s">
        <v>463</v>
      </c>
      <c r="G133" t="s">
        <v>459</v>
      </c>
      <c r="H133">
        <v>0</v>
      </c>
    </row>
    <row r="134" spans="1:8">
      <c r="A134" t="s">
        <v>431</v>
      </c>
      <c r="B134">
        <v>192</v>
      </c>
      <c r="C134" t="s">
        <v>646</v>
      </c>
      <c r="D134" t="s">
        <v>1416</v>
      </c>
      <c r="F134" t="s">
        <v>434</v>
      </c>
      <c r="G134" t="s">
        <v>459</v>
      </c>
      <c r="H134">
        <v>0</v>
      </c>
    </row>
    <row r="135" spans="1:8">
      <c r="A135" t="s">
        <v>431</v>
      </c>
      <c r="B135">
        <v>196</v>
      </c>
      <c r="C135" t="s">
        <v>650</v>
      </c>
      <c r="D135" t="s">
        <v>1417</v>
      </c>
      <c r="F135" t="s">
        <v>463</v>
      </c>
      <c r="G135" t="s">
        <v>459</v>
      </c>
      <c r="H135">
        <v>0</v>
      </c>
    </row>
    <row r="136" spans="1:8">
      <c r="A136" t="s">
        <v>431</v>
      </c>
      <c r="B136">
        <v>196</v>
      </c>
      <c r="C136" t="s">
        <v>650</v>
      </c>
      <c r="D136" t="s">
        <v>1418</v>
      </c>
      <c r="F136" t="s">
        <v>434</v>
      </c>
      <c r="G136" t="s">
        <v>459</v>
      </c>
      <c r="H136">
        <v>0</v>
      </c>
    </row>
    <row r="137" spans="1:8">
      <c r="A137" t="s">
        <v>431</v>
      </c>
      <c r="B137">
        <v>199</v>
      </c>
      <c r="C137" t="s">
        <v>665</v>
      </c>
      <c r="D137" t="s">
        <v>1419</v>
      </c>
      <c r="F137" t="s">
        <v>463</v>
      </c>
      <c r="G137" t="s">
        <v>459</v>
      </c>
      <c r="H137">
        <v>0</v>
      </c>
    </row>
    <row r="138" spans="1:8">
      <c r="A138" t="s">
        <v>431</v>
      </c>
      <c r="B138">
        <v>199</v>
      </c>
      <c r="C138" t="s">
        <v>665</v>
      </c>
      <c r="D138" t="s">
        <v>1420</v>
      </c>
      <c r="F138" t="s">
        <v>463</v>
      </c>
      <c r="G138" t="s">
        <v>459</v>
      </c>
      <c r="H138">
        <v>0</v>
      </c>
    </row>
    <row r="139" spans="1:8">
      <c r="A139" t="s">
        <v>431</v>
      </c>
      <c r="B139">
        <v>202</v>
      </c>
      <c r="C139" t="s">
        <v>683</v>
      </c>
      <c r="D139" t="s">
        <v>1421</v>
      </c>
      <c r="F139" t="s">
        <v>463</v>
      </c>
      <c r="G139" t="s">
        <v>459</v>
      </c>
      <c r="H139">
        <v>0</v>
      </c>
    </row>
    <row r="140" spans="1:8">
      <c r="A140" t="s">
        <v>431</v>
      </c>
      <c r="B140">
        <v>202</v>
      </c>
      <c r="C140" t="s">
        <v>683</v>
      </c>
      <c r="D140" t="s">
        <v>1422</v>
      </c>
      <c r="F140" t="s">
        <v>434</v>
      </c>
      <c r="G140" t="s">
        <v>459</v>
      </c>
      <c r="H140">
        <v>0</v>
      </c>
    </row>
    <row r="141" spans="1:8">
      <c r="A141" t="s">
        <v>431</v>
      </c>
      <c r="B141">
        <v>204</v>
      </c>
      <c r="C141" t="s">
        <v>690</v>
      </c>
      <c r="D141" t="s">
        <v>1423</v>
      </c>
      <c r="F141" t="s">
        <v>463</v>
      </c>
      <c r="G141" t="s">
        <v>459</v>
      </c>
      <c r="H141">
        <v>0</v>
      </c>
    </row>
    <row r="142" spans="1:8">
      <c r="A142" t="s">
        <v>431</v>
      </c>
      <c r="B142">
        <v>204</v>
      </c>
      <c r="C142" t="s">
        <v>690</v>
      </c>
      <c r="D142" t="s">
        <v>1424</v>
      </c>
      <c r="F142" t="s">
        <v>434</v>
      </c>
      <c r="G142" t="s">
        <v>459</v>
      </c>
      <c r="H142">
        <v>0</v>
      </c>
    </row>
    <row r="143" spans="1:8">
      <c r="A143" t="s">
        <v>431</v>
      </c>
      <c r="B143">
        <v>205</v>
      </c>
      <c r="C143" t="s">
        <v>698</v>
      </c>
      <c r="D143" t="s">
        <v>1425</v>
      </c>
      <c r="F143" t="s">
        <v>463</v>
      </c>
      <c r="G143" t="s">
        <v>459</v>
      </c>
      <c r="H143">
        <v>0</v>
      </c>
    </row>
    <row r="144" spans="1:8">
      <c r="A144" t="s">
        <v>431</v>
      </c>
      <c r="B144">
        <v>205</v>
      </c>
      <c r="C144" t="s">
        <v>698</v>
      </c>
      <c r="D144" t="s">
        <v>1426</v>
      </c>
      <c r="F144" t="s">
        <v>434</v>
      </c>
      <c r="G144" t="s">
        <v>459</v>
      </c>
      <c r="H144">
        <v>0</v>
      </c>
    </row>
    <row r="145" spans="1:8">
      <c r="A145" t="s">
        <v>431</v>
      </c>
      <c r="B145">
        <v>208</v>
      </c>
      <c r="C145" t="s">
        <v>706</v>
      </c>
      <c r="D145" t="s">
        <v>1427</v>
      </c>
      <c r="F145" t="s">
        <v>434</v>
      </c>
      <c r="G145" t="s">
        <v>435</v>
      </c>
      <c r="H145">
        <v>0</v>
      </c>
    </row>
    <row r="146" spans="1:8">
      <c r="A146" t="s">
        <v>431</v>
      </c>
      <c r="B146">
        <v>208</v>
      </c>
      <c r="C146" t="s">
        <v>706</v>
      </c>
      <c r="D146" t="s">
        <v>1428</v>
      </c>
      <c r="F146" t="s">
        <v>434</v>
      </c>
      <c r="G146" t="s">
        <v>474</v>
      </c>
      <c r="H146">
        <v>0</v>
      </c>
    </row>
    <row r="147" spans="1:8">
      <c r="A147" t="s">
        <v>431</v>
      </c>
      <c r="B147">
        <v>210</v>
      </c>
      <c r="C147" t="s">
        <v>711</v>
      </c>
      <c r="D147" t="s">
        <v>1429</v>
      </c>
      <c r="F147" t="s">
        <v>463</v>
      </c>
      <c r="G147" t="s">
        <v>474</v>
      </c>
      <c r="H147">
        <v>0</v>
      </c>
    </row>
    <row r="148" spans="1:8">
      <c r="A148" t="s">
        <v>431</v>
      </c>
      <c r="B148">
        <v>210</v>
      </c>
      <c r="C148" t="s">
        <v>711</v>
      </c>
      <c r="D148" t="s">
        <v>1430</v>
      </c>
      <c r="F148" t="s">
        <v>434</v>
      </c>
      <c r="G148" t="s">
        <v>474</v>
      </c>
      <c r="H148">
        <v>0</v>
      </c>
    </row>
    <row r="149" spans="1:8">
      <c r="A149" t="s">
        <v>431</v>
      </c>
      <c r="B149">
        <v>211</v>
      </c>
      <c r="C149" t="s">
        <v>716</v>
      </c>
      <c r="D149" t="s">
        <v>1431</v>
      </c>
      <c r="F149" t="s">
        <v>463</v>
      </c>
      <c r="G149" t="s">
        <v>474</v>
      </c>
      <c r="H149">
        <v>0</v>
      </c>
    </row>
    <row r="150" spans="1:8">
      <c r="A150" t="s">
        <v>431</v>
      </c>
      <c r="B150">
        <v>211</v>
      </c>
      <c r="C150" t="s">
        <v>716</v>
      </c>
      <c r="D150" t="s">
        <v>1432</v>
      </c>
      <c r="F150" t="s">
        <v>463</v>
      </c>
      <c r="G150" t="s">
        <v>459</v>
      </c>
      <c r="H150">
        <v>0</v>
      </c>
    </row>
    <row r="151" spans="1:8">
      <c r="A151" t="s">
        <v>431</v>
      </c>
      <c r="B151">
        <v>212</v>
      </c>
      <c r="C151" t="s">
        <v>723</v>
      </c>
      <c r="D151" t="s">
        <v>1433</v>
      </c>
      <c r="F151" t="s">
        <v>463</v>
      </c>
      <c r="G151" t="s">
        <v>459</v>
      </c>
      <c r="H151">
        <v>0</v>
      </c>
    </row>
    <row r="152" spans="1:8">
      <c r="A152" t="s">
        <v>431</v>
      </c>
      <c r="B152">
        <v>212</v>
      </c>
      <c r="C152" t="s">
        <v>723</v>
      </c>
      <c r="D152" t="s">
        <v>1434</v>
      </c>
      <c r="F152" t="s">
        <v>463</v>
      </c>
      <c r="G152" t="s">
        <v>459</v>
      </c>
      <c r="H152">
        <v>0</v>
      </c>
    </row>
    <row r="153" spans="1:8">
      <c r="A153" t="s">
        <v>431</v>
      </c>
      <c r="B153">
        <v>212</v>
      </c>
      <c r="C153" t="s">
        <v>723</v>
      </c>
      <c r="D153" t="s">
        <v>1435</v>
      </c>
      <c r="F153" t="s">
        <v>434</v>
      </c>
      <c r="G153" t="s">
        <v>459</v>
      </c>
      <c r="H153">
        <v>0</v>
      </c>
    </row>
    <row r="154" spans="1:8">
      <c r="A154" t="s">
        <v>431</v>
      </c>
      <c r="B154">
        <v>214</v>
      </c>
      <c r="C154" t="s">
        <v>730</v>
      </c>
      <c r="D154" t="s">
        <v>1436</v>
      </c>
      <c r="F154" t="s">
        <v>463</v>
      </c>
      <c r="G154" t="s">
        <v>459</v>
      </c>
      <c r="H154">
        <v>0</v>
      </c>
    </row>
    <row r="155" spans="1:8">
      <c r="A155" t="s">
        <v>431</v>
      </c>
      <c r="B155">
        <v>214</v>
      </c>
      <c r="C155" t="s">
        <v>730</v>
      </c>
      <c r="D155" t="s">
        <v>1437</v>
      </c>
      <c r="F155" t="s">
        <v>434</v>
      </c>
      <c r="G155" t="s">
        <v>459</v>
      </c>
      <c r="H155">
        <v>0</v>
      </c>
    </row>
    <row r="156" spans="1:8">
      <c r="A156" t="s">
        <v>431</v>
      </c>
      <c r="B156">
        <v>215</v>
      </c>
      <c r="C156" t="s">
        <v>737</v>
      </c>
      <c r="D156" t="s">
        <v>1438</v>
      </c>
      <c r="F156" t="s">
        <v>463</v>
      </c>
      <c r="G156" t="s">
        <v>459</v>
      </c>
      <c r="H156">
        <v>0</v>
      </c>
    </row>
    <row r="157" spans="1:8">
      <c r="A157" t="s">
        <v>431</v>
      </c>
      <c r="B157">
        <v>215</v>
      </c>
      <c r="C157" t="s">
        <v>737</v>
      </c>
      <c r="D157" t="s">
        <v>1439</v>
      </c>
      <c r="F157" t="s">
        <v>434</v>
      </c>
      <c r="G157" t="s">
        <v>459</v>
      </c>
      <c r="H157">
        <v>0</v>
      </c>
    </row>
    <row r="158" spans="1:8">
      <c r="A158" t="s">
        <v>431</v>
      </c>
      <c r="B158">
        <v>217</v>
      </c>
      <c r="C158" t="s">
        <v>744</v>
      </c>
      <c r="D158" t="s">
        <v>1440</v>
      </c>
      <c r="F158" t="s">
        <v>463</v>
      </c>
      <c r="G158" t="s">
        <v>459</v>
      </c>
      <c r="H158">
        <v>0</v>
      </c>
    </row>
    <row r="159" spans="1:8">
      <c r="A159" t="s">
        <v>431</v>
      </c>
      <c r="B159">
        <v>217</v>
      </c>
      <c r="C159" t="s">
        <v>744</v>
      </c>
      <c r="D159" t="s">
        <v>1441</v>
      </c>
      <c r="F159" t="s">
        <v>434</v>
      </c>
      <c r="G159" t="s">
        <v>459</v>
      </c>
      <c r="H159">
        <v>0</v>
      </c>
    </row>
    <row r="160" spans="1:8">
      <c r="A160" t="s">
        <v>431</v>
      </c>
      <c r="B160">
        <v>220</v>
      </c>
      <c r="C160" t="s">
        <v>749</v>
      </c>
      <c r="D160" t="s">
        <v>1442</v>
      </c>
      <c r="F160" t="s">
        <v>463</v>
      </c>
      <c r="G160" t="s">
        <v>459</v>
      </c>
      <c r="H160">
        <v>0</v>
      </c>
    </row>
    <row r="161" spans="1:8">
      <c r="A161" t="s">
        <v>431</v>
      </c>
      <c r="B161">
        <v>220</v>
      </c>
      <c r="C161" t="s">
        <v>749</v>
      </c>
      <c r="D161" t="s">
        <v>1443</v>
      </c>
      <c r="F161" t="s">
        <v>463</v>
      </c>
      <c r="G161" t="s">
        <v>459</v>
      </c>
      <c r="H161">
        <v>0</v>
      </c>
    </row>
    <row r="162" spans="1:8">
      <c r="A162" t="s">
        <v>431</v>
      </c>
      <c r="B162">
        <v>222</v>
      </c>
      <c r="C162" t="s">
        <v>755</v>
      </c>
      <c r="D162" t="s">
        <v>1444</v>
      </c>
      <c r="F162" t="s">
        <v>463</v>
      </c>
      <c r="G162" t="s">
        <v>459</v>
      </c>
      <c r="H162">
        <v>0</v>
      </c>
    </row>
    <row r="163" spans="1:8">
      <c r="A163" t="s">
        <v>431</v>
      </c>
      <c r="B163">
        <v>222</v>
      </c>
      <c r="C163" t="s">
        <v>755</v>
      </c>
      <c r="D163" t="s">
        <v>1445</v>
      </c>
      <c r="F163" t="s">
        <v>463</v>
      </c>
      <c r="G163" t="s">
        <v>459</v>
      </c>
      <c r="H163">
        <v>0</v>
      </c>
    </row>
    <row r="164" spans="1:8">
      <c r="A164" t="s">
        <v>431</v>
      </c>
      <c r="B164">
        <v>223</v>
      </c>
      <c r="C164" t="s">
        <v>762</v>
      </c>
      <c r="D164" t="s">
        <v>1413</v>
      </c>
      <c r="F164" t="s">
        <v>434</v>
      </c>
      <c r="G164" t="s">
        <v>435</v>
      </c>
      <c r="H164">
        <v>0</v>
      </c>
    </row>
    <row r="165" spans="1:8">
      <c r="A165" t="s">
        <v>431</v>
      </c>
      <c r="B165">
        <v>223</v>
      </c>
      <c r="C165" t="s">
        <v>762</v>
      </c>
      <c r="D165" t="s">
        <v>1446</v>
      </c>
      <c r="F165" t="s">
        <v>434</v>
      </c>
      <c r="G165" t="s">
        <v>435</v>
      </c>
      <c r="H165">
        <v>0</v>
      </c>
    </row>
    <row r="166" spans="1:8">
      <c r="A166" t="s">
        <v>431</v>
      </c>
      <c r="B166">
        <v>227</v>
      </c>
      <c r="C166" t="s">
        <v>767</v>
      </c>
      <c r="D166" t="s">
        <v>1447</v>
      </c>
      <c r="F166" t="s">
        <v>463</v>
      </c>
      <c r="G166" t="s">
        <v>459</v>
      </c>
      <c r="H166">
        <v>0</v>
      </c>
    </row>
    <row r="167" spans="1:8">
      <c r="A167" t="s">
        <v>431</v>
      </c>
      <c r="B167">
        <v>227</v>
      </c>
      <c r="C167" t="s">
        <v>767</v>
      </c>
      <c r="D167" t="s">
        <v>1448</v>
      </c>
      <c r="F167" t="s">
        <v>463</v>
      </c>
      <c r="G167" t="s">
        <v>459</v>
      </c>
      <c r="H167">
        <v>0</v>
      </c>
    </row>
    <row r="168" spans="1:8">
      <c r="A168" t="s">
        <v>431</v>
      </c>
      <c r="B168">
        <v>227</v>
      </c>
      <c r="C168" t="s">
        <v>767</v>
      </c>
      <c r="D168" t="s">
        <v>1449</v>
      </c>
      <c r="F168" t="s">
        <v>463</v>
      </c>
      <c r="G168" t="s">
        <v>459</v>
      </c>
      <c r="H168">
        <v>0</v>
      </c>
    </row>
    <row r="169" spans="1:8">
      <c r="A169" t="s">
        <v>431</v>
      </c>
      <c r="B169">
        <v>227</v>
      </c>
      <c r="C169" t="s">
        <v>767</v>
      </c>
      <c r="D169" t="s">
        <v>1450</v>
      </c>
      <c r="F169" t="s">
        <v>463</v>
      </c>
      <c r="G169" t="s">
        <v>459</v>
      </c>
      <c r="H169">
        <v>0</v>
      </c>
    </row>
    <row r="170" spans="1:8">
      <c r="A170" t="s">
        <v>431</v>
      </c>
      <c r="B170">
        <v>227</v>
      </c>
      <c r="C170" t="s">
        <v>767</v>
      </c>
      <c r="D170" t="s">
        <v>1451</v>
      </c>
      <c r="F170" t="s">
        <v>463</v>
      </c>
      <c r="G170" t="s">
        <v>459</v>
      </c>
      <c r="H170">
        <v>0</v>
      </c>
    </row>
    <row r="171" spans="1:8">
      <c r="A171" t="s">
        <v>431</v>
      </c>
      <c r="B171">
        <v>227</v>
      </c>
      <c r="C171" t="s">
        <v>767</v>
      </c>
      <c r="D171" t="s">
        <v>1452</v>
      </c>
      <c r="F171" t="s">
        <v>434</v>
      </c>
      <c r="G171" t="s">
        <v>459</v>
      </c>
      <c r="H171">
        <v>0</v>
      </c>
    </row>
    <row r="172" spans="1:8">
      <c r="A172" t="s">
        <v>431</v>
      </c>
      <c r="B172">
        <v>227</v>
      </c>
      <c r="C172" t="s">
        <v>767</v>
      </c>
      <c r="D172" t="s">
        <v>1453</v>
      </c>
      <c r="F172" t="s">
        <v>434</v>
      </c>
      <c r="G172" t="s">
        <v>459</v>
      </c>
      <c r="H172">
        <v>0</v>
      </c>
    </row>
    <row r="173" spans="1:8">
      <c r="A173" t="s">
        <v>431</v>
      </c>
      <c r="B173">
        <v>227</v>
      </c>
      <c r="C173" t="s">
        <v>767</v>
      </c>
      <c r="D173" t="s">
        <v>1454</v>
      </c>
      <c r="F173" t="s">
        <v>434</v>
      </c>
      <c r="G173" t="s">
        <v>459</v>
      </c>
      <c r="H173">
        <v>0</v>
      </c>
    </row>
    <row r="174" spans="1:8">
      <c r="A174" t="s">
        <v>431</v>
      </c>
      <c r="B174">
        <v>227</v>
      </c>
      <c r="C174" t="s">
        <v>767</v>
      </c>
      <c r="D174" t="s">
        <v>1455</v>
      </c>
      <c r="F174" t="s">
        <v>434</v>
      </c>
      <c r="G174" t="s">
        <v>459</v>
      </c>
      <c r="H174">
        <v>0</v>
      </c>
    </row>
    <row r="175" spans="1:8">
      <c r="A175" t="s">
        <v>431</v>
      </c>
      <c r="B175">
        <v>233</v>
      </c>
      <c r="C175" t="s">
        <v>781</v>
      </c>
      <c r="D175" t="s">
        <v>1456</v>
      </c>
      <c r="F175" t="s">
        <v>434</v>
      </c>
      <c r="G175" t="s">
        <v>435</v>
      </c>
      <c r="H175">
        <v>0</v>
      </c>
    </row>
    <row r="176" spans="1:8">
      <c r="A176" t="s">
        <v>431</v>
      </c>
      <c r="B176">
        <v>233</v>
      </c>
      <c r="C176" t="s">
        <v>781</v>
      </c>
      <c r="D176" t="s">
        <v>1457</v>
      </c>
      <c r="F176" t="s">
        <v>434</v>
      </c>
      <c r="G176" t="s">
        <v>474</v>
      </c>
      <c r="H176">
        <v>0</v>
      </c>
    </row>
    <row r="177" spans="1:8">
      <c r="A177" t="s">
        <v>431</v>
      </c>
      <c r="B177">
        <v>234</v>
      </c>
      <c r="C177" t="s">
        <v>789</v>
      </c>
      <c r="D177" t="s">
        <v>1458</v>
      </c>
      <c r="F177" t="s">
        <v>434</v>
      </c>
      <c r="G177" t="s">
        <v>435</v>
      </c>
      <c r="H177">
        <v>0</v>
      </c>
    </row>
    <row r="178" spans="1:8">
      <c r="A178" t="s">
        <v>431</v>
      </c>
      <c r="B178">
        <v>240</v>
      </c>
      <c r="C178" t="s">
        <v>796</v>
      </c>
      <c r="D178" t="s">
        <v>1459</v>
      </c>
      <c r="F178" t="s">
        <v>463</v>
      </c>
      <c r="G178" t="s">
        <v>459</v>
      </c>
      <c r="H178">
        <v>0</v>
      </c>
    </row>
    <row r="179" spans="1:8">
      <c r="A179" t="s">
        <v>431</v>
      </c>
      <c r="B179">
        <v>240</v>
      </c>
      <c r="C179" t="s">
        <v>796</v>
      </c>
      <c r="D179" t="s">
        <v>1460</v>
      </c>
      <c r="F179" t="s">
        <v>434</v>
      </c>
      <c r="G179" t="s">
        <v>474</v>
      </c>
      <c r="H179">
        <v>0</v>
      </c>
    </row>
    <row r="180" spans="1:8">
      <c r="A180" t="s">
        <v>431</v>
      </c>
      <c r="B180">
        <v>242</v>
      </c>
      <c r="C180" t="s">
        <v>802</v>
      </c>
      <c r="D180" t="s">
        <v>1461</v>
      </c>
      <c r="F180" t="s">
        <v>434</v>
      </c>
      <c r="G180" t="s">
        <v>459</v>
      </c>
      <c r="H180">
        <v>0</v>
      </c>
    </row>
    <row r="181" spans="1:8">
      <c r="A181" t="s">
        <v>431</v>
      </c>
      <c r="B181">
        <v>242</v>
      </c>
      <c r="C181" t="s">
        <v>802</v>
      </c>
      <c r="D181" t="s">
        <v>1462</v>
      </c>
      <c r="F181" t="s">
        <v>463</v>
      </c>
      <c r="G181" t="s">
        <v>459</v>
      </c>
      <c r="H181">
        <v>0</v>
      </c>
    </row>
    <row r="182" spans="1:8">
      <c r="A182" t="s">
        <v>431</v>
      </c>
      <c r="B182">
        <v>243</v>
      </c>
      <c r="C182" t="s">
        <v>807</v>
      </c>
      <c r="D182" t="s">
        <v>1463</v>
      </c>
      <c r="F182" t="s">
        <v>463</v>
      </c>
      <c r="G182" t="s">
        <v>459</v>
      </c>
      <c r="H182">
        <v>0</v>
      </c>
    </row>
    <row r="183" spans="1:8">
      <c r="A183" t="s">
        <v>431</v>
      </c>
      <c r="B183">
        <v>243</v>
      </c>
      <c r="C183" t="s">
        <v>807</v>
      </c>
      <c r="D183" t="s">
        <v>1464</v>
      </c>
      <c r="F183" t="s">
        <v>434</v>
      </c>
      <c r="G183" t="s">
        <v>459</v>
      </c>
      <c r="H183">
        <v>0</v>
      </c>
    </row>
    <row r="184" spans="1:8">
      <c r="A184" t="s">
        <v>431</v>
      </c>
      <c r="B184">
        <v>247</v>
      </c>
      <c r="C184" t="s">
        <v>816</v>
      </c>
      <c r="D184" t="s">
        <v>1465</v>
      </c>
      <c r="F184" t="s">
        <v>434</v>
      </c>
      <c r="G184" t="s">
        <v>459</v>
      </c>
      <c r="H184">
        <v>0</v>
      </c>
    </row>
    <row r="185" spans="1:8">
      <c r="A185" t="s">
        <v>431</v>
      </c>
      <c r="B185">
        <v>247</v>
      </c>
      <c r="C185" t="s">
        <v>816</v>
      </c>
      <c r="D185" t="s">
        <v>1466</v>
      </c>
      <c r="F185" t="s">
        <v>434</v>
      </c>
      <c r="G185" t="s">
        <v>474</v>
      </c>
      <c r="H185">
        <v>0</v>
      </c>
    </row>
    <row r="186" spans="1:8">
      <c r="A186" t="s">
        <v>431</v>
      </c>
      <c r="B186">
        <v>248</v>
      </c>
      <c r="C186" t="s">
        <v>823</v>
      </c>
      <c r="D186" t="s">
        <v>1467</v>
      </c>
      <c r="F186" t="s">
        <v>463</v>
      </c>
      <c r="G186" t="s">
        <v>459</v>
      </c>
      <c r="H186">
        <v>0</v>
      </c>
    </row>
    <row r="187" spans="1:8">
      <c r="A187" t="s">
        <v>431</v>
      </c>
      <c r="B187">
        <v>248</v>
      </c>
      <c r="C187" t="s">
        <v>823</v>
      </c>
      <c r="D187" t="s">
        <v>1468</v>
      </c>
      <c r="F187" t="s">
        <v>434</v>
      </c>
      <c r="G187" t="s">
        <v>459</v>
      </c>
      <c r="H187">
        <v>0</v>
      </c>
    </row>
    <row r="188" spans="1:8">
      <c r="A188" t="s">
        <v>431</v>
      </c>
      <c r="B188">
        <v>249</v>
      </c>
      <c r="C188" t="s">
        <v>828</v>
      </c>
      <c r="D188" t="s">
        <v>1469</v>
      </c>
      <c r="F188" t="s">
        <v>463</v>
      </c>
      <c r="G188" t="s">
        <v>474</v>
      </c>
      <c r="H188">
        <v>0</v>
      </c>
    </row>
    <row r="189" spans="1:8">
      <c r="A189" t="s">
        <v>431</v>
      </c>
      <c r="B189">
        <v>249</v>
      </c>
      <c r="C189" t="s">
        <v>828</v>
      </c>
      <c r="D189" t="s">
        <v>1470</v>
      </c>
      <c r="F189" t="s">
        <v>434</v>
      </c>
      <c r="G189" t="s">
        <v>474</v>
      </c>
      <c r="H189">
        <v>0</v>
      </c>
    </row>
    <row r="190" spans="1:8">
      <c r="A190" t="s">
        <v>431</v>
      </c>
      <c r="B190">
        <v>249</v>
      </c>
      <c r="C190" t="s">
        <v>828</v>
      </c>
      <c r="D190" t="s">
        <v>1471</v>
      </c>
      <c r="F190" t="s">
        <v>434</v>
      </c>
      <c r="G190" t="s">
        <v>474</v>
      </c>
      <c r="H190">
        <v>0</v>
      </c>
    </row>
    <row r="191" spans="1:8">
      <c r="A191" t="s">
        <v>431</v>
      </c>
      <c r="B191">
        <v>250</v>
      </c>
      <c r="C191" t="s">
        <v>835</v>
      </c>
      <c r="D191" t="s">
        <v>1472</v>
      </c>
      <c r="F191" t="s">
        <v>463</v>
      </c>
      <c r="G191" t="s">
        <v>474</v>
      </c>
      <c r="H191">
        <v>0</v>
      </c>
    </row>
    <row r="192" spans="1:8">
      <c r="A192" t="s">
        <v>431</v>
      </c>
      <c r="B192">
        <v>251</v>
      </c>
      <c r="C192" t="s">
        <v>841</v>
      </c>
      <c r="D192" t="s">
        <v>1473</v>
      </c>
      <c r="F192" t="s">
        <v>434</v>
      </c>
      <c r="G192" t="s">
        <v>459</v>
      </c>
      <c r="H192">
        <v>0</v>
      </c>
    </row>
    <row r="193" spans="1:8">
      <c r="A193" t="s">
        <v>431</v>
      </c>
      <c r="B193">
        <v>251</v>
      </c>
      <c r="C193" t="s">
        <v>841</v>
      </c>
      <c r="D193" t="s">
        <v>1474</v>
      </c>
      <c r="F193" t="s">
        <v>434</v>
      </c>
      <c r="G193" t="s">
        <v>459</v>
      </c>
      <c r="H193">
        <v>0</v>
      </c>
    </row>
    <row r="222" spans="1:8">
      <c r="A222" t="s">
        <v>431</v>
      </c>
      <c r="B222">
        <v>114</v>
      </c>
      <c r="C222" t="s">
        <v>432</v>
      </c>
      <c r="D222" t="s">
        <v>433</v>
      </c>
      <c r="F222" t="s">
        <v>434</v>
      </c>
      <c r="G222" t="s">
        <v>435</v>
      </c>
      <c r="H222">
        <v>0</v>
      </c>
    </row>
    <row r="223" spans="1:8">
      <c r="A223" t="s">
        <v>431</v>
      </c>
      <c r="B223">
        <v>115</v>
      </c>
      <c r="C223" t="s">
        <v>436</v>
      </c>
      <c r="D223" t="s">
        <v>437</v>
      </c>
      <c r="F223" t="s">
        <v>434</v>
      </c>
      <c r="G223" t="s">
        <v>435</v>
      </c>
      <c r="H223">
        <v>0</v>
      </c>
    </row>
    <row r="224" spans="1:8">
      <c r="A224" t="s">
        <v>431</v>
      </c>
      <c r="B224">
        <v>115</v>
      </c>
      <c r="C224" t="s">
        <v>436</v>
      </c>
      <c r="D224" t="s">
        <v>438</v>
      </c>
      <c r="F224" t="s">
        <v>434</v>
      </c>
      <c r="G224" t="s">
        <v>435</v>
      </c>
      <c r="H224">
        <v>0</v>
      </c>
    </row>
    <row r="225" spans="1:8">
      <c r="A225" t="s">
        <v>431</v>
      </c>
      <c r="B225">
        <v>115</v>
      </c>
      <c r="C225" t="s">
        <v>436</v>
      </c>
      <c r="D225" t="s">
        <v>439</v>
      </c>
      <c r="F225" t="s">
        <v>434</v>
      </c>
      <c r="G225" t="s">
        <v>435</v>
      </c>
      <c r="H225">
        <v>0</v>
      </c>
    </row>
    <row r="226" spans="1:8">
      <c r="A226" t="s">
        <v>431</v>
      </c>
      <c r="B226">
        <v>115</v>
      </c>
      <c r="C226" t="s">
        <v>436</v>
      </c>
      <c r="D226" t="s">
        <v>440</v>
      </c>
      <c r="F226" t="s">
        <v>434</v>
      </c>
      <c r="G226" t="s">
        <v>435</v>
      </c>
      <c r="H226">
        <v>0</v>
      </c>
    </row>
    <row r="227" spans="1:8">
      <c r="A227" t="s">
        <v>431</v>
      </c>
      <c r="B227">
        <v>115</v>
      </c>
      <c r="C227" t="s">
        <v>436</v>
      </c>
      <c r="D227" t="s">
        <v>441</v>
      </c>
      <c r="F227" t="s">
        <v>434</v>
      </c>
      <c r="G227" t="s">
        <v>435</v>
      </c>
      <c r="H227">
        <v>0</v>
      </c>
    </row>
    <row r="228" spans="1:8">
      <c r="A228" t="s">
        <v>431</v>
      </c>
      <c r="B228">
        <v>115</v>
      </c>
      <c r="C228" t="s">
        <v>436</v>
      </c>
      <c r="D228" t="s">
        <v>442</v>
      </c>
      <c r="F228" t="s">
        <v>434</v>
      </c>
      <c r="G228" t="s">
        <v>435</v>
      </c>
      <c r="H228">
        <v>0</v>
      </c>
    </row>
    <row r="229" spans="1:8">
      <c r="A229" t="s">
        <v>431</v>
      </c>
      <c r="B229">
        <v>118</v>
      </c>
      <c r="C229" t="s">
        <v>443</v>
      </c>
      <c r="D229" t="s">
        <v>444</v>
      </c>
      <c r="F229" t="s">
        <v>434</v>
      </c>
      <c r="G229" t="s">
        <v>435</v>
      </c>
      <c r="H229">
        <v>0</v>
      </c>
    </row>
    <row r="230" spans="1:8">
      <c r="A230" t="s">
        <v>431</v>
      </c>
      <c r="B230">
        <v>118</v>
      </c>
      <c r="C230" t="s">
        <v>443</v>
      </c>
      <c r="D230" t="s">
        <v>445</v>
      </c>
      <c r="F230" t="s">
        <v>434</v>
      </c>
      <c r="G230" t="s">
        <v>435</v>
      </c>
      <c r="H230">
        <v>0</v>
      </c>
    </row>
    <row r="231" spans="1:8">
      <c r="A231" t="s">
        <v>431</v>
      </c>
      <c r="B231">
        <v>118</v>
      </c>
      <c r="C231" t="s">
        <v>443</v>
      </c>
      <c r="D231" t="s">
        <v>446</v>
      </c>
      <c r="F231" t="s">
        <v>434</v>
      </c>
      <c r="G231" t="s">
        <v>435</v>
      </c>
      <c r="H231">
        <v>0</v>
      </c>
    </row>
    <row r="232" spans="1:8">
      <c r="A232" t="s">
        <v>431</v>
      </c>
      <c r="B232">
        <v>118</v>
      </c>
      <c r="C232" t="s">
        <v>443</v>
      </c>
      <c r="D232" t="s">
        <v>447</v>
      </c>
      <c r="F232" t="s">
        <v>434</v>
      </c>
      <c r="G232" t="s">
        <v>435</v>
      </c>
      <c r="H232">
        <v>0</v>
      </c>
    </row>
    <row r="233" spans="1:8">
      <c r="A233" t="s">
        <v>431</v>
      </c>
      <c r="B233">
        <v>118</v>
      </c>
      <c r="C233" t="s">
        <v>443</v>
      </c>
      <c r="D233" t="s">
        <v>448</v>
      </c>
      <c r="F233" t="s">
        <v>434</v>
      </c>
      <c r="G233" t="s">
        <v>435</v>
      </c>
      <c r="H233">
        <v>0</v>
      </c>
    </row>
    <row r="234" spans="1:8">
      <c r="A234" t="s">
        <v>431</v>
      </c>
      <c r="B234">
        <v>118</v>
      </c>
      <c r="C234" t="s">
        <v>443</v>
      </c>
      <c r="D234" t="s">
        <v>449</v>
      </c>
      <c r="F234" t="s">
        <v>434</v>
      </c>
      <c r="G234" t="s">
        <v>435</v>
      </c>
      <c r="H234">
        <v>0</v>
      </c>
    </row>
    <row r="235" spans="1:8">
      <c r="A235" t="s">
        <v>431</v>
      </c>
      <c r="B235">
        <v>119</v>
      </c>
      <c r="C235" t="s">
        <v>450</v>
      </c>
      <c r="D235" t="s">
        <v>451</v>
      </c>
      <c r="F235" t="s">
        <v>434</v>
      </c>
      <c r="G235" t="s">
        <v>435</v>
      </c>
      <c r="H235">
        <v>0</v>
      </c>
    </row>
    <row r="236" spans="1:8">
      <c r="A236" t="s">
        <v>431</v>
      </c>
      <c r="B236">
        <v>119</v>
      </c>
      <c r="C236" t="s">
        <v>450</v>
      </c>
      <c r="D236" t="s">
        <v>452</v>
      </c>
      <c r="F236" t="s">
        <v>434</v>
      </c>
      <c r="G236" t="s">
        <v>435</v>
      </c>
      <c r="H236">
        <v>0</v>
      </c>
    </row>
    <row r="237" spans="1:8">
      <c r="A237" t="s">
        <v>431</v>
      </c>
      <c r="B237">
        <v>119</v>
      </c>
      <c r="C237" t="s">
        <v>450</v>
      </c>
      <c r="D237" t="s">
        <v>453</v>
      </c>
      <c r="F237" t="s">
        <v>434</v>
      </c>
      <c r="G237" t="s">
        <v>435</v>
      </c>
      <c r="H237">
        <v>0</v>
      </c>
    </row>
    <row r="238" spans="1:8">
      <c r="A238" t="s">
        <v>431</v>
      </c>
      <c r="B238">
        <v>119</v>
      </c>
      <c r="C238" t="s">
        <v>450</v>
      </c>
      <c r="D238" t="s">
        <v>454</v>
      </c>
      <c r="F238" t="s">
        <v>434</v>
      </c>
      <c r="G238" t="s">
        <v>435</v>
      </c>
      <c r="H238">
        <v>0</v>
      </c>
    </row>
    <row r="239" spans="1:8">
      <c r="A239" t="s">
        <v>431</v>
      </c>
      <c r="B239">
        <v>119</v>
      </c>
      <c r="C239" t="s">
        <v>450</v>
      </c>
      <c r="D239" t="s">
        <v>455</v>
      </c>
      <c r="F239" t="s">
        <v>434</v>
      </c>
      <c r="G239" t="s">
        <v>435</v>
      </c>
      <c r="H239">
        <v>0</v>
      </c>
    </row>
    <row r="240" spans="1:8">
      <c r="A240" t="s">
        <v>431</v>
      </c>
      <c r="B240">
        <v>119</v>
      </c>
      <c r="C240" t="s">
        <v>450</v>
      </c>
      <c r="D240" t="s">
        <v>456</v>
      </c>
      <c r="F240" t="s">
        <v>434</v>
      </c>
      <c r="G240" t="s">
        <v>435</v>
      </c>
      <c r="H240">
        <v>0</v>
      </c>
    </row>
    <row r="241" spans="1:8">
      <c r="A241" t="s">
        <v>431</v>
      </c>
      <c r="B241">
        <v>121</v>
      </c>
      <c r="C241" t="s">
        <v>457</v>
      </c>
      <c r="D241" t="s">
        <v>458</v>
      </c>
      <c r="F241" t="s">
        <v>434</v>
      </c>
      <c r="G241" t="s">
        <v>459</v>
      </c>
      <c r="H241">
        <v>0</v>
      </c>
    </row>
    <row r="242" spans="1:8">
      <c r="A242" t="s">
        <v>431</v>
      </c>
      <c r="B242">
        <v>121</v>
      </c>
      <c r="C242" t="s">
        <v>457</v>
      </c>
      <c r="D242" t="s">
        <v>460</v>
      </c>
      <c r="F242" t="s">
        <v>434</v>
      </c>
      <c r="G242" t="s">
        <v>459</v>
      </c>
      <c r="H242">
        <v>0</v>
      </c>
    </row>
    <row r="243" spans="1:8">
      <c r="A243" t="s">
        <v>431</v>
      </c>
      <c r="B243">
        <v>121</v>
      </c>
      <c r="C243" t="s">
        <v>457</v>
      </c>
      <c r="D243" t="s">
        <v>461</v>
      </c>
      <c r="F243" t="s">
        <v>434</v>
      </c>
      <c r="G243" t="s">
        <v>459</v>
      </c>
      <c r="H243">
        <v>0</v>
      </c>
    </row>
    <row r="244" spans="1:8">
      <c r="A244" t="s">
        <v>431</v>
      </c>
      <c r="B244">
        <v>121</v>
      </c>
      <c r="C244" t="s">
        <v>457</v>
      </c>
      <c r="D244" t="s">
        <v>462</v>
      </c>
      <c r="F244" t="s">
        <v>463</v>
      </c>
      <c r="G244" t="s">
        <v>459</v>
      </c>
      <c r="H244">
        <v>0</v>
      </c>
    </row>
    <row r="245" spans="1:8">
      <c r="A245" t="s">
        <v>431</v>
      </c>
      <c r="B245">
        <v>121</v>
      </c>
      <c r="C245" t="s">
        <v>457</v>
      </c>
      <c r="D245" t="s">
        <v>464</v>
      </c>
      <c r="F245" t="s">
        <v>463</v>
      </c>
      <c r="G245" t="s">
        <v>459</v>
      </c>
      <c r="H245">
        <v>0</v>
      </c>
    </row>
    <row r="246" spans="1:8">
      <c r="A246" t="s">
        <v>431</v>
      </c>
      <c r="B246">
        <v>121</v>
      </c>
      <c r="C246" t="s">
        <v>457</v>
      </c>
      <c r="D246" t="s">
        <v>465</v>
      </c>
      <c r="F246" t="s">
        <v>434</v>
      </c>
      <c r="G246" t="s">
        <v>459</v>
      </c>
      <c r="H246">
        <v>0</v>
      </c>
    </row>
    <row r="247" spans="1:8">
      <c r="A247" t="s">
        <v>431</v>
      </c>
      <c r="B247">
        <v>124</v>
      </c>
      <c r="C247" t="s">
        <v>466</v>
      </c>
      <c r="D247" t="s">
        <v>467</v>
      </c>
      <c r="F247" t="s">
        <v>463</v>
      </c>
      <c r="G247" t="s">
        <v>459</v>
      </c>
      <c r="H247">
        <v>0</v>
      </c>
    </row>
    <row r="248" spans="1:8">
      <c r="A248" t="s">
        <v>431</v>
      </c>
      <c r="B248">
        <v>124</v>
      </c>
      <c r="C248" t="s">
        <v>466</v>
      </c>
      <c r="D248" t="s">
        <v>468</v>
      </c>
      <c r="F248" t="s">
        <v>434</v>
      </c>
      <c r="G248" t="s">
        <v>459</v>
      </c>
      <c r="H248">
        <v>0</v>
      </c>
    </row>
    <row r="249" spans="1:8">
      <c r="A249" t="s">
        <v>431</v>
      </c>
      <c r="B249">
        <v>124</v>
      </c>
      <c r="C249" t="s">
        <v>466</v>
      </c>
      <c r="D249" t="s">
        <v>469</v>
      </c>
      <c r="F249" t="s">
        <v>434</v>
      </c>
      <c r="G249" t="s">
        <v>459</v>
      </c>
      <c r="H249">
        <v>0</v>
      </c>
    </row>
    <row r="250" spans="1:8">
      <c r="A250" t="s">
        <v>431</v>
      </c>
      <c r="B250">
        <v>124</v>
      </c>
      <c r="C250" t="s">
        <v>466</v>
      </c>
      <c r="D250" t="s">
        <v>470</v>
      </c>
      <c r="F250" t="s">
        <v>434</v>
      </c>
      <c r="G250" t="s">
        <v>459</v>
      </c>
      <c r="H250">
        <v>0</v>
      </c>
    </row>
    <row r="251" spans="1:8">
      <c r="A251" t="s">
        <v>431</v>
      </c>
      <c r="B251">
        <v>124</v>
      </c>
      <c r="C251" t="s">
        <v>466</v>
      </c>
      <c r="D251" t="s">
        <v>471</v>
      </c>
      <c r="F251" t="s">
        <v>463</v>
      </c>
      <c r="G251" t="s">
        <v>459</v>
      </c>
      <c r="H251">
        <v>0</v>
      </c>
    </row>
    <row r="252" spans="1:8">
      <c r="A252" t="s">
        <v>431</v>
      </c>
      <c r="B252">
        <v>124</v>
      </c>
      <c r="C252" t="s">
        <v>466</v>
      </c>
      <c r="D252" t="s">
        <v>472</v>
      </c>
      <c r="F252" t="s">
        <v>463</v>
      </c>
      <c r="G252" t="s">
        <v>459</v>
      </c>
      <c r="H252">
        <v>0</v>
      </c>
    </row>
    <row r="253" spans="1:8">
      <c r="A253" t="s">
        <v>431</v>
      </c>
      <c r="B253">
        <v>124</v>
      </c>
      <c r="C253" t="s">
        <v>466</v>
      </c>
      <c r="D253" t="s">
        <v>473</v>
      </c>
      <c r="F253" t="s">
        <v>434</v>
      </c>
      <c r="G253" t="s">
        <v>474</v>
      </c>
      <c r="H253">
        <v>0</v>
      </c>
    </row>
    <row r="254" spans="1:8">
      <c r="A254" t="s">
        <v>431</v>
      </c>
      <c r="B254">
        <v>132</v>
      </c>
      <c r="C254" t="s">
        <v>475</v>
      </c>
      <c r="D254" t="s">
        <v>476</v>
      </c>
      <c r="F254" t="s">
        <v>434</v>
      </c>
      <c r="G254" t="s">
        <v>459</v>
      </c>
      <c r="H254">
        <v>0</v>
      </c>
    </row>
    <row r="255" spans="1:8">
      <c r="A255" t="s">
        <v>431</v>
      </c>
      <c r="B255">
        <v>132</v>
      </c>
      <c r="C255" t="s">
        <v>475</v>
      </c>
      <c r="D255" t="s">
        <v>477</v>
      </c>
      <c r="F255" t="s">
        <v>463</v>
      </c>
      <c r="G255" t="s">
        <v>459</v>
      </c>
      <c r="H255">
        <v>0</v>
      </c>
    </row>
    <row r="256" spans="1:8">
      <c r="A256" t="s">
        <v>431</v>
      </c>
      <c r="B256">
        <v>132</v>
      </c>
      <c r="C256" t="s">
        <v>475</v>
      </c>
      <c r="D256" t="s">
        <v>478</v>
      </c>
      <c r="F256" t="s">
        <v>434</v>
      </c>
      <c r="G256" t="s">
        <v>459</v>
      </c>
      <c r="H256">
        <v>0</v>
      </c>
    </row>
    <row r="257" spans="1:8">
      <c r="A257" t="s">
        <v>431</v>
      </c>
      <c r="B257">
        <v>132</v>
      </c>
      <c r="C257" t="s">
        <v>475</v>
      </c>
      <c r="D257" t="s">
        <v>479</v>
      </c>
      <c r="F257" t="s">
        <v>434</v>
      </c>
      <c r="G257" t="s">
        <v>459</v>
      </c>
      <c r="H257">
        <v>0</v>
      </c>
    </row>
    <row r="258" spans="1:8">
      <c r="A258" t="s">
        <v>431</v>
      </c>
      <c r="B258">
        <v>135</v>
      </c>
      <c r="C258" t="s">
        <v>480</v>
      </c>
      <c r="D258" t="s">
        <v>481</v>
      </c>
      <c r="F258" t="s">
        <v>434</v>
      </c>
      <c r="G258" t="s">
        <v>459</v>
      </c>
      <c r="H258">
        <v>0</v>
      </c>
    </row>
    <row r="259" spans="1:8">
      <c r="A259" t="s">
        <v>431</v>
      </c>
      <c r="B259">
        <v>135</v>
      </c>
      <c r="C259" t="s">
        <v>480</v>
      </c>
      <c r="D259" t="s">
        <v>482</v>
      </c>
      <c r="F259" t="s">
        <v>434</v>
      </c>
      <c r="G259" t="s">
        <v>459</v>
      </c>
      <c r="H259">
        <v>0</v>
      </c>
    </row>
    <row r="260" spans="1:8">
      <c r="A260" t="s">
        <v>431</v>
      </c>
      <c r="B260">
        <v>135</v>
      </c>
      <c r="C260" t="s">
        <v>480</v>
      </c>
      <c r="D260" t="s">
        <v>483</v>
      </c>
      <c r="F260" t="s">
        <v>463</v>
      </c>
      <c r="G260" t="s">
        <v>459</v>
      </c>
      <c r="H260">
        <v>0</v>
      </c>
    </row>
    <row r="261" spans="1:8">
      <c r="A261" t="s">
        <v>431</v>
      </c>
      <c r="B261">
        <v>135</v>
      </c>
      <c r="C261" t="s">
        <v>480</v>
      </c>
      <c r="D261" t="s">
        <v>484</v>
      </c>
      <c r="F261" t="s">
        <v>434</v>
      </c>
      <c r="G261" t="s">
        <v>459</v>
      </c>
      <c r="H261">
        <v>0</v>
      </c>
    </row>
    <row r="262" spans="1:8">
      <c r="A262" t="s">
        <v>431</v>
      </c>
      <c r="B262">
        <v>135</v>
      </c>
      <c r="C262" t="s">
        <v>480</v>
      </c>
      <c r="D262" t="s">
        <v>485</v>
      </c>
      <c r="F262" t="s">
        <v>463</v>
      </c>
      <c r="G262" t="s">
        <v>459</v>
      </c>
      <c r="H262">
        <v>0</v>
      </c>
    </row>
    <row r="263" spans="1:8">
      <c r="A263" t="s">
        <v>431</v>
      </c>
      <c r="B263">
        <v>135</v>
      </c>
      <c r="C263" t="s">
        <v>480</v>
      </c>
      <c r="D263" t="s">
        <v>486</v>
      </c>
      <c r="F263" t="s">
        <v>434</v>
      </c>
      <c r="G263" t="s">
        <v>459</v>
      </c>
      <c r="H263">
        <v>0</v>
      </c>
    </row>
    <row r="264" spans="1:8">
      <c r="A264" t="s">
        <v>431</v>
      </c>
      <c r="B264">
        <v>135</v>
      </c>
      <c r="C264" t="s">
        <v>480</v>
      </c>
      <c r="D264" t="s">
        <v>487</v>
      </c>
      <c r="F264" t="s">
        <v>463</v>
      </c>
      <c r="G264" t="s">
        <v>459</v>
      </c>
      <c r="H264">
        <v>0</v>
      </c>
    </row>
    <row r="265" spans="1:8">
      <c r="A265" t="s">
        <v>431</v>
      </c>
      <c r="B265">
        <v>135</v>
      </c>
      <c r="C265" t="s">
        <v>480</v>
      </c>
      <c r="D265" t="s">
        <v>488</v>
      </c>
      <c r="F265" t="s">
        <v>434</v>
      </c>
      <c r="G265" t="s">
        <v>459</v>
      </c>
      <c r="H265">
        <v>0</v>
      </c>
    </row>
    <row r="266" spans="1:8">
      <c r="A266" t="s">
        <v>431</v>
      </c>
      <c r="B266">
        <v>141</v>
      </c>
      <c r="C266" t="s">
        <v>489</v>
      </c>
      <c r="D266" t="s">
        <v>490</v>
      </c>
      <c r="F266" t="s">
        <v>463</v>
      </c>
      <c r="G266" t="s">
        <v>474</v>
      </c>
      <c r="H266">
        <v>0</v>
      </c>
    </row>
    <row r="267" spans="1:8">
      <c r="A267" t="s">
        <v>431</v>
      </c>
      <c r="B267">
        <v>141</v>
      </c>
      <c r="C267" t="s">
        <v>489</v>
      </c>
      <c r="D267" t="s">
        <v>491</v>
      </c>
      <c r="F267" t="s">
        <v>434</v>
      </c>
      <c r="G267" t="s">
        <v>474</v>
      </c>
      <c r="H267">
        <v>0</v>
      </c>
    </row>
    <row r="268" spans="1:8">
      <c r="A268" t="s">
        <v>431</v>
      </c>
      <c r="B268">
        <v>141</v>
      </c>
      <c r="C268" t="s">
        <v>489</v>
      </c>
      <c r="D268" t="s">
        <v>492</v>
      </c>
      <c r="F268" t="s">
        <v>463</v>
      </c>
      <c r="G268" t="s">
        <v>474</v>
      </c>
      <c r="H268">
        <v>0</v>
      </c>
    </row>
    <row r="269" spans="1:8">
      <c r="A269" t="s">
        <v>431</v>
      </c>
      <c r="B269">
        <v>141</v>
      </c>
      <c r="C269" t="s">
        <v>489</v>
      </c>
      <c r="D269" t="s">
        <v>493</v>
      </c>
      <c r="F269" t="s">
        <v>434</v>
      </c>
      <c r="G269" t="s">
        <v>474</v>
      </c>
      <c r="H269">
        <v>0</v>
      </c>
    </row>
    <row r="270" spans="1:8">
      <c r="A270" t="s">
        <v>431</v>
      </c>
      <c r="B270">
        <v>137</v>
      </c>
      <c r="C270" t="s">
        <v>494</v>
      </c>
      <c r="D270" t="s">
        <v>495</v>
      </c>
      <c r="F270" t="s">
        <v>434</v>
      </c>
      <c r="G270" t="s">
        <v>459</v>
      </c>
      <c r="H270">
        <v>0</v>
      </c>
    </row>
    <row r="271" spans="1:8">
      <c r="A271" t="s">
        <v>431</v>
      </c>
      <c r="B271">
        <v>137</v>
      </c>
      <c r="C271" t="s">
        <v>494</v>
      </c>
      <c r="D271" t="s">
        <v>496</v>
      </c>
      <c r="F271" t="s">
        <v>434</v>
      </c>
      <c r="G271" t="s">
        <v>459</v>
      </c>
      <c r="H271">
        <v>0</v>
      </c>
    </row>
    <row r="272" spans="1:8">
      <c r="A272" t="s">
        <v>431</v>
      </c>
      <c r="B272">
        <v>137</v>
      </c>
      <c r="C272" t="s">
        <v>494</v>
      </c>
      <c r="D272" t="s">
        <v>497</v>
      </c>
      <c r="F272" t="s">
        <v>434</v>
      </c>
      <c r="G272" t="s">
        <v>459</v>
      </c>
      <c r="H272">
        <v>0</v>
      </c>
    </row>
    <row r="273" spans="1:8">
      <c r="A273" t="s">
        <v>431</v>
      </c>
      <c r="B273">
        <v>137</v>
      </c>
      <c r="C273" t="s">
        <v>494</v>
      </c>
      <c r="D273" t="s">
        <v>498</v>
      </c>
      <c r="F273" t="s">
        <v>434</v>
      </c>
      <c r="G273" t="s">
        <v>474</v>
      </c>
      <c r="H273">
        <v>0</v>
      </c>
    </row>
    <row r="274" spans="1:8">
      <c r="A274" t="s">
        <v>431</v>
      </c>
      <c r="B274">
        <v>137</v>
      </c>
      <c r="C274" t="s">
        <v>494</v>
      </c>
      <c r="D274" t="s">
        <v>499</v>
      </c>
      <c r="F274" t="s">
        <v>434</v>
      </c>
      <c r="G274" t="s">
        <v>459</v>
      </c>
      <c r="H274">
        <v>0</v>
      </c>
    </row>
    <row r="275" spans="1:8">
      <c r="A275" t="s">
        <v>431</v>
      </c>
      <c r="B275">
        <v>137</v>
      </c>
      <c r="C275" t="s">
        <v>494</v>
      </c>
      <c r="D275" t="s">
        <v>500</v>
      </c>
      <c r="F275" t="s">
        <v>434</v>
      </c>
      <c r="G275" t="s">
        <v>459</v>
      </c>
      <c r="H275">
        <v>0</v>
      </c>
    </row>
    <row r="276" spans="1:8">
      <c r="A276" t="s">
        <v>431</v>
      </c>
      <c r="B276">
        <v>136</v>
      </c>
      <c r="C276" t="s">
        <v>501</v>
      </c>
      <c r="D276" t="s">
        <v>502</v>
      </c>
      <c r="F276" t="s">
        <v>434</v>
      </c>
      <c r="G276" t="s">
        <v>474</v>
      </c>
      <c r="H276">
        <v>0</v>
      </c>
    </row>
    <row r="277" spans="1:8">
      <c r="A277" t="s">
        <v>431</v>
      </c>
      <c r="B277">
        <v>136</v>
      </c>
      <c r="C277" t="s">
        <v>501</v>
      </c>
      <c r="D277" t="s">
        <v>503</v>
      </c>
      <c r="F277" t="s">
        <v>434</v>
      </c>
      <c r="G277" t="s">
        <v>474</v>
      </c>
      <c r="H277">
        <v>0</v>
      </c>
    </row>
    <row r="278" spans="1:8">
      <c r="A278" t="s">
        <v>431</v>
      </c>
      <c r="B278">
        <v>136</v>
      </c>
      <c r="C278" t="s">
        <v>501</v>
      </c>
      <c r="D278" t="s">
        <v>504</v>
      </c>
      <c r="F278" t="s">
        <v>434</v>
      </c>
      <c r="G278" t="s">
        <v>474</v>
      </c>
      <c r="H278">
        <v>0</v>
      </c>
    </row>
    <row r="279" spans="1:8">
      <c r="A279" t="s">
        <v>431</v>
      </c>
      <c r="B279">
        <v>136</v>
      </c>
      <c r="C279" t="s">
        <v>501</v>
      </c>
      <c r="D279" t="s">
        <v>505</v>
      </c>
      <c r="F279" t="s">
        <v>434</v>
      </c>
      <c r="G279" t="s">
        <v>474</v>
      </c>
      <c r="H279">
        <v>0</v>
      </c>
    </row>
    <row r="280" spans="1:8">
      <c r="A280" t="s">
        <v>431</v>
      </c>
      <c r="B280">
        <v>136</v>
      </c>
      <c r="C280" t="s">
        <v>501</v>
      </c>
      <c r="D280" t="s">
        <v>506</v>
      </c>
      <c r="F280" t="s">
        <v>434</v>
      </c>
      <c r="G280" t="s">
        <v>474</v>
      </c>
      <c r="H280">
        <v>0</v>
      </c>
    </row>
    <row r="281" spans="1:8">
      <c r="A281" t="s">
        <v>431</v>
      </c>
      <c r="B281">
        <v>136</v>
      </c>
      <c r="C281" t="s">
        <v>501</v>
      </c>
      <c r="D281" t="s">
        <v>507</v>
      </c>
      <c r="F281" t="s">
        <v>434</v>
      </c>
      <c r="G281" t="s">
        <v>474</v>
      </c>
      <c r="H281">
        <v>0</v>
      </c>
    </row>
    <row r="282" spans="1:8">
      <c r="A282" t="s">
        <v>431</v>
      </c>
      <c r="B282">
        <v>143</v>
      </c>
      <c r="C282" t="s">
        <v>508</v>
      </c>
      <c r="D282" t="s">
        <v>509</v>
      </c>
      <c r="F282" t="s">
        <v>434</v>
      </c>
      <c r="G282" t="s">
        <v>435</v>
      </c>
      <c r="H282">
        <v>0</v>
      </c>
    </row>
    <row r="283" spans="1:8">
      <c r="A283" t="s">
        <v>431</v>
      </c>
      <c r="B283">
        <v>143</v>
      </c>
      <c r="C283" t="s">
        <v>508</v>
      </c>
      <c r="D283" t="s">
        <v>510</v>
      </c>
      <c r="F283" t="s">
        <v>434</v>
      </c>
      <c r="G283" t="s">
        <v>435</v>
      </c>
      <c r="H283">
        <v>0</v>
      </c>
    </row>
    <row r="284" spans="1:8">
      <c r="A284" t="s">
        <v>431</v>
      </c>
      <c r="B284">
        <v>143</v>
      </c>
      <c r="C284" t="s">
        <v>508</v>
      </c>
      <c r="D284" t="s">
        <v>511</v>
      </c>
      <c r="F284" t="s">
        <v>434</v>
      </c>
      <c r="G284" t="s">
        <v>435</v>
      </c>
      <c r="H284">
        <v>0</v>
      </c>
    </row>
    <row r="285" spans="1:8">
      <c r="A285" t="s">
        <v>431</v>
      </c>
      <c r="B285">
        <v>143</v>
      </c>
      <c r="C285" t="s">
        <v>508</v>
      </c>
      <c r="D285" t="s">
        <v>512</v>
      </c>
      <c r="F285" t="s">
        <v>434</v>
      </c>
      <c r="G285" t="s">
        <v>435</v>
      </c>
      <c r="H285">
        <v>0</v>
      </c>
    </row>
    <row r="286" spans="1:8">
      <c r="A286" t="s">
        <v>431</v>
      </c>
      <c r="B286">
        <v>143</v>
      </c>
      <c r="C286" t="s">
        <v>508</v>
      </c>
      <c r="D286" t="s">
        <v>513</v>
      </c>
      <c r="F286" t="s">
        <v>434</v>
      </c>
      <c r="G286" t="s">
        <v>435</v>
      </c>
      <c r="H286">
        <v>0</v>
      </c>
    </row>
    <row r="287" spans="1:8">
      <c r="A287" t="s">
        <v>431</v>
      </c>
      <c r="B287">
        <v>143</v>
      </c>
      <c r="C287" t="s">
        <v>508</v>
      </c>
      <c r="D287" t="s">
        <v>514</v>
      </c>
      <c r="F287" t="s">
        <v>434</v>
      </c>
      <c r="G287" t="s">
        <v>435</v>
      </c>
      <c r="H287">
        <v>0</v>
      </c>
    </row>
    <row r="288" spans="1:8">
      <c r="A288" t="s">
        <v>431</v>
      </c>
      <c r="B288">
        <v>148</v>
      </c>
      <c r="C288" t="s">
        <v>515</v>
      </c>
      <c r="D288" t="s">
        <v>516</v>
      </c>
      <c r="F288" t="s">
        <v>463</v>
      </c>
      <c r="G288" t="s">
        <v>459</v>
      </c>
      <c r="H288">
        <v>0</v>
      </c>
    </row>
    <row r="289" spans="1:8">
      <c r="A289" t="s">
        <v>431</v>
      </c>
      <c r="B289">
        <v>148</v>
      </c>
      <c r="C289" t="s">
        <v>515</v>
      </c>
      <c r="D289" t="s">
        <v>517</v>
      </c>
      <c r="F289" t="s">
        <v>434</v>
      </c>
      <c r="G289" t="s">
        <v>459</v>
      </c>
      <c r="H289">
        <v>0</v>
      </c>
    </row>
    <row r="290" spans="1:8">
      <c r="A290" t="s">
        <v>431</v>
      </c>
      <c r="B290">
        <v>148</v>
      </c>
      <c r="C290" t="s">
        <v>515</v>
      </c>
      <c r="D290" t="s">
        <v>518</v>
      </c>
      <c r="F290" t="s">
        <v>463</v>
      </c>
      <c r="G290" t="s">
        <v>474</v>
      </c>
      <c r="H290">
        <v>0</v>
      </c>
    </row>
    <row r="291" spans="1:8">
      <c r="A291" t="s">
        <v>431</v>
      </c>
      <c r="B291">
        <v>148</v>
      </c>
      <c r="C291" t="s">
        <v>515</v>
      </c>
      <c r="D291" t="s">
        <v>519</v>
      </c>
      <c r="F291" t="s">
        <v>434</v>
      </c>
      <c r="G291" t="s">
        <v>459</v>
      </c>
      <c r="H291">
        <v>0</v>
      </c>
    </row>
    <row r="292" spans="1:8">
      <c r="A292" t="s">
        <v>431</v>
      </c>
      <c r="B292">
        <v>150</v>
      </c>
      <c r="C292" t="s">
        <v>520</v>
      </c>
      <c r="D292" t="s">
        <v>521</v>
      </c>
      <c r="F292" t="s">
        <v>434</v>
      </c>
      <c r="G292" t="s">
        <v>459</v>
      </c>
      <c r="H292">
        <v>0</v>
      </c>
    </row>
    <row r="293" spans="1:8">
      <c r="A293" t="s">
        <v>431</v>
      </c>
      <c r="B293">
        <v>150</v>
      </c>
      <c r="C293" t="s">
        <v>520</v>
      </c>
      <c r="D293" t="s">
        <v>522</v>
      </c>
      <c r="F293" t="s">
        <v>434</v>
      </c>
      <c r="G293" t="s">
        <v>459</v>
      </c>
      <c r="H293">
        <v>0</v>
      </c>
    </row>
    <row r="294" spans="1:8">
      <c r="A294" t="s">
        <v>431</v>
      </c>
      <c r="B294">
        <v>150</v>
      </c>
      <c r="C294" t="s">
        <v>520</v>
      </c>
      <c r="D294" t="s">
        <v>523</v>
      </c>
      <c r="F294" t="s">
        <v>434</v>
      </c>
      <c r="G294" t="s">
        <v>459</v>
      </c>
      <c r="H294">
        <v>0</v>
      </c>
    </row>
    <row r="295" spans="1:8">
      <c r="A295" t="s">
        <v>431</v>
      </c>
      <c r="B295">
        <v>150</v>
      </c>
      <c r="C295" t="s">
        <v>520</v>
      </c>
      <c r="D295" t="s">
        <v>524</v>
      </c>
      <c r="F295" t="s">
        <v>434</v>
      </c>
      <c r="G295" t="s">
        <v>474</v>
      </c>
      <c r="H295">
        <v>0</v>
      </c>
    </row>
    <row r="296" spans="1:8">
      <c r="A296" t="s">
        <v>431</v>
      </c>
      <c r="B296">
        <v>150</v>
      </c>
      <c r="C296" t="s">
        <v>520</v>
      </c>
      <c r="D296" t="s">
        <v>525</v>
      </c>
      <c r="F296" t="s">
        <v>463</v>
      </c>
      <c r="G296" t="s">
        <v>459</v>
      </c>
      <c r="H296">
        <v>0</v>
      </c>
    </row>
    <row r="297" spans="1:8">
      <c r="A297" t="s">
        <v>431</v>
      </c>
      <c r="B297">
        <v>150</v>
      </c>
      <c r="C297" t="s">
        <v>520</v>
      </c>
      <c r="D297" t="s">
        <v>526</v>
      </c>
      <c r="F297" t="s">
        <v>434</v>
      </c>
      <c r="G297" t="s">
        <v>459</v>
      </c>
      <c r="H297">
        <v>0</v>
      </c>
    </row>
    <row r="298" spans="1:8">
      <c r="A298" t="s">
        <v>431</v>
      </c>
      <c r="B298">
        <v>152</v>
      </c>
      <c r="C298" t="s">
        <v>527</v>
      </c>
      <c r="D298" t="s">
        <v>528</v>
      </c>
      <c r="F298" t="s">
        <v>463</v>
      </c>
      <c r="G298" t="s">
        <v>459</v>
      </c>
      <c r="H298">
        <v>0</v>
      </c>
    </row>
    <row r="299" spans="1:8">
      <c r="A299" t="s">
        <v>431</v>
      </c>
      <c r="B299">
        <v>152</v>
      </c>
      <c r="C299" t="s">
        <v>527</v>
      </c>
      <c r="D299" t="s">
        <v>529</v>
      </c>
      <c r="F299" t="s">
        <v>434</v>
      </c>
      <c r="G299" t="s">
        <v>459</v>
      </c>
      <c r="H299">
        <v>0</v>
      </c>
    </row>
    <row r="300" spans="1:8">
      <c r="A300" t="s">
        <v>431</v>
      </c>
      <c r="B300">
        <v>152</v>
      </c>
      <c r="C300" t="s">
        <v>527</v>
      </c>
      <c r="D300" t="s">
        <v>530</v>
      </c>
      <c r="F300" t="s">
        <v>463</v>
      </c>
      <c r="G300" t="s">
        <v>459</v>
      </c>
      <c r="H300">
        <v>0</v>
      </c>
    </row>
    <row r="301" spans="1:8">
      <c r="A301" t="s">
        <v>431</v>
      </c>
      <c r="B301">
        <v>152</v>
      </c>
      <c r="C301" t="s">
        <v>527</v>
      </c>
      <c r="D301" t="s">
        <v>531</v>
      </c>
      <c r="F301" t="s">
        <v>434</v>
      </c>
      <c r="G301" t="s">
        <v>459</v>
      </c>
      <c r="H301">
        <v>0</v>
      </c>
    </row>
    <row r="302" spans="1:8">
      <c r="A302" t="s">
        <v>431</v>
      </c>
      <c r="B302">
        <v>154</v>
      </c>
      <c r="C302" t="s">
        <v>532</v>
      </c>
      <c r="D302" t="s">
        <v>533</v>
      </c>
      <c r="F302" t="s">
        <v>463</v>
      </c>
      <c r="G302" t="s">
        <v>459</v>
      </c>
      <c r="H302">
        <v>0</v>
      </c>
    </row>
    <row r="303" spans="1:8">
      <c r="A303" t="s">
        <v>431</v>
      </c>
      <c r="B303">
        <v>154</v>
      </c>
      <c r="C303" t="s">
        <v>532</v>
      </c>
      <c r="D303" t="s">
        <v>534</v>
      </c>
      <c r="F303" t="s">
        <v>463</v>
      </c>
      <c r="G303" t="s">
        <v>459</v>
      </c>
      <c r="H303">
        <v>0</v>
      </c>
    </row>
    <row r="304" spans="1:8">
      <c r="A304" t="s">
        <v>431</v>
      </c>
      <c r="B304">
        <v>154</v>
      </c>
      <c r="C304" t="s">
        <v>532</v>
      </c>
      <c r="D304" t="s">
        <v>535</v>
      </c>
      <c r="F304" t="s">
        <v>434</v>
      </c>
      <c r="G304" t="s">
        <v>459</v>
      </c>
      <c r="H304">
        <v>0</v>
      </c>
    </row>
    <row r="305" spans="1:8">
      <c r="A305" t="s">
        <v>431</v>
      </c>
      <c r="B305">
        <v>155</v>
      </c>
      <c r="C305" t="s">
        <v>536</v>
      </c>
      <c r="D305" t="s">
        <v>537</v>
      </c>
      <c r="F305" t="s">
        <v>463</v>
      </c>
      <c r="G305" t="s">
        <v>459</v>
      </c>
      <c r="H305">
        <v>0</v>
      </c>
    </row>
    <row r="306" spans="1:8">
      <c r="A306" t="s">
        <v>431</v>
      </c>
      <c r="B306">
        <v>155</v>
      </c>
      <c r="C306" t="s">
        <v>536</v>
      </c>
      <c r="D306" t="s">
        <v>538</v>
      </c>
      <c r="F306" t="s">
        <v>434</v>
      </c>
      <c r="G306" t="s">
        <v>459</v>
      </c>
      <c r="H306">
        <v>0</v>
      </c>
    </row>
    <row r="307" spans="1:8">
      <c r="A307" t="s">
        <v>431</v>
      </c>
      <c r="B307">
        <v>155</v>
      </c>
      <c r="C307" t="s">
        <v>536</v>
      </c>
      <c r="D307" t="s">
        <v>539</v>
      </c>
      <c r="F307" t="s">
        <v>434</v>
      </c>
      <c r="G307" t="s">
        <v>459</v>
      </c>
      <c r="H307">
        <v>0</v>
      </c>
    </row>
    <row r="308" spans="1:8">
      <c r="A308" t="s">
        <v>431</v>
      </c>
      <c r="B308">
        <v>155</v>
      </c>
      <c r="C308" t="s">
        <v>536</v>
      </c>
      <c r="D308" t="s">
        <v>540</v>
      </c>
      <c r="F308" t="s">
        <v>434</v>
      </c>
      <c r="G308" t="s">
        <v>459</v>
      </c>
      <c r="H308">
        <v>0</v>
      </c>
    </row>
    <row r="309" spans="1:8">
      <c r="A309" t="s">
        <v>431</v>
      </c>
      <c r="B309">
        <v>156</v>
      </c>
      <c r="C309" t="s">
        <v>541</v>
      </c>
      <c r="D309" t="s">
        <v>542</v>
      </c>
      <c r="F309" t="s">
        <v>434</v>
      </c>
      <c r="G309" t="s">
        <v>459</v>
      </c>
      <c r="H309">
        <v>0</v>
      </c>
    </row>
    <row r="310" spans="1:8">
      <c r="A310" t="s">
        <v>431</v>
      </c>
      <c r="B310">
        <v>156</v>
      </c>
      <c r="C310" t="s">
        <v>541</v>
      </c>
      <c r="D310" t="s">
        <v>543</v>
      </c>
      <c r="F310" t="s">
        <v>434</v>
      </c>
      <c r="G310" t="s">
        <v>459</v>
      </c>
      <c r="H310">
        <v>0</v>
      </c>
    </row>
    <row r="311" spans="1:8">
      <c r="A311" t="s">
        <v>431</v>
      </c>
      <c r="B311">
        <v>156</v>
      </c>
      <c r="C311" t="s">
        <v>541</v>
      </c>
      <c r="D311" t="s">
        <v>544</v>
      </c>
      <c r="F311" t="s">
        <v>463</v>
      </c>
      <c r="G311" t="s">
        <v>459</v>
      </c>
      <c r="H311">
        <v>0</v>
      </c>
    </row>
    <row r="312" spans="1:8">
      <c r="A312" t="s">
        <v>431</v>
      </c>
      <c r="B312">
        <v>156</v>
      </c>
      <c r="C312" t="s">
        <v>541</v>
      </c>
      <c r="D312" t="s">
        <v>545</v>
      </c>
      <c r="F312" t="s">
        <v>434</v>
      </c>
      <c r="G312" t="s">
        <v>459</v>
      </c>
      <c r="H312">
        <v>0</v>
      </c>
    </row>
    <row r="313" spans="1:8">
      <c r="A313" t="s">
        <v>431</v>
      </c>
      <c r="B313">
        <v>156</v>
      </c>
      <c r="C313" t="s">
        <v>541</v>
      </c>
      <c r="D313" t="s">
        <v>546</v>
      </c>
      <c r="F313" t="s">
        <v>434</v>
      </c>
      <c r="G313" t="s">
        <v>459</v>
      </c>
      <c r="H313">
        <v>0</v>
      </c>
    </row>
    <row r="314" spans="1:8">
      <c r="A314" t="s">
        <v>431</v>
      </c>
      <c r="B314">
        <v>156</v>
      </c>
      <c r="C314" t="s">
        <v>541</v>
      </c>
      <c r="D314" t="s">
        <v>547</v>
      </c>
      <c r="F314" t="s">
        <v>434</v>
      </c>
      <c r="G314" t="s">
        <v>459</v>
      </c>
      <c r="H314">
        <v>0</v>
      </c>
    </row>
    <row r="315" spans="1:8">
      <c r="A315" t="s">
        <v>431</v>
      </c>
      <c r="B315">
        <v>158</v>
      </c>
      <c r="C315" t="s">
        <v>548</v>
      </c>
      <c r="D315" t="s">
        <v>549</v>
      </c>
      <c r="F315" t="s">
        <v>463</v>
      </c>
      <c r="G315" t="s">
        <v>474</v>
      </c>
      <c r="H315">
        <v>0</v>
      </c>
    </row>
    <row r="316" spans="1:8">
      <c r="A316" t="s">
        <v>431</v>
      </c>
      <c r="B316">
        <v>158</v>
      </c>
      <c r="C316" t="s">
        <v>548</v>
      </c>
      <c r="D316" t="s">
        <v>550</v>
      </c>
      <c r="F316" t="s">
        <v>463</v>
      </c>
      <c r="G316" t="s">
        <v>459</v>
      </c>
      <c r="H316">
        <v>0</v>
      </c>
    </row>
    <row r="317" spans="1:8">
      <c r="A317" t="s">
        <v>431</v>
      </c>
      <c r="B317">
        <v>158</v>
      </c>
      <c r="C317" t="s">
        <v>548</v>
      </c>
      <c r="D317" t="s">
        <v>551</v>
      </c>
      <c r="F317" t="s">
        <v>463</v>
      </c>
      <c r="G317" t="s">
        <v>459</v>
      </c>
      <c r="H317">
        <v>0</v>
      </c>
    </row>
    <row r="318" spans="1:8">
      <c r="A318" t="s">
        <v>431</v>
      </c>
      <c r="B318">
        <v>158</v>
      </c>
      <c r="C318" t="s">
        <v>548</v>
      </c>
      <c r="D318" t="s">
        <v>552</v>
      </c>
      <c r="F318" t="s">
        <v>434</v>
      </c>
      <c r="G318" t="s">
        <v>459</v>
      </c>
      <c r="H318">
        <v>0</v>
      </c>
    </row>
    <row r="319" spans="1:8">
      <c r="A319" t="s">
        <v>431</v>
      </c>
      <c r="B319">
        <v>158</v>
      </c>
      <c r="C319" t="s">
        <v>548</v>
      </c>
      <c r="D319" t="s">
        <v>553</v>
      </c>
      <c r="F319" t="s">
        <v>434</v>
      </c>
      <c r="G319" t="s">
        <v>459</v>
      </c>
      <c r="H319">
        <v>0</v>
      </c>
    </row>
    <row r="320" spans="1:8">
      <c r="A320" t="s">
        <v>431</v>
      </c>
      <c r="B320">
        <v>158</v>
      </c>
      <c r="C320" t="s">
        <v>548</v>
      </c>
      <c r="D320" t="s">
        <v>554</v>
      </c>
      <c r="F320" t="s">
        <v>434</v>
      </c>
      <c r="G320" t="s">
        <v>459</v>
      </c>
      <c r="H320">
        <v>0</v>
      </c>
    </row>
    <row r="321" spans="1:8">
      <c r="A321" t="s">
        <v>431</v>
      </c>
      <c r="B321">
        <v>159</v>
      </c>
      <c r="C321" t="s">
        <v>555</v>
      </c>
      <c r="D321" t="s">
        <v>556</v>
      </c>
      <c r="F321" t="s">
        <v>434</v>
      </c>
      <c r="G321" t="s">
        <v>459</v>
      </c>
      <c r="H321">
        <v>0</v>
      </c>
    </row>
    <row r="322" spans="1:8">
      <c r="A322" t="s">
        <v>431</v>
      </c>
      <c r="B322">
        <v>159</v>
      </c>
      <c r="C322" t="s">
        <v>555</v>
      </c>
      <c r="D322" t="s">
        <v>557</v>
      </c>
      <c r="F322" t="s">
        <v>434</v>
      </c>
      <c r="G322" t="s">
        <v>474</v>
      </c>
      <c r="H322">
        <v>0</v>
      </c>
    </row>
    <row r="323" spans="1:8">
      <c r="A323" t="s">
        <v>431</v>
      </c>
      <c r="B323">
        <v>159</v>
      </c>
      <c r="C323" t="s">
        <v>555</v>
      </c>
      <c r="D323" t="s">
        <v>558</v>
      </c>
      <c r="F323" t="s">
        <v>434</v>
      </c>
      <c r="G323" t="s">
        <v>459</v>
      </c>
      <c r="H323">
        <v>0</v>
      </c>
    </row>
    <row r="324" spans="1:8">
      <c r="A324" t="s">
        <v>431</v>
      </c>
      <c r="B324">
        <v>159</v>
      </c>
      <c r="C324" t="s">
        <v>555</v>
      </c>
      <c r="D324" t="s">
        <v>559</v>
      </c>
      <c r="F324" t="s">
        <v>434</v>
      </c>
      <c r="G324" t="s">
        <v>474</v>
      </c>
      <c r="H324">
        <v>0</v>
      </c>
    </row>
    <row r="325" spans="1:8">
      <c r="A325" t="s">
        <v>431</v>
      </c>
      <c r="B325">
        <v>159</v>
      </c>
      <c r="C325" t="s">
        <v>555</v>
      </c>
      <c r="D325" t="s">
        <v>560</v>
      </c>
      <c r="F325" t="s">
        <v>463</v>
      </c>
      <c r="G325" t="s">
        <v>459</v>
      </c>
      <c r="H325">
        <v>0</v>
      </c>
    </row>
    <row r="326" spans="1:8">
      <c r="A326" t="s">
        <v>431</v>
      </c>
      <c r="B326">
        <v>159</v>
      </c>
      <c r="C326" t="s">
        <v>555</v>
      </c>
      <c r="D326" t="s">
        <v>561</v>
      </c>
      <c r="F326" t="s">
        <v>434</v>
      </c>
      <c r="G326" t="s">
        <v>474</v>
      </c>
      <c r="H326">
        <v>0</v>
      </c>
    </row>
    <row r="327" spans="1:8">
      <c r="A327" t="s">
        <v>431</v>
      </c>
      <c r="B327">
        <v>162</v>
      </c>
      <c r="C327" t="s">
        <v>562</v>
      </c>
      <c r="D327" t="s">
        <v>563</v>
      </c>
      <c r="F327" t="s">
        <v>463</v>
      </c>
      <c r="G327" t="s">
        <v>474</v>
      </c>
      <c r="H327">
        <v>0</v>
      </c>
    </row>
    <row r="328" spans="1:8">
      <c r="A328" t="s">
        <v>431</v>
      </c>
      <c r="B328">
        <v>162</v>
      </c>
      <c r="C328" t="s">
        <v>562</v>
      </c>
      <c r="D328" t="s">
        <v>564</v>
      </c>
      <c r="F328" t="s">
        <v>434</v>
      </c>
      <c r="G328" t="s">
        <v>474</v>
      </c>
      <c r="H328">
        <v>0</v>
      </c>
    </row>
    <row r="329" spans="1:8">
      <c r="A329" t="s">
        <v>431</v>
      </c>
      <c r="B329">
        <v>163</v>
      </c>
      <c r="C329" t="s">
        <v>565</v>
      </c>
      <c r="D329" t="s">
        <v>566</v>
      </c>
      <c r="F329" t="s">
        <v>434</v>
      </c>
      <c r="G329" t="s">
        <v>459</v>
      </c>
      <c r="H329">
        <v>0</v>
      </c>
    </row>
    <row r="330" spans="1:8">
      <c r="A330" t="s">
        <v>431</v>
      </c>
      <c r="B330">
        <v>163</v>
      </c>
      <c r="C330" t="s">
        <v>565</v>
      </c>
      <c r="D330" t="s">
        <v>567</v>
      </c>
      <c r="F330" t="s">
        <v>434</v>
      </c>
      <c r="G330" t="s">
        <v>459</v>
      </c>
      <c r="H330">
        <v>0</v>
      </c>
    </row>
    <row r="331" spans="1:8">
      <c r="A331" t="s">
        <v>431</v>
      </c>
      <c r="B331">
        <v>163</v>
      </c>
      <c r="C331" t="s">
        <v>565</v>
      </c>
      <c r="D331" t="s">
        <v>568</v>
      </c>
      <c r="F331" t="s">
        <v>434</v>
      </c>
      <c r="G331" t="s">
        <v>459</v>
      </c>
      <c r="H331">
        <v>0</v>
      </c>
    </row>
    <row r="332" spans="1:8">
      <c r="A332" t="s">
        <v>431</v>
      </c>
      <c r="B332">
        <v>163</v>
      </c>
      <c r="C332" t="s">
        <v>565</v>
      </c>
      <c r="D332" t="s">
        <v>569</v>
      </c>
      <c r="F332" t="s">
        <v>434</v>
      </c>
      <c r="G332" t="s">
        <v>459</v>
      </c>
      <c r="H332">
        <v>0</v>
      </c>
    </row>
    <row r="333" spans="1:8">
      <c r="A333" t="s">
        <v>431</v>
      </c>
      <c r="B333">
        <v>163</v>
      </c>
      <c r="C333" t="s">
        <v>565</v>
      </c>
      <c r="D333" t="s">
        <v>570</v>
      </c>
      <c r="F333" t="s">
        <v>463</v>
      </c>
      <c r="G333" t="s">
        <v>474</v>
      </c>
      <c r="H333">
        <v>0</v>
      </c>
    </row>
    <row r="334" spans="1:8">
      <c r="A334" t="s">
        <v>431</v>
      </c>
      <c r="B334">
        <v>163</v>
      </c>
      <c r="C334" t="s">
        <v>565</v>
      </c>
      <c r="D334" t="s">
        <v>571</v>
      </c>
      <c r="F334" t="s">
        <v>434</v>
      </c>
      <c r="G334" t="s">
        <v>459</v>
      </c>
      <c r="H334">
        <v>0</v>
      </c>
    </row>
    <row r="335" spans="1:8">
      <c r="A335" t="s">
        <v>431</v>
      </c>
      <c r="B335">
        <v>166</v>
      </c>
      <c r="C335" t="s">
        <v>572</v>
      </c>
      <c r="D335" t="s">
        <v>573</v>
      </c>
      <c r="F335" t="s">
        <v>434</v>
      </c>
      <c r="G335" t="s">
        <v>459</v>
      </c>
      <c r="H335">
        <v>0</v>
      </c>
    </row>
    <row r="336" spans="1:8">
      <c r="A336" t="s">
        <v>431</v>
      </c>
      <c r="B336">
        <v>166</v>
      </c>
      <c r="C336" t="s">
        <v>572</v>
      </c>
      <c r="D336" t="s">
        <v>574</v>
      </c>
      <c r="F336" t="s">
        <v>434</v>
      </c>
      <c r="G336" t="s">
        <v>459</v>
      </c>
      <c r="H336">
        <v>0</v>
      </c>
    </row>
    <row r="337" spans="1:8">
      <c r="A337" t="s">
        <v>431</v>
      </c>
      <c r="B337">
        <v>166</v>
      </c>
      <c r="C337" t="s">
        <v>572</v>
      </c>
      <c r="D337" t="s">
        <v>575</v>
      </c>
      <c r="F337" t="s">
        <v>434</v>
      </c>
      <c r="G337" t="s">
        <v>459</v>
      </c>
      <c r="H337">
        <v>0</v>
      </c>
    </row>
    <row r="338" spans="1:8">
      <c r="A338" t="s">
        <v>431</v>
      </c>
      <c r="B338">
        <v>166</v>
      </c>
      <c r="C338" t="s">
        <v>572</v>
      </c>
      <c r="D338" t="s">
        <v>576</v>
      </c>
      <c r="F338" t="s">
        <v>434</v>
      </c>
      <c r="G338" t="s">
        <v>459</v>
      </c>
      <c r="H338">
        <v>0</v>
      </c>
    </row>
    <row r="339" spans="1:8">
      <c r="A339" t="s">
        <v>431</v>
      </c>
      <c r="B339">
        <v>166</v>
      </c>
      <c r="C339" t="s">
        <v>572</v>
      </c>
      <c r="D339" t="s">
        <v>577</v>
      </c>
      <c r="F339" t="s">
        <v>463</v>
      </c>
      <c r="G339" t="s">
        <v>459</v>
      </c>
      <c r="H339">
        <v>0</v>
      </c>
    </row>
    <row r="340" spans="1:8">
      <c r="A340" t="s">
        <v>431</v>
      </c>
      <c r="B340">
        <v>166</v>
      </c>
      <c r="C340" t="s">
        <v>572</v>
      </c>
      <c r="D340" t="s">
        <v>578</v>
      </c>
      <c r="F340" t="s">
        <v>434</v>
      </c>
      <c r="G340" t="s">
        <v>459</v>
      </c>
      <c r="H340">
        <v>0</v>
      </c>
    </row>
    <row r="341" spans="1:8">
      <c r="A341" t="s">
        <v>431</v>
      </c>
      <c r="B341">
        <v>166</v>
      </c>
      <c r="C341" t="s">
        <v>572</v>
      </c>
      <c r="D341" t="s">
        <v>579</v>
      </c>
      <c r="F341" t="s">
        <v>463</v>
      </c>
      <c r="G341" t="s">
        <v>474</v>
      </c>
      <c r="H341">
        <v>0</v>
      </c>
    </row>
    <row r="342" spans="1:8">
      <c r="A342" t="s">
        <v>431</v>
      </c>
      <c r="B342">
        <v>166</v>
      </c>
      <c r="C342" t="s">
        <v>572</v>
      </c>
      <c r="D342" t="s">
        <v>580</v>
      </c>
      <c r="F342" t="s">
        <v>434</v>
      </c>
      <c r="G342" t="s">
        <v>459</v>
      </c>
      <c r="H342">
        <v>0</v>
      </c>
    </row>
    <row r="343" spans="1:8">
      <c r="A343" t="s">
        <v>431</v>
      </c>
      <c r="B343">
        <v>167</v>
      </c>
      <c r="C343" t="s">
        <v>581</v>
      </c>
      <c r="D343" t="s">
        <v>582</v>
      </c>
      <c r="F343" t="s">
        <v>463</v>
      </c>
      <c r="G343" t="s">
        <v>459</v>
      </c>
      <c r="H343">
        <v>0</v>
      </c>
    </row>
    <row r="344" spans="1:8">
      <c r="A344" t="s">
        <v>431</v>
      </c>
      <c r="B344">
        <v>167</v>
      </c>
      <c r="C344" t="s">
        <v>581</v>
      </c>
      <c r="D344" t="s">
        <v>583</v>
      </c>
      <c r="F344" t="s">
        <v>434</v>
      </c>
      <c r="G344" t="s">
        <v>474</v>
      </c>
      <c r="H344">
        <v>0</v>
      </c>
    </row>
    <row r="345" spans="1:8">
      <c r="A345" t="s">
        <v>431</v>
      </c>
      <c r="B345">
        <v>167</v>
      </c>
      <c r="C345" t="s">
        <v>581</v>
      </c>
      <c r="D345" t="s">
        <v>584</v>
      </c>
      <c r="F345" t="s">
        <v>463</v>
      </c>
      <c r="G345" t="s">
        <v>459</v>
      </c>
      <c r="H345">
        <v>0</v>
      </c>
    </row>
    <row r="346" spans="1:8">
      <c r="A346" t="s">
        <v>431</v>
      </c>
      <c r="B346">
        <v>167</v>
      </c>
      <c r="C346" t="s">
        <v>581</v>
      </c>
      <c r="D346" t="s">
        <v>585</v>
      </c>
      <c r="F346" t="s">
        <v>434</v>
      </c>
      <c r="G346" t="s">
        <v>459</v>
      </c>
      <c r="H346">
        <v>0</v>
      </c>
    </row>
    <row r="347" spans="1:8">
      <c r="A347" t="s">
        <v>431</v>
      </c>
      <c r="B347">
        <v>167</v>
      </c>
      <c r="C347" t="s">
        <v>581</v>
      </c>
      <c r="D347" t="s">
        <v>586</v>
      </c>
      <c r="F347" t="s">
        <v>434</v>
      </c>
      <c r="G347" t="s">
        <v>459</v>
      </c>
      <c r="H347">
        <v>0</v>
      </c>
    </row>
    <row r="348" spans="1:8">
      <c r="A348" t="s">
        <v>431</v>
      </c>
      <c r="B348">
        <v>167</v>
      </c>
      <c r="C348" t="s">
        <v>581</v>
      </c>
      <c r="D348" t="s">
        <v>587</v>
      </c>
      <c r="F348" t="s">
        <v>463</v>
      </c>
      <c r="G348" t="s">
        <v>459</v>
      </c>
      <c r="H348">
        <v>0</v>
      </c>
    </row>
    <row r="349" spans="1:8">
      <c r="A349" t="s">
        <v>431</v>
      </c>
      <c r="B349">
        <v>167</v>
      </c>
      <c r="C349" t="s">
        <v>581</v>
      </c>
      <c r="D349" t="s">
        <v>588</v>
      </c>
      <c r="F349" t="s">
        <v>434</v>
      </c>
      <c r="G349" t="s">
        <v>459</v>
      </c>
      <c r="H349">
        <v>0</v>
      </c>
    </row>
    <row r="350" spans="1:8">
      <c r="A350" t="s">
        <v>431</v>
      </c>
      <c r="B350">
        <v>169</v>
      </c>
      <c r="C350" t="s">
        <v>589</v>
      </c>
      <c r="D350" t="s">
        <v>590</v>
      </c>
      <c r="F350" t="s">
        <v>463</v>
      </c>
      <c r="G350" t="s">
        <v>459</v>
      </c>
      <c r="H350">
        <v>0</v>
      </c>
    </row>
    <row r="351" spans="1:8">
      <c r="A351" t="s">
        <v>431</v>
      </c>
      <c r="B351">
        <v>169</v>
      </c>
      <c r="C351" t="s">
        <v>589</v>
      </c>
      <c r="D351" t="s">
        <v>591</v>
      </c>
      <c r="F351" t="s">
        <v>434</v>
      </c>
      <c r="G351" t="s">
        <v>474</v>
      </c>
      <c r="H351">
        <v>0</v>
      </c>
    </row>
    <row r="352" spans="1:8">
      <c r="A352" t="s">
        <v>431</v>
      </c>
      <c r="B352">
        <v>169</v>
      </c>
      <c r="C352" t="s">
        <v>589</v>
      </c>
      <c r="D352" t="s">
        <v>592</v>
      </c>
      <c r="F352" t="s">
        <v>434</v>
      </c>
      <c r="G352" t="s">
        <v>459</v>
      </c>
      <c r="H352">
        <v>0</v>
      </c>
    </row>
    <row r="353" spans="1:8">
      <c r="A353" t="s">
        <v>431</v>
      </c>
      <c r="B353">
        <v>169</v>
      </c>
      <c r="C353" t="s">
        <v>589</v>
      </c>
      <c r="D353" t="s">
        <v>593</v>
      </c>
      <c r="F353" t="s">
        <v>434</v>
      </c>
      <c r="G353" t="s">
        <v>459</v>
      </c>
      <c r="H353">
        <v>0</v>
      </c>
    </row>
    <row r="354" spans="1:8">
      <c r="A354" t="s">
        <v>431</v>
      </c>
      <c r="B354">
        <v>172</v>
      </c>
      <c r="C354" t="s">
        <v>594</v>
      </c>
      <c r="D354" t="s">
        <v>595</v>
      </c>
      <c r="F354" t="s">
        <v>463</v>
      </c>
      <c r="G354" t="s">
        <v>459</v>
      </c>
      <c r="H354">
        <v>0</v>
      </c>
    </row>
    <row r="355" spans="1:8">
      <c r="A355" t="s">
        <v>431</v>
      </c>
      <c r="B355">
        <v>172</v>
      </c>
      <c r="C355" t="s">
        <v>594</v>
      </c>
      <c r="D355" t="s">
        <v>596</v>
      </c>
      <c r="F355" t="s">
        <v>434</v>
      </c>
      <c r="G355" t="s">
        <v>459</v>
      </c>
      <c r="H355">
        <v>0</v>
      </c>
    </row>
    <row r="356" spans="1:8">
      <c r="A356" t="s">
        <v>431</v>
      </c>
      <c r="B356">
        <v>172</v>
      </c>
      <c r="C356" t="s">
        <v>594</v>
      </c>
      <c r="D356" t="s">
        <v>597</v>
      </c>
      <c r="F356" t="s">
        <v>463</v>
      </c>
      <c r="G356" t="s">
        <v>459</v>
      </c>
      <c r="H356">
        <v>0</v>
      </c>
    </row>
    <row r="357" spans="1:8">
      <c r="A357" t="s">
        <v>431</v>
      </c>
      <c r="B357">
        <v>172</v>
      </c>
      <c r="C357" t="s">
        <v>594</v>
      </c>
      <c r="D357" t="s">
        <v>598</v>
      </c>
      <c r="F357" t="s">
        <v>434</v>
      </c>
      <c r="G357" t="s">
        <v>459</v>
      </c>
      <c r="H357">
        <v>0</v>
      </c>
    </row>
    <row r="358" spans="1:8">
      <c r="A358" t="s">
        <v>431</v>
      </c>
      <c r="B358">
        <v>172</v>
      </c>
      <c r="C358" t="s">
        <v>594</v>
      </c>
      <c r="D358" t="s">
        <v>599</v>
      </c>
      <c r="F358" t="s">
        <v>463</v>
      </c>
      <c r="G358" t="s">
        <v>459</v>
      </c>
      <c r="H358">
        <v>0</v>
      </c>
    </row>
    <row r="359" spans="1:8">
      <c r="A359" t="s">
        <v>431</v>
      </c>
      <c r="B359">
        <v>172</v>
      </c>
      <c r="C359" t="s">
        <v>594</v>
      </c>
      <c r="D359" t="s">
        <v>600</v>
      </c>
      <c r="F359" t="s">
        <v>434</v>
      </c>
      <c r="G359" t="s">
        <v>459</v>
      </c>
      <c r="H359">
        <v>0</v>
      </c>
    </row>
    <row r="360" spans="1:8">
      <c r="A360" t="s">
        <v>431</v>
      </c>
      <c r="B360">
        <v>174</v>
      </c>
      <c r="C360" t="s">
        <v>601</v>
      </c>
      <c r="D360" t="s">
        <v>602</v>
      </c>
      <c r="F360" t="s">
        <v>434</v>
      </c>
      <c r="G360" t="s">
        <v>459</v>
      </c>
      <c r="H360">
        <v>0</v>
      </c>
    </row>
    <row r="361" spans="1:8">
      <c r="A361" t="s">
        <v>431</v>
      </c>
      <c r="B361">
        <v>174</v>
      </c>
      <c r="C361" t="s">
        <v>601</v>
      </c>
      <c r="D361" t="s">
        <v>603</v>
      </c>
      <c r="F361" t="s">
        <v>434</v>
      </c>
      <c r="G361" t="s">
        <v>459</v>
      </c>
      <c r="H361">
        <v>0</v>
      </c>
    </row>
    <row r="362" spans="1:8">
      <c r="A362" t="s">
        <v>431</v>
      </c>
      <c r="B362">
        <v>174</v>
      </c>
      <c r="C362" t="s">
        <v>601</v>
      </c>
      <c r="D362" t="s">
        <v>604</v>
      </c>
      <c r="F362" t="s">
        <v>463</v>
      </c>
      <c r="G362" t="s">
        <v>459</v>
      </c>
      <c r="H362">
        <v>0</v>
      </c>
    </row>
    <row r="363" spans="1:8">
      <c r="A363" t="s">
        <v>431</v>
      </c>
      <c r="B363">
        <v>174</v>
      </c>
      <c r="C363" t="s">
        <v>601</v>
      </c>
      <c r="D363" t="s">
        <v>605</v>
      </c>
      <c r="F363" t="s">
        <v>434</v>
      </c>
      <c r="G363" t="s">
        <v>459</v>
      </c>
      <c r="H363">
        <v>0</v>
      </c>
    </row>
    <row r="364" spans="1:8">
      <c r="A364" t="s">
        <v>431</v>
      </c>
      <c r="B364">
        <v>174</v>
      </c>
      <c r="C364" t="s">
        <v>601</v>
      </c>
      <c r="D364" t="s">
        <v>606</v>
      </c>
      <c r="F364" t="s">
        <v>434</v>
      </c>
      <c r="G364" t="s">
        <v>459</v>
      </c>
      <c r="H364">
        <v>0</v>
      </c>
    </row>
    <row r="365" spans="1:8">
      <c r="A365" t="s">
        <v>431</v>
      </c>
      <c r="B365">
        <v>174</v>
      </c>
      <c r="C365" t="s">
        <v>601</v>
      </c>
      <c r="D365" t="s">
        <v>607</v>
      </c>
      <c r="F365" t="s">
        <v>434</v>
      </c>
      <c r="G365" t="s">
        <v>459</v>
      </c>
      <c r="H365">
        <v>0</v>
      </c>
    </row>
    <row r="366" spans="1:8">
      <c r="A366" t="s">
        <v>431</v>
      </c>
      <c r="B366">
        <v>175</v>
      </c>
      <c r="C366" t="s">
        <v>608</v>
      </c>
      <c r="D366" t="s">
        <v>609</v>
      </c>
      <c r="F366" t="s">
        <v>463</v>
      </c>
      <c r="G366" t="s">
        <v>459</v>
      </c>
      <c r="H366">
        <v>0</v>
      </c>
    </row>
    <row r="367" spans="1:8">
      <c r="A367" t="s">
        <v>431</v>
      </c>
      <c r="B367">
        <v>175</v>
      </c>
      <c r="C367" t="s">
        <v>608</v>
      </c>
      <c r="D367" t="s">
        <v>610</v>
      </c>
      <c r="F367" t="s">
        <v>434</v>
      </c>
      <c r="G367" t="s">
        <v>459</v>
      </c>
      <c r="H367">
        <v>0</v>
      </c>
    </row>
    <row r="368" spans="1:8">
      <c r="A368" t="s">
        <v>431</v>
      </c>
      <c r="B368">
        <v>175</v>
      </c>
      <c r="C368" t="s">
        <v>608</v>
      </c>
      <c r="D368" t="s">
        <v>611</v>
      </c>
      <c r="F368" t="s">
        <v>434</v>
      </c>
      <c r="G368" t="s">
        <v>459</v>
      </c>
      <c r="H368">
        <v>0</v>
      </c>
    </row>
    <row r="369" spans="1:8">
      <c r="A369" t="s">
        <v>431</v>
      </c>
      <c r="B369">
        <v>175</v>
      </c>
      <c r="C369" t="s">
        <v>608</v>
      </c>
      <c r="D369" t="s">
        <v>612</v>
      </c>
      <c r="F369" t="s">
        <v>434</v>
      </c>
      <c r="G369" t="s">
        <v>459</v>
      </c>
      <c r="H369">
        <v>0</v>
      </c>
    </row>
    <row r="370" spans="1:8">
      <c r="A370" t="s">
        <v>431</v>
      </c>
      <c r="B370">
        <v>177</v>
      </c>
      <c r="C370" t="s">
        <v>613</v>
      </c>
      <c r="D370" t="s">
        <v>614</v>
      </c>
      <c r="F370" t="s">
        <v>434</v>
      </c>
      <c r="G370" t="s">
        <v>459</v>
      </c>
      <c r="H370">
        <v>0</v>
      </c>
    </row>
    <row r="371" spans="1:8">
      <c r="A371" t="s">
        <v>431</v>
      </c>
      <c r="B371">
        <v>177</v>
      </c>
      <c r="C371" t="s">
        <v>613</v>
      </c>
      <c r="D371" t="s">
        <v>615</v>
      </c>
      <c r="F371" t="s">
        <v>434</v>
      </c>
      <c r="G371" t="s">
        <v>459</v>
      </c>
      <c r="H371">
        <v>0</v>
      </c>
    </row>
    <row r="372" spans="1:8">
      <c r="A372" t="s">
        <v>431</v>
      </c>
      <c r="B372">
        <v>179</v>
      </c>
      <c r="C372" t="s">
        <v>616</v>
      </c>
      <c r="D372" t="s">
        <v>617</v>
      </c>
      <c r="F372" t="s">
        <v>434</v>
      </c>
      <c r="G372" t="s">
        <v>459</v>
      </c>
      <c r="H372">
        <v>0</v>
      </c>
    </row>
    <row r="373" spans="1:8">
      <c r="A373" t="s">
        <v>431</v>
      </c>
      <c r="B373">
        <v>179</v>
      </c>
      <c r="C373" t="s">
        <v>616</v>
      </c>
      <c r="D373" t="s">
        <v>618</v>
      </c>
      <c r="F373" t="s">
        <v>434</v>
      </c>
      <c r="G373" t="s">
        <v>459</v>
      </c>
      <c r="H373">
        <v>0</v>
      </c>
    </row>
    <row r="374" spans="1:8">
      <c r="A374" t="s">
        <v>431</v>
      </c>
      <c r="B374">
        <v>179</v>
      </c>
      <c r="C374" t="s">
        <v>616</v>
      </c>
      <c r="D374" t="s">
        <v>619</v>
      </c>
      <c r="F374" t="s">
        <v>463</v>
      </c>
      <c r="G374" t="s">
        <v>459</v>
      </c>
      <c r="H374">
        <v>0</v>
      </c>
    </row>
    <row r="375" spans="1:8">
      <c r="A375" t="s">
        <v>431</v>
      </c>
      <c r="B375">
        <v>179</v>
      </c>
      <c r="C375" t="s">
        <v>616</v>
      </c>
      <c r="D375" t="s">
        <v>620</v>
      </c>
      <c r="F375" t="s">
        <v>434</v>
      </c>
      <c r="G375" t="s">
        <v>459</v>
      </c>
      <c r="H375">
        <v>0</v>
      </c>
    </row>
    <row r="376" spans="1:8">
      <c r="A376" t="s">
        <v>431</v>
      </c>
      <c r="B376">
        <v>179</v>
      </c>
      <c r="C376" t="s">
        <v>616</v>
      </c>
      <c r="D376" t="s">
        <v>621</v>
      </c>
      <c r="F376" t="s">
        <v>434</v>
      </c>
      <c r="G376" t="s">
        <v>459</v>
      </c>
      <c r="H376">
        <v>0</v>
      </c>
    </row>
    <row r="377" spans="1:8">
      <c r="A377" t="s">
        <v>431</v>
      </c>
      <c r="B377">
        <v>179</v>
      </c>
      <c r="C377" t="s">
        <v>616</v>
      </c>
      <c r="D377" t="s">
        <v>622</v>
      </c>
      <c r="F377" t="s">
        <v>434</v>
      </c>
      <c r="G377" t="s">
        <v>459</v>
      </c>
      <c r="H377">
        <v>0</v>
      </c>
    </row>
    <row r="378" spans="1:8">
      <c r="A378" t="s">
        <v>431</v>
      </c>
      <c r="B378">
        <v>182</v>
      </c>
      <c r="C378" t="s">
        <v>623</v>
      </c>
      <c r="D378" t="s">
        <v>624</v>
      </c>
      <c r="F378" t="s">
        <v>463</v>
      </c>
      <c r="G378" t="s">
        <v>459</v>
      </c>
      <c r="H378">
        <v>0</v>
      </c>
    </row>
    <row r="379" spans="1:8">
      <c r="A379" t="s">
        <v>431</v>
      </c>
      <c r="B379">
        <v>182</v>
      </c>
      <c r="C379" t="s">
        <v>623</v>
      </c>
      <c r="D379" t="s">
        <v>625</v>
      </c>
      <c r="F379" t="s">
        <v>434</v>
      </c>
      <c r="G379" t="s">
        <v>459</v>
      </c>
      <c r="H379">
        <v>0</v>
      </c>
    </row>
    <row r="380" spans="1:8">
      <c r="A380" t="s">
        <v>431</v>
      </c>
      <c r="B380">
        <v>182</v>
      </c>
      <c r="C380" t="s">
        <v>623</v>
      </c>
      <c r="D380" t="s">
        <v>626</v>
      </c>
      <c r="F380" t="s">
        <v>463</v>
      </c>
      <c r="G380" t="s">
        <v>459</v>
      </c>
      <c r="H380">
        <v>0</v>
      </c>
    </row>
    <row r="381" spans="1:8">
      <c r="A381" t="s">
        <v>431</v>
      </c>
      <c r="B381">
        <v>182</v>
      </c>
      <c r="C381" t="s">
        <v>623</v>
      </c>
      <c r="D381" t="s">
        <v>627</v>
      </c>
      <c r="F381" t="s">
        <v>434</v>
      </c>
      <c r="G381" t="s">
        <v>459</v>
      </c>
      <c r="H381">
        <v>0</v>
      </c>
    </row>
    <row r="382" spans="1:8">
      <c r="A382" t="s">
        <v>431</v>
      </c>
      <c r="B382">
        <v>182</v>
      </c>
      <c r="C382" t="s">
        <v>623</v>
      </c>
      <c r="D382" t="s">
        <v>628</v>
      </c>
      <c r="F382" t="s">
        <v>434</v>
      </c>
      <c r="G382" t="s">
        <v>459</v>
      </c>
      <c r="H382">
        <v>0</v>
      </c>
    </row>
    <row r="383" spans="1:8">
      <c r="A383" t="s">
        <v>431</v>
      </c>
      <c r="B383">
        <v>185</v>
      </c>
      <c r="C383" t="s">
        <v>629</v>
      </c>
      <c r="D383" t="s">
        <v>630</v>
      </c>
      <c r="F383" t="s">
        <v>434</v>
      </c>
      <c r="G383" t="s">
        <v>459</v>
      </c>
      <c r="H383">
        <v>0</v>
      </c>
    </row>
    <row r="384" spans="1:8">
      <c r="A384" t="s">
        <v>431</v>
      </c>
      <c r="B384">
        <v>185</v>
      </c>
      <c r="C384" t="s">
        <v>629</v>
      </c>
      <c r="D384" t="s">
        <v>631</v>
      </c>
      <c r="F384" t="s">
        <v>434</v>
      </c>
      <c r="G384" t="s">
        <v>459</v>
      </c>
      <c r="H384">
        <v>0</v>
      </c>
    </row>
    <row r="385" spans="1:8">
      <c r="A385" t="s">
        <v>431</v>
      </c>
      <c r="B385">
        <v>185</v>
      </c>
      <c r="C385" t="s">
        <v>629</v>
      </c>
      <c r="D385" t="s">
        <v>632</v>
      </c>
      <c r="F385" t="s">
        <v>463</v>
      </c>
      <c r="G385" t="s">
        <v>459</v>
      </c>
      <c r="H385">
        <v>0</v>
      </c>
    </row>
    <row r="386" spans="1:8">
      <c r="A386" t="s">
        <v>431</v>
      </c>
      <c r="B386">
        <v>185</v>
      </c>
      <c r="C386" t="s">
        <v>629</v>
      </c>
      <c r="D386" t="s">
        <v>633</v>
      </c>
      <c r="F386" t="s">
        <v>434</v>
      </c>
      <c r="G386" t="s">
        <v>459</v>
      </c>
      <c r="H386">
        <v>0</v>
      </c>
    </row>
    <row r="387" spans="1:8">
      <c r="A387" t="s">
        <v>431</v>
      </c>
      <c r="B387">
        <v>185</v>
      </c>
      <c r="C387" t="s">
        <v>629</v>
      </c>
      <c r="D387" t="s">
        <v>634</v>
      </c>
      <c r="F387" t="s">
        <v>434</v>
      </c>
      <c r="G387" t="s">
        <v>459</v>
      </c>
      <c r="H387">
        <v>0</v>
      </c>
    </row>
    <row r="388" spans="1:8">
      <c r="A388" t="s">
        <v>431</v>
      </c>
      <c r="B388">
        <v>185</v>
      </c>
      <c r="C388" t="s">
        <v>629</v>
      </c>
      <c r="D388" t="s">
        <v>635</v>
      </c>
      <c r="F388" t="s">
        <v>434</v>
      </c>
      <c r="G388" t="s">
        <v>459</v>
      </c>
      <c r="H388">
        <v>0</v>
      </c>
    </row>
    <row r="389" spans="1:8">
      <c r="A389" t="s">
        <v>431</v>
      </c>
      <c r="B389">
        <v>187</v>
      </c>
      <c r="C389" t="s">
        <v>636</v>
      </c>
      <c r="D389" t="s">
        <v>637</v>
      </c>
      <c r="F389" t="s">
        <v>434</v>
      </c>
      <c r="G389" t="s">
        <v>459</v>
      </c>
      <c r="H389">
        <v>0</v>
      </c>
    </row>
    <row r="390" spans="1:8">
      <c r="A390" t="s">
        <v>431</v>
      </c>
      <c r="B390">
        <v>187</v>
      </c>
      <c r="C390" t="s">
        <v>636</v>
      </c>
      <c r="D390" t="s">
        <v>638</v>
      </c>
      <c r="F390" t="s">
        <v>434</v>
      </c>
      <c r="G390" t="s">
        <v>459</v>
      </c>
      <c r="H390">
        <v>0</v>
      </c>
    </row>
    <row r="391" spans="1:8">
      <c r="A391" t="s">
        <v>431</v>
      </c>
      <c r="B391">
        <v>187</v>
      </c>
      <c r="C391" t="s">
        <v>636</v>
      </c>
      <c r="D391" t="s">
        <v>639</v>
      </c>
      <c r="F391" t="s">
        <v>463</v>
      </c>
      <c r="G391" t="s">
        <v>459</v>
      </c>
      <c r="H391">
        <v>0</v>
      </c>
    </row>
    <row r="392" spans="1:8">
      <c r="A392" t="s">
        <v>431</v>
      </c>
      <c r="B392">
        <v>187</v>
      </c>
      <c r="C392" t="s">
        <v>636</v>
      </c>
      <c r="D392" t="s">
        <v>640</v>
      </c>
      <c r="F392" t="s">
        <v>434</v>
      </c>
      <c r="G392" t="s">
        <v>459</v>
      </c>
      <c r="H392">
        <v>0</v>
      </c>
    </row>
    <row r="393" spans="1:8">
      <c r="A393" t="s">
        <v>431</v>
      </c>
      <c r="B393">
        <v>191</v>
      </c>
      <c r="C393" t="s">
        <v>641</v>
      </c>
      <c r="D393" t="s">
        <v>642</v>
      </c>
      <c r="F393" t="s">
        <v>463</v>
      </c>
      <c r="G393" t="s">
        <v>459</v>
      </c>
      <c r="H393">
        <v>0</v>
      </c>
    </row>
    <row r="394" spans="1:8">
      <c r="A394" t="s">
        <v>431</v>
      </c>
      <c r="B394">
        <v>191</v>
      </c>
      <c r="C394" t="s">
        <v>641</v>
      </c>
      <c r="D394" t="s">
        <v>643</v>
      </c>
      <c r="F394" t="s">
        <v>434</v>
      </c>
      <c r="G394" t="s">
        <v>459</v>
      </c>
      <c r="H394">
        <v>0</v>
      </c>
    </row>
    <row r="395" spans="1:8">
      <c r="A395" t="s">
        <v>431</v>
      </c>
      <c r="B395">
        <v>191</v>
      </c>
      <c r="C395" t="s">
        <v>641</v>
      </c>
      <c r="D395" t="s">
        <v>644</v>
      </c>
      <c r="F395" t="s">
        <v>463</v>
      </c>
      <c r="G395" t="s">
        <v>459</v>
      </c>
      <c r="H395">
        <v>0</v>
      </c>
    </row>
    <row r="396" spans="1:8">
      <c r="A396" t="s">
        <v>431</v>
      </c>
      <c r="B396">
        <v>191</v>
      </c>
      <c r="C396" t="s">
        <v>641</v>
      </c>
      <c r="D396" t="s">
        <v>645</v>
      </c>
      <c r="F396" t="s">
        <v>434</v>
      </c>
      <c r="G396" t="s">
        <v>459</v>
      </c>
      <c r="H396">
        <v>0</v>
      </c>
    </row>
    <row r="397" spans="1:8">
      <c r="A397" t="s">
        <v>431</v>
      </c>
      <c r="B397">
        <v>192</v>
      </c>
      <c r="C397" t="s">
        <v>646</v>
      </c>
      <c r="D397" t="s">
        <v>647</v>
      </c>
      <c r="F397" t="s">
        <v>463</v>
      </c>
      <c r="G397" t="s">
        <v>459</v>
      </c>
      <c r="H397">
        <v>0</v>
      </c>
    </row>
    <row r="398" spans="1:8">
      <c r="A398" t="s">
        <v>431</v>
      </c>
      <c r="B398">
        <v>192</v>
      </c>
      <c r="C398" t="s">
        <v>646</v>
      </c>
      <c r="D398" t="s">
        <v>648</v>
      </c>
      <c r="F398" t="s">
        <v>434</v>
      </c>
      <c r="G398" t="s">
        <v>459</v>
      </c>
      <c r="H398">
        <v>0</v>
      </c>
    </row>
    <row r="399" spans="1:8">
      <c r="A399" t="s">
        <v>431</v>
      </c>
      <c r="B399">
        <v>192</v>
      </c>
      <c r="C399" t="s">
        <v>646</v>
      </c>
      <c r="D399" t="s">
        <v>649</v>
      </c>
      <c r="F399" t="s">
        <v>434</v>
      </c>
      <c r="G399" t="s">
        <v>459</v>
      </c>
      <c r="H399">
        <v>0</v>
      </c>
    </row>
    <row r="400" spans="1:8">
      <c r="A400" t="s">
        <v>431</v>
      </c>
      <c r="B400">
        <v>196</v>
      </c>
      <c r="C400" t="s">
        <v>650</v>
      </c>
      <c r="D400" t="s">
        <v>651</v>
      </c>
      <c r="F400" t="s">
        <v>463</v>
      </c>
      <c r="G400" t="s">
        <v>459</v>
      </c>
      <c r="H400">
        <v>0</v>
      </c>
    </row>
    <row r="401" spans="1:8">
      <c r="A401" t="s">
        <v>431</v>
      </c>
      <c r="B401">
        <v>196</v>
      </c>
      <c r="C401" t="s">
        <v>650</v>
      </c>
      <c r="D401" t="s">
        <v>652</v>
      </c>
      <c r="F401" t="s">
        <v>434</v>
      </c>
      <c r="G401" t="s">
        <v>459</v>
      </c>
      <c r="H401">
        <v>0</v>
      </c>
    </row>
    <row r="402" spans="1:8">
      <c r="A402" t="s">
        <v>431</v>
      </c>
      <c r="B402">
        <v>196</v>
      </c>
      <c r="C402" t="s">
        <v>650</v>
      </c>
      <c r="D402" t="s">
        <v>653</v>
      </c>
      <c r="F402" t="s">
        <v>463</v>
      </c>
      <c r="G402" t="s">
        <v>459</v>
      </c>
      <c r="H402">
        <v>0</v>
      </c>
    </row>
    <row r="403" spans="1:8">
      <c r="A403" t="s">
        <v>431</v>
      </c>
      <c r="B403">
        <v>196</v>
      </c>
      <c r="C403" t="s">
        <v>650</v>
      </c>
      <c r="D403" t="s">
        <v>524</v>
      </c>
      <c r="F403" t="s">
        <v>434</v>
      </c>
      <c r="G403" t="s">
        <v>459</v>
      </c>
      <c r="H403">
        <v>0</v>
      </c>
    </row>
    <row r="404" spans="1:8">
      <c r="A404" t="s">
        <v>431</v>
      </c>
      <c r="B404">
        <v>196</v>
      </c>
      <c r="C404" t="s">
        <v>650</v>
      </c>
      <c r="D404" t="s">
        <v>654</v>
      </c>
      <c r="F404" t="s">
        <v>463</v>
      </c>
      <c r="G404" t="s">
        <v>459</v>
      </c>
      <c r="H404">
        <v>0</v>
      </c>
    </row>
    <row r="405" spans="1:8">
      <c r="A405" t="s">
        <v>431</v>
      </c>
      <c r="B405">
        <v>196</v>
      </c>
      <c r="C405" t="s">
        <v>650</v>
      </c>
      <c r="D405" t="s">
        <v>655</v>
      </c>
      <c r="F405" t="s">
        <v>434</v>
      </c>
      <c r="G405" t="s">
        <v>459</v>
      </c>
      <c r="H405">
        <v>0</v>
      </c>
    </row>
    <row r="406" spans="1:8">
      <c r="A406" t="s">
        <v>431</v>
      </c>
      <c r="B406">
        <v>197</v>
      </c>
      <c r="C406" t="s">
        <v>656</v>
      </c>
      <c r="D406" t="s">
        <v>657</v>
      </c>
      <c r="F406" t="s">
        <v>434</v>
      </c>
      <c r="G406" t="s">
        <v>459</v>
      </c>
      <c r="H406">
        <v>0</v>
      </c>
    </row>
    <row r="407" spans="1:8">
      <c r="A407" t="s">
        <v>431</v>
      </c>
      <c r="B407">
        <v>197</v>
      </c>
      <c r="C407" t="s">
        <v>656</v>
      </c>
      <c r="D407" t="s">
        <v>658</v>
      </c>
      <c r="F407" t="s">
        <v>434</v>
      </c>
      <c r="G407" t="s">
        <v>459</v>
      </c>
      <c r="H407">
        <v>0</v>
      </c>
    </row>
    <row r="408" spans="1:8">
      <c r="A408" t="s">
        <v>431</v>
      </c>
      <c r="B408">
        <v>197</v>
      </c>
      <c r="C408" t="s">
        <v>656</v>
      </c>
      <c r="D408" t="s">
        <v>659</v>
      </c>
      <c r="F408" t="s">
        <v>434</v>
      </c>
      <c r="G408" t="s">
        <v>459</v>
      </c>
      <c r="H408">
        <v>0</v>
      </c>
    </row>
    <row r="409" spans="1:8">
      <c r="A409" t="s">
        <v>431</v>
      </c>
      <c r="B409">
        <v>197</v>
      </c>
      <c r="C409" t="s">
        <v>656</v>
      </c>
      <c r="D409" t="s">
        <v>660</v>
      </c>
      <c r="F409" t="s">
        <v>434</v>
      </c>
      <c r="G409" t="s">
        <v>459</v>
      </c>
      <c r="H409">
        <v>0</v>
      </c>
    </row>
    <row r="410" spans="1:8">
      <c r="A410" t="s">
        <v>431</v>
      </c>
      <c r="B410">
        <v>197</v>
      </c>
      <c r="C410" t="s">
        <v>656</v>
      </c>
      <c r="D410" t="s">
        <v>661</v>
      </c>
      <c r="F410" t="s">
        <v>463</v>
      </c>
      <c r="G410" t="s">
        <v>459</v>
      </c>
      <c r="H410">
        <v>0</v>
      </c>
    </row>
    <row r="411" spans="1:8">
      <c r="A411" t="s">
        <v>431</v>
      </c>
      <c r="B411">
        <v>197</v>
      </c>
      <c r="C411" t="s">
        <v>656</v>
      </c>
      <c r="D411" t="s">
        <v>662</v>
      </c>
      <c r="F411" t="s">
        <v>434</v>
      </c>
      <c r="G411" t="s">
        <v>459</v>
      </c>
      <c r="H411">
        <v>0</v>
      </c>
    </row>
    <row r="412" spans="1:8">
      <c r="A412" t="s">
        <v>431</v>
      </c>
      <c r="B412">
        <v>198</v>
      </c>
      <c r="C412" t="s">
        <v>663</v>
      </c>
      <c r="D412" t="s">
        <v>664</v>
      </c>
      <c r="F412" t="s">
        <v>463</v>
      </c>
      <c r="G412" t="s">
        <v>474</v>
      </c>
      <c r="H412">
        <v>0</v>
      </c>
    </row>
    <row r="413" spans="1:8">
      <c r="A413" t="s">
        <v>431</v>
      </c>
      <c r="B413">
        <v>199</v>
      </c>
      <c r="C413" t="s">
        <v>665</v>
      </c>
      <c r="D413" t="s">
        <v>666</v>
      </c>
      <c r="F413" t="s">
        <v>463</v>
      </c>
      <c r="G413" t="s">
        <v>459</v>
      </c>
      <c r="H413">
        <v>0</v>
      </c>
    </row>
    <row r="414" spans="1:8">
      <c r="A414" t="s">
        <v>431</v>
      </c>
      <c r="B414">
        <v>199</v>
      </c>
      <c r="C414" t="s">
        <v>665</v>
      </c>
      <c r="D414" t="s">
        <v>667</v>
      </c>
      <c r="F414" t="s">
        <v>434</v>
      </c>
      <c r="G414" t="s">
        <v>459</v>
      </c>
      <c r="H414">
        <v>0</v>
      </c>
    </row>
    <row r="415" spans="1:8">
      <c r="A415" t="s">
        <v>431</v>
      </c>
      <c r="B415">
        <v>199</v>
      </c>
      <c r="C415" t="s">
        <v>665</v>
      </c>
      <c r="D415" t="s">
        <v>668</v>
      </c>
      <c r="F415" t="s">
        <v>434</v>
      </c>
      <c r="G415" t="s">
        <v>459</v>
      </c>
      <c r="H415">
        <v>0</v>
      </c>
    </row>
    <row r="416" spans="1:8">
      <c r="A416" t="s">
        <v>431</v>
      </c>
      <c r="B416">
        <v>199</v>
      </c>
      <c r="C416" t="s">
        <v>665</v>
      </c>
      <c r="D416" t="s">
        <v>669</v>
      </c>
      <c r="F416" t="s">
        <v>434</v>
      </c>
      <c r="G416" t="s">
        <v>459</v>
      </c>
      <c r="H416">
        <v>0</v>
      </c>
    </row>
    <row r="417" spans="1:8">
      <c r="A417" t="s">
        <v>431</v>
      </c>
      <c r="B417">
        <v>200</v>
      </c>
      <c r="C417" t="s">
        <v>670</v>
      </c>
      <c r="D417" t="s">
        <v>671</v>
      </c>
      <c r="F417" t="s">
        <v>463</v>
      </c>
      <c r="G417" t="s">
        <v>459</v>
      </c>
      <c r="H417">
        <v>0</v>
      </c>
    </row>
    <row r="418" spans="1:8">
      <c r="A418" t="s">
        <v>431</v>
      </c>
      <c r="B418">
        <v>200</v>
      </c>
      <c r="C418" t="s">
        <v>670</v>
      </c>
      <c r="D418" t="s">
        <v>672</v>
      </c>
      <c r="F418" t="s">
        <v>434</v>
      </c>
      <c r="G418" t="s">
        <v>459</v>
      </c>
      <c r="H418">
        <v>0</v>
      </c>
    </row>
    <row r="419" spans="1:8">
      <c r="A419" t="s">
        <v>431</v>
      </c>
      <c r="B419">
        <v>200</v>
      </c>
      <c r="C419" t="s">
        <v>670</v>
      </c>
      <c r="D419" t="s">
        <v>673</v>
      </c>
      <c r="F419" t="s">
        <v>463</v>
      </c>
      <c r="G419" t="s">
        <v>459</v>
      </c>
      <c r="H419">
        <v>0</v>
      </c>
    </row>
    <row r="420" spans="1:8">
      <c r="A420" t="s">
        <v>431</v>
      </c>
      <c r="B420">
        <v>200</v>
      </c>
      <c r="C420" t="s">
        <v>670</v>
      </c>
      <c r="D420" t="s">
        <v>674</v>
      </c>
      <c r="F420" t="s">
        <v>434</v>
      </c>
      <c r="G420" t="s">
        <v>459</v>
      </c>
      <c r="H420">
        <v>0</v>
      </c>
    </row>
    <row r="421" spans="1:8">
      <c r="A421" t="s">
        <v>431</v>
      </c>
      <c r="B421">
        <v>200</v>
      </c>
      <c r="C421" t="s">
        <v>670</v>
      </c>
      <c r="D421" t="s">
        <v>675</v>
      </c>
      <c r="F421" t="s">
        <v>434</v>
      </c>
      <c r="G421" t="s">
        <v>459</v>
      </c>
      <c r="H421">
        <v>0</v>
      </c>
    </row>
    <row r="422" spans="1:8">
      <c r="A422" t="s">
        <v>431</v>
      </c>
      <c r="B422">
        <v>200</v>
      </c>
      <c r="C422" t="s">
        <v>670</v>
      </c>
      <c r="D422" t="s">
        <v>676</v>
      </c>
      <c r="F422" t="s">
        <v>434</v>
      </c>
      <c r="G422" t="s">
        <v>459</v>
      </c>
      <c r="H422">
        <v>0</v>
      </c>
    </row>
    <row r="423" spans="1:8">
      <c r="A423" t="s">
        <v>431</v>
      </c>
      <c r="B423">
        <v>200</v>
      </c>
      <c r="C423" t="s">
        <v>670</v>
      </c>
      <c r="D423" t="s">
        <v>677</v>
      </c>
      <c r="F423" t="s">
        <v>434</v>
      </c>
      <c r="G423" t="s">
        <v>459</v>
      </c>
      <c r="H423">
        <v>0</v>
      </c>
    </row>
    <row r="424" spans="1:8">
      <c r="A424" t="s">
        <v>431</v>
      </c>
      <c r="B424">
        <v>201</v>
      </c>
      <c r="C424" t="s">
        <v>678</v>
      </c>
      <c r="D424" t="s">
        <v>679</v>
      </c>
      <c r="F424" t="s">
        <v>434</v>
      </c>
      <c r="G424" t="s">
        <v>459</v>
      </c>
      <c r="H424">
        <v>0</v>
      </c>
    </row>
    <row r="425" spans="1:8">
      <c r="A425" t="s">
        <v>431</v>
      </c>
      <c r="B425">
        <v>201</v>
      </c>
      <c r="C425" t="s">
        <v>678</v>
      </c>
      <c r="D425" t="s">
        <v>680</v>
      </c>
      <c r="F425" t="s">
        <v>434</v>
      </c>
      <c r="G425" t="s">
        <v>459</v>
      </c>
      <c r="H425">
        <v>0</v>
      </c>
    </row>
    <row r="426" spans="1:8">
      <c r="A426" t="s">
        <v>431</v>
      </c>
      <c r="B426">
        <v>201</v>
      </c>
      <c r="C426" t="s">
        <v>678</v>
      </c>
      <c r="D426" t="s">
        <v>681</v>
      </c>
      <c r="F426" t="s">
        <v>463</v>
      </c>
      <c r="G426" t="s">
        <v>459</v>
      </c>
      <c r="H426">
        <v>0</v>
      </c>
    </row>
    <row r="427" spans="1:8">
      <c r="A427" t="s">
        <v>431</v>
      </c>
      <c r="B427">
        <v>201</v>
      </c>
      <c r="C427" t="s">
        <v>678</v>
      </c>
      <c r="D427" t="s">
        <v>682</v>
      </c>
      <c r="F427" t="s">
        <v>434</v>
      </c>
      <c r="G427" t="s">
        <v>459</v>
      </c>
      <c r="H427">
        <v>0</v>
      </c>
    </row>
    <row r="428" spans="1:8">
      <c r="A428" t="s">
        <v>431</v>
      </c>
      <c r="B428">
        <v>202</v>
      </c>
      <c r="C428" t="s">
        <v>683</v>
      </c>
      <c r="D428" t="s">
        <v>684</v>
      </c>
      <c r="F428" t="s">
        <v>434</v>
      </c>
      <c r="G428" t="s">
        <v>459</v>
      </c>
      <c r="H428">
        <v>0</v>
      </c>
    </row>
    <row r="429" spans="1:8">
      <c r="A429" t="s">
        <v>431</v>
      </c>
      <c r="B429">
        <v>202</v>
      </c>
      <c r="C429" t="s">
        <v>683</v>
      </c>
      <c r="D429" t="s">
        <v>685</v>
      </c>
      <c r="F429" t="s">
        <v>434</v>
      </c>
      <c r="G429" t="s">
        <v>459</v>
      </c>
      <c r="H429">
        <v>0</v>
      </c>
    </row>
    <row r="430" spans="1:8">
      <c r="A430" t="s">
        <v>431</v>
      </c>
      <c r="B430">
        <v>202</v>
      </c>
      <c r="C430" t="s">
        <v>683</v>
      </c>
      <c r="D430" t="s">
        <v>686</v>
      </c>
      <c r="F430" t="s">
        <v>434</v>
      </c>
      <c r="G430" t="s">
        <v>459</v>
      </c>
      <c r="H430">
        <v>0</v>
      </c>
    </row>
    <row r="431" spans="1:8">
      <c r="A431" t="s">
        <v>431</v>
      </c>
      <c r="B431">
        <v>202</v>
      </c>
      <c r="C431" t="s">
        <v>683</v>
      </c>
      <c r="D431" t="s">
        <v>687</v>
      </c>
      <c r="F431" t="s">
        <v>434</v>
      </c>
      <c r="G431" t="s">
        <v>459</v>
      </c>
      <c r="H431">
        <v>0</v>
      </c>
    </row>
    <row r="432" spans="1:8">
      <c r="A432" t="s">
        <v>431</v>
      </c>
      <c r="B432">
        <v>202</v>
      </c>
      <c r="C432" t="s">
        <v>683</v>
      </c>
      <c r="D432" t="s">
        <v>688</v>
      </c>
      <c r="F432" t="s">
        <v>463</v>
      </c>
      <c r="G432" t="s">
        <v>459</v>
      </c>
      <c r="H432">
        <v>0</v>
      </c>
    </row>
    <row r="433" spans="1:8">
      <c r="A433" t="s">
        <v>431</v>
      </c>
      <c r="B433">
        <v>202</v>
      </c>
      <c r="C433" t="s">
        <v>683</v>
      </c>
      <c r="D433" t="s">
        <v>689</v>
      </c>
      <c r="F433" t="s">
        <v>434</v>
      </c>
      <c r="G433" t="s">
        <v>459</v>
      </c>
      <c r="H433">
        <v>0</v>
      </c>
    </row>
    <row r="434" spans="1:8">
      <c r="A434" t="s">
        <v>431</v>
      </c>
      <c r="B434">
        <v>204</v>
      </c>
      <c r="C434" t="s">
        <v>690</v>
      </c>
      <c r="D434" t="s">
        <v>691</v>
      </c>
      <c r="F434" t="s">
        <v>434</v>
      </c>
      <c r="G434" t="s">
        <v>459</v>
      </c>
      <c r="H434">
        <v>0</v>
      </c>
    </row>
    <row r="435" spans="1:8">
      <c r="A435" t="s">
        <v>431</v>
      </c>
      <c r="B435">
        <v>204</v>
      </c>
      <c r="C435" t="s">
        <v>690</v>
      </c>
      <c r="D435" t="s">
        <v>692</v>
      </c>
      <c r="F435" t="s">
        <v>434</v>
      </c>
      <c r="G435" t="s">
        <v>459</v>
      </c>
      <c r="H435">
        <v>0</v>
      </c>
    </row>
    <row r="436" spans="1:8">
      <c r="A436" t="s">
        <v>431</v>
      </c>
      <c r="B436">
        <v>204</v>
      </c>
      <c r="C436" t="s">
        <v>690</v>
      </c>
      <c r="D436" t="s">
        <v>693</v>
      </c>
      <c r="F436" t="s">
        <v>463</v>
      </c>
      <c r="G436" t="s">
        <v>459</v>
      </c>
      <c r="H436">
        <v>0</v>
      </c>
    </row>
    <row r="437" spans="1:8">
      <c r="A437" t="s">
        <v>431</v>
      </c>
      <c r="B437">
        <v>204</v>
      </c>
      <c r="C437" t="s">
        <v>690</v>
      </c>
      <c r="D437" t="s">
        <v>694</v>
      </c>
      <c r="F437" t="s">
        <v>434</v>
      </c>
      <c r="G437" t="s">
        <v>459</v>
      </c>
      <c r="H437">
        <v>0</v>
      </c>
    </row>
    <row r="438" spans="1:8">
      <c r="A438" t="s">
        <v>431</v>
      </c>
      <c r="B438">
        <v>204</v>
      </c>
      <c r="C438" t="s">
        <v>690</v>
      </c>
      <c r="D438" t="s">
        <v>695</v>
      </c>
      <c r="F438" t="s">
        <v>434</v>
      </c>
      <c r="G438" t="s">
        <v>459</v>
      </c>
      <c r="H438">
        <v>0</v>
      </c>
    </row>
    <row r="439" spans="1:8">
      <c r="A439" t="s">
        <v>431</v>
      </c>
      <c r="B439">
        <v>204</v>
      </c>
      <c r="C439" t="s">
        <v>690</v>
      </c>
      <c r="D439" t="s">
        <v>696</v>
      </c>
      <c r="F439" t="s">
        <v>434</v>
      </c>
      <c r="G439" t="s">
        <v>459</v>
      </c>
      <c r="H439">
        <v>0</v>
      </c>
    </row>
    <row r="440" spans="1:8">
      <c r="A440" t="s">
        <v>431</v>
      </c>
      <c r="B440">
        <v>204</v>
      </c>
      <c r="C440" t="s">
        <v>690</v>
      </c>
      <c r="D440" t="s">
        <v>697</v>
      </c>
      <c r="F440" t="s">
        <v>434</v>
      </c>
      <c r="G440" t="s">
        <v>459</v>
      </c>
      <c r="H440">
        <v>0</v>
      </c>
    </row>
    <row r="441" spans="1:8">
      <c r="A441" t="s">
        <v>431</v>
      </c>
      <c r="B441">
        <v>205</v>
      </c>
      <c r="C441" t="s">
        <v>698</v>
      </c>
      <c r="D441" t="s">
        <v>699</v>
      </c>
      <c r="F441" t="s">
        <v>463</v>
      </c>
      <c r="G441" t="s">
        <v>459</v>
      </c>
      <c r="H441">
        <v>0</v>
      </c>
    </row>
    <row r="442" spans="1:8">
      <c r="A442" t="s">
        <v>431</v>
      </c>
      <c r="B442">
        <v>205</v>
      </c>
      <c r="C442" t="s">
        <v>698</v>
      </c>
      <c r="D442" t="s">
        <v>700</v>
      </c>
      <c r="F442" t="s">
        <v>434</v>
      </c>
      <c r="G442" t="s">
        <v>459</v>
      </c>
      <c r="H442">
        <v>0</v>
      </c>
    </row>
    <row r="443" spans="1:8">
      <c r="A443" t="s">
        <v>431</v>
      </c>
      <c r="B443">
        <v>205</v>
      </c>
      <c r="C443" t="s">
        <v>698</v>
      </c>
      <c r="D443" t="s">
        <v>701</v>
      </c>
      <c r="F443" t="s">
        <v>463</v>
      </c>
      <c r="G443" t="s">
        <v>459</v>
      </c>
      <c r="H443">
        <v>0</v>
      </c>
    </row>
    <row r="444" spans="1:8">
      <c r="A444" t="s">
        <v>431</v>
      </c>
      <c r="B444">
        <v>205</v>
      </c>
      <c r="C444" t="s">
        <v>698</v>
      </c>
      <c r="D444" t="s">
        <v>702</v>
      </c>
      <c r="F444" t="s">
        <v>434</v>
      </c>
      <c r="G444" t="s">
        <v>459</v>
      </c>
      <c r="H444">
        <v>0</v>
      </c>
    </row>
    <row r="445" spans="1:8">
      <c r="A445" t="s">
        <v>431</v>
      </c>
      <c r="B445">
        <v>205</v>
      </c>
      <c r="C445" t="s">
        <v>698</v>
      </c>
      <c r="D445" t="s">
        <v>703</v>
      </c>
      <c r="F445" t="s">
        <v>434</v>
      </c>
      <c r="G445" t="s">
        <v>459</v>
      </c>
      <c r="H445">
        <v>0</v>
      </c>
    </row>
    <row r="446" spans="1:8">
      <c r="A446" t="s">
        <v>431</v>
      </c>
      <c r="B446">
        <v>205</v>
      </c>
      <c r="C446" t="s">
        <v>698</v>
      </c>
      <c r="D446" t="s">
        <v>704</v>
      </c>
      <c r="F446" t="s">
        <v>463</v>
      </c>
      <c r="G446" t="s">
        <v>459</v>
      </c>
      <c r="H446">
        <v>0</v>
      </c>
    </row>
    <row r="447" spans="1:8">
      <c r="A447" t="s">
        <v>431</v>
      </c>
      <c r="B447">
        <v>205</v>
      </c>
      <c r="C447" t="s">
        <v>698</v>
      </c>
      <c r="D447" t="s">
        <v>705</v>
      </c>
      <c r="F447" t="s">
        <v>434</v>
      </c>
      <c r="G447" t="s">
        <v>459</v>
      </c>
      <c r="H447">
        <v>0</v>
      </c>
    </row>
    <row r="448" spans="1:8">
      <c r="A448" t="s">
        <v>431</v>
      </c>
      <c r="B448">
        <v>208</v>
      </c>
      <c r="C448" t="s">
        <v>706</v>
      </c>
      <c r="D448" t="s">
        <v>707</v>
      </c>
      <c r="F448" t="s">
        <v>434</v>
      </c>
      <c r="G448" t="s">
        <v>435</v>
      </c>
      <c r="H448">
        <v>0</v>
      </c>
    </row>
    <row r="449" spans="1:8">
      <c r="A449" t="s">
        <v>431</v>
      </c>
      <c r="B449">
        <v>208</v>
      </c>
      <c r="C449" t="s">
        <v>706</v>
      </c>
      <c r="D449" t="s">
        <v>708</v>
      </c>
      <c r="F449" t="s">
        <v>434</v>
      </c>
      <c r="G449" t="s">
        <v>435</v>
      </c>
      <c r="H449">
        <v>0</v>
      </c>
    </row>
    <row r="450" spans="1:8">
      <c r="A450" t="s">
        <v>431</v>
      </c>
      <c r="B450">
        <v>208</v>
      </c>
      <c r="C450" t="s">
        <v>706</v>
      </c>
      <c r="D450" t="s">
        <v>709</v>
      </c>
      <c r="F450" t="s">
        <v>434</v>
      </c>
      <c r="G450" t="s">
        <v>435</v>
      </c>
      <c r="H450">
        <v>0</v>
      </c>
    </row>
    <row r="451" spans="1:8">
      <c r="A451" t="s">
        <v>431</v>
      </c>
      <c r="B451">
        <v>208</v>
      </c>
      <c r="C451" t="s">
        <v>706</v>
      </c>
      <c r="D451" t="s">
        <v>710</v>
      </c>
      <c r="F451" t="s">
        <v>434</v>
      </c>
      <c r="G451" t="s">
        <v>435</v>
      </c>
      <c r="H451">
        <v>0</v>
      </c>
    </row>
    <row r="452" spans="1:8">
      <c r="A452" t="s">
        <v>431</v>
      </c>
      <c r="B452">
        <v>210</v>
      </c>
      <c r="C452" t="s">
        <v>711</v>
      </c>
      <c r="D452" t="s">
        <v>712</v>
      </c>
      <c r="F452" t="s">
        <v>463</v>
      </c>
      <c r="G452" t="s">
        <v>474</v>
      </c>
      <c r="H452">
        <v>0</v>
      </c>
    </row>
    <row r="453" spans="1:8">
      <c r="A453" t="s">
        <v>431</v>
      </c>
      <c r="B453">
        <v>210</v>
      </c>
      <c r="C453" t="s">
        <v>711</v>
      </c>
      <c r="D453" t="s">
        <v>713</v>
      </c>
      <c r="F453" t="s">
        <v>434</v>
      </c>
      <c r="G453" t="s">
        <v>459</v>
      </c>
      <c r="H453">
        <v>0</v>
      </c>
    </row>
    <row r="454" spans="1:8">
      <c r="A454" t="s">
        <v>431</v>
      </c>
      <c r="B454">
        <v>210</v>
      </c>
      <c r="C454" t="s">
        <v>711</v>
      </c>
      <c r="D454" t="s">
        <v>714</v>
      </c>
      <c r="F454" t="s">
        <v>463</v>
      </c>
      <c r="G454" t="s">
        <v>474</v>
      </c>
      <c r="H454">
        <v>0</v>
      </c>
    </row>
    <row r="455" spans="1:8">
      <c r="A455" t="s">
        <v>431</v>
      </c>
      <c r="B455">
        <v>210</v>
      </c>
      <c r="C455" t="s">
        <v>711</v>
      </c>
      <c r="D455" t="s">
        <v>715</v>
      </c>
      <c r="F455" t="s">
        <v>434</v>
      </c>
      <c r="G455" t="s">
        <v>474</v>
      </c>
      <c r="H455">
        <v>0</v>
      </c>
    </row>
    <row r="456" spans="1:8">
      <c r="A456" t="s">
        <v>431</v>
      </c>
      <c r="B456">
        <v>211</v>
      </c>
      <c r="C456" t="s">
        <v>716</v>
      </c>
      <c r="D456" t="s">
        <v>717</v>
      </c>
      <c r="F456" t="s">
        <v>434</v>
      </c>
      <c r="G456" t="s">
        <v>459</v>
      </c>
      <c r="H456">
        <v>0</v>
      </c>
    </row>
    <row r="457" spans="1:8">
      <c r="A457" t="s">
        <v>431</v>
      </c>
      <c r="B457">
        <v>211</v>
      </c>
      <c r="C457" t="s">
        <v>716</v>
      </c>
      <c r="D457" t="s">
        <v>718</v>
      </c>
      <c r="F457" t="s">
        <v>434</v>
      </c>
      <c r="G457" t="s">
        <v>474</v>
      </c>
      <c r="H457">
        <v>0</v>
      </c>
    </row>
    <row r="458" spans="1:8">
      <c r="A458" t="s">
        <v>431</v>
      </c>
      <c r="B458">
        <v>211</v>
      </c>
      <c r="C458" t="s">
        <v>716</v>
      </c>
      <c r="D458" t="s">
        <v>719</v>
      </c>
      <c r="F458" t="s">
        <v>463</v>
      </c>
      <c r="G458" t="s">
        <v>459</v>
      </c>
      <c r="H458">
        <v>0</v>
      </c>
    </row>
    <row r="459" spans="1:8">
      <c r="A459" t="s">
        <v>431</v>
      </c>
      <c r="B459">
        <v>211</v>
      </c>
      <c r="C459" t="s">
        <v>716</v>
      </c>
      <c r="D459" t="s">
        <v>720</v>
      </c>
      <c r="F459" t="s">
        <v>434</v>
      </c>
      <c r="G459" t="s">
        <v>474</v>
      </c>
      <c r="H459">
        <v>0</v>
      </c>
    </row>
    <row r="460" spans="1:8">
      <c r="A460" t="s">
        <v>431</v>
      </c>
      <c r="B460">
        <v>211</v>
      </c>
      <c r="C460" t="s">
        <v>716</v>
      </c>
      <c r="D460" t="s">
        <v>721</v>
      </c>
      <c r="F460" t="s">
        <v>434</v>
      </c>
      <c r="G460" t="s">
        <v>459</v>
      </c>
      <c r="H460">
        <v>0</v>
      </c>
    </row>
    <row r="461" spans="1:8">
      <c r="A461" t="s">
        <v>431</v>
      </c>
      <c r="B461">
        <v>211</v>
      </c>
      <c r="C461" t="s">
        <v>716</v>
      </c>
      <c r="D461" t="s">
        <v>722</v>
      </c>
      <c r="F461" t="s">
        <v>434</v>
      </c>
      <c r="G461" t="s">
        <v>474</v>
      </c>
      <c r="H461">
        <v>0</v>
      </c>
    </row>
    <row r="462" spans="1:8">
      <c r="A462" t="s">
        <v>431</v>
      </c>
      <c r="B462">
        <v>212</v>
      </c>
      <c r="C462" t="s">
        <v>723</v>
      </c>
      <c r="D462" t="s">
        <v>724</v>
      </c>
      <c r="F462" t="s">
        <v>434</v>
      </c>
      <c r="G462" t="s">
        <v>459</v>
      </c>
      <c r="H462">
        <v>0</v>
      </c>
    </row>
    <row r="463" spans="1:8">
      <c r="A463" t="s">
        <v>431</v>
      </c>
      <c r="B463">
        <v>212</v>
      </c>
      <c r="C463" t="s">
        <v>723</v>
      </c>
      <c r="D463" t="s">
        <v>725</v>
      </c>
      <c r="F463" t="s">
        <v>434</v>
      </c>
      <c r="G463" t="s">
        <v>459</v>
      </c>
      <c r="H463">
        <v>0</v>
      </c>
    </row>
    <row r="464" spans="1:8">
      <c r="A464" t="s">
        <v>431</v>
      </c>
      <c r="B464">
        <v>212</v>
      </c>
      <c r="C464" t="s">
        <v>723</v>
      </c>
      <c r="D464" t="s">
        <v>726</v>
      </c>
      <c r="F464" t="s">
        <v>463</v>
      </c>
      <c r="G464" t="s">
        <v>459</v>
      </c>
      <c r="H464">
        <v>0</v>
      </c>
    </row>
    <row r="465" spans="1:8">
      <c r="A465" t="s">
        <v>431</v>
      </c>
      <c r="B465">
        <v>212</v>
      </c>
      <c r="C465" t="s">
        <v>723</v>
      </c>
      <c r="D465" t="s">
        <v>727</v>
      </c>
      <c r="F465" t="s">
        <v>434</v>
      </c>
      <c r="G465" t="s">
        <v>459</v>
      </c>
      <c r="H465">
        <v>0</v>
      </c>
    </row>
    <row r="466" spans="1:8">
      <c r="A466" t="s">
        <v>431</v>
      </c>
      <c r="B466">
        <v>212</v>
      </c>
      <c r="C466" t="s">
        <v>723</v>
      </c>
      <c r="D466" t="s">
        <v>728</v>
      </c>
      <c r="F466" t="s">
        <v>434</v>
      </c>
      <c r="G466" t="s">
        <v>459</v>
      </c>
      <c r="H466">
        <v>0</v>
      </c>
    </row>
    <row r="467" spans="1:8">
      <c r="A467" t="s">
        <v>431</v>
      </c>
      <c r="B467">
        <v>212</v>
      </c>
      <c r="C467" t="s">
        <v>723</v>
      </c>
      <c r="D467" t="s">
        <v>729</v>
      </c>
      <c r="F467" t="s">
        <v>434</v>
      </c>
      <c r="G467" t="s">
        <v>474</v>
      </c>
      <c r="H467">
        <v>0</v>
      </c>
    </row>
    <row r="468" spans="1:8">
      <c r="A468" t="s">
        <v>431</v>
      </c>
      <c r="B468">
        <v>214</v>
      </c>
      <c r="C468" t="s">
        <v>730</v>
      </c>
      <c r="D468" t="s">
        <v>731</v>
      </c>
      <c r="F468" t="s">
        <v>434</v>
      </c>
      <c r="G468" t="s">
        <v>459</v>
      </c>
      <c r="H468">
        <v>0</v>
      </c>
    </row>
    <row r="469" spans="1:8">
      <c r="A469" t="s">
        <v>431</v>
      </c>
      <c r="B469">
        <v>214</v>
      </c>
      <c r="C469" t="s">
        <v>730</v>
      </c>
      <c r="D469" t="s">
        <v>732</v>
      </c>
      <c r="F469" t="s">
        <v>434</v>
      </c>
      <c r="G469" t="s">
        <v>459</v>
      </c>
      <c r="H469">
        <v>0</v>
      </c>
    </row>
    <row r="470" spans="1:8">
      <c r="A470" t="s">
        <v>431</v>
      </c>
      <c r="B470">
        <v>214</v>
      </c>
      <c r="C470" t="s">
        <v>730</v>
      </c>
      <c r="D470" t="s">
        <v>733</v>
      </c>
      <c r="F470" t="s">
        <v>463</v>
      </c>
      <c r="G470" t="s">
        <v>459</v>
      </c>
      <c r="H470">
        <v>0</v>
      </c>
    </row>
    <row r="471" spans="1:8">
      <c r="A471" t="s">
        <v>431</v>
      </c>
      <c r="B471">
        <v>214</v>
      </c>
      <c r="C471" t="s">
        <v>730</v>
      </c>
      <c r="D471" t="s">
        <v>734</v>
      </c>
      <c r="F471" t="s">
        <v>434</v>
      </c>
      <c r="G471" t="s">
        <v>459</v>
      </c>
      <c r="H471">
        <v>0</v>
      </c>
    </row>
    <row r="472" spans="1:8">
      <c r="A472" t="s">
        <v>431</v>
      </c>
      <c r="B472">
        <v>214</v>
      </c>
      <c r="C472" t="s">
        <v>730</v>
      </c>
      <c r="D472" t="s">
        <v>735</v>
      </c>
      <c r="F472" t="s">
        <v>434</v>
      </c>
      <c r="G472" t="s">
        <v>459</v>
      </c>
      <c r="H472">
        <v>0</v>
      </c>
    </row>
    <row r="473" spans="1:8">
      <c r="A473" t="s">
        <v>431</v>
      </c>
      <c r="B473">
        <v>214</v>
      </c>
      <c r="C473" t="s">
        <v>730</v>
      </c>
      <c r="D473" t="s">
        <v>736</v>
      </c>
      <c r="F473" t="s">
        <v>434</v>
      </c>
      <c r="G473" t="s">
        <v>459</v>
      </c>
      <c r="H473">
        <v>0</v>
      </c>
    </row>
    <row r="474" spans="1:8">
      <c r="A474" t="s">
        <v>431</v>
      </c>
      <c r="B474">
        <v>215</v>
      </c>
      <c r="C474" t="s">
        <v>737</v>
      </c>
      <c r="D474" t="s">
        <v>707</v>
      </c>
      <c r="F474" t="s">
        <v>434</v>
      </c>
      <c r="G474" t="s">
        <v>459</v>
      </c>
      <c r="H474">
        <v>0</v>
      </c>
    </row>
    <row r="475" spans="1:8">
      <c r="A475" t="s">
        <v>431</v>
      </c>
      <c r="B475">
        <v>215</v>
      </c>
      <c r="C475" t="s">
        <v>737</v>
      </c>
      <c r="D475" t="s">
        <v>738</v>
      </c>
      <c r="F475" t="s">
        <v>434</v>
      </c>
      <c r="G475" t="s">
        <v>459</v>
      </c>
      <c r="H475">
        <v>0</v>
      </c>
    </row>
    <row r="476" spans="1:8">
      <c r="A476" t="s">
        <v>431</v>
      </c>
      <c r="B476">
        <v>215</v>
      </c>
      <c r="C476" t="s">
        <v>737</v>
      </c>
      <c r="D476" t="s">
        <v>739</v>
      </c>
      <c r="F476" t="s">
        <v>463</v>
      </c>
      <c r="G476" t="s">
        <v>459</v>
      </c>
      <c r="H476">
        <v>0</v>
      </c>
    </row>
    <row r="477" spans="1:8">
      <c r="A477" t="s">
        <v>431</v>
      </c>
      <c r="B477">
        <v>215</v>
      </c>
      <c r="C477" t="s">
        <v>737</v>
      </c>
      <c r="D477" t="s">
        <v>740</v>
      </c>
      <c r="F477" t="s">
        <v>434</v>
      </c>
      <c r="G477" t="s">
        <v>459</v>
      </c>
      <c r="H477">
        <v>0</v>
      </c>
    </row>
    <row r="478" spans="1:8">
      <c r="A478" t="s">
        <v>431</v>
      </c>
      <c r="B478">
        <v>215</v>
      </c>
      <c r="C478" t="s">
        <v>737</v>
      </c>
      <c r="D478" t="s">
        <v>741</v>
      </c>
      <c r="F478" t="s">
        <v>434</v>
      </c>
      <c r="G478" t="s">
        <v>459</v>
      </c>
      <c r="H478">
        <v>0</v>
      </c>
    </row>
    <row r="479" spans="1:8">
      <c r="A479" t="s">
        <v>431</v>
      </c>
      <c r="B479">
        <v>215</v>
      </c>
      <c r="C479" t="s">
        <v>737</v>
      </c>
      <c r="D479" t="s">
        <v>742</v>
      </c>
      <c r="F479" t="s">
        <v>434</v>
      </c>
      <c r="G479" t="s">
        <v>459</v>
      </c>
      <c r="H479">
        <v>0</v>
      </c>
    </row>
    <row r="480" spans="1:8">
      <c r="A480" t="s">
        <v>431</v>
      </c>
      <c r="B480">
        <v>215</v>
      </c>
      <c r="C480" t="s">
        <v>737</v>
      </c>
      <c r="D480" t="s">
        <v>743</v>
      </c>
      <c r="F480" t="s">
        <v>434</v>
      </c>
      <c r="G480" t="s">
        <v>459</v>
      </c>
      <c r="H480">
        <v>0</v>
      </c>
    </row>
    <row r="481" spans="1:8">
      <c r="A481" t="s">
        <v>431</v>
      </c>
      <c r="B481">
        <v>217</v>
      </c>
      <c r="C481" t="s">
        <v>744</v>
      </c>
      <c r="D481" t="s">
        <v>745</v>
      </c>
      <c r="F481" t="s">
        <v>463</v>
      </c>
      <c r="G481" t="s">
        <v>459</v>
      </c>
      <c r="H481">
        <v>0</v>
      </c>
    </row>
    <row r="482" spans="1:8">
      <c r="A482" t="s">
        <v>431</v>
      </c>
      <c r="B482">
        <v>217</v>
      </c>
      <c r="C482" t="s">
        <v>744</v>
      </c>
      <c r="D482" t="s">
        <v>746</v>
      </c>
      <c r="F482" t="s">
        <v>434</v>
      </c>
      <c r="G482" t="s">
        <v>459</v>
      </c>
      <c r="H482">
        <v>0</v>
      </c>
    </row>
    <row r="483" spans="1:8">
      <c r="A483" t="s">
        <v>431</v>
      </c>
      <c r="B483">
        <v>217</v>
      </c>
      <c r="C483" t="s">
        <v>744</v>
      </c>
      <c r="D483" t="s">
        <v>747</v>
      </c>
      <c r="F483" t="s">
        <v>463</v>
      </c>
      <c r="G483" t="s">
        <v>459</v>
      </c>
      <c r="H483">
        <v>0</v>
      </c>
    </row>
    <row r="484" spans="1:8">
      <c r="A484" t="s">
        <v>431</v>
      </c>
      <c r="B484">
        <v>217</v>
      </c>
      <c r="C484" t="s">
        <v>744</v>
      </c>
      <c r="D484" t="s">
        <v>748</v>
      </c>
      <c r="F484" t="s">
        <v>434</v>
      </c>
      <c r="G484" t="s">
        <v>459</v>
      </c>
      <c r="H484">
        <v>0</v>
      </c>
    </row>
    <row r="485" spans="1:8">
      <c r="A485" t="s">
        <v>431</v>
      </c>
      <c r="B485">
        <v>220</v>
      </c>
      <c r="C485" t="s">
        <v>749</v>
      </c>
      <c r="D485" t="s">
        <v>750</v>
      </c>
      <c r="F485" t="s">
        <v>463</v>
      </c>
      <c r="G485" t="s">
        <v>459</v>
      </c>
      <c r="H485">
        <v>0</v>
      </c>
    </row>
    <row r="486" spans="1:8">
      <c r="A486" t="s">
        <v>431</v>
      </c>
      <c r="B486">
        <v>220</v>
      </c>
      <c r="C486" t="s">
        <v>749</v>
      </c>
      <c r="D486" t="s">
        <v>751</v>
      </c>
      <c r="F486" t="s">
        <v>434</v>
      </c>
      <c r="G486" t="s">
        <v>474</v>
      </c>
      <c r="H486">
        <v>0</v>
      </c>
    </row>
    <row r="487" spans="1:8">
      <c r="A487" t="s">
        <v>431</v>
      </c>
      <c r="B487">
        <v>220</v>
      </c>
      <c r="C487" t="s">
        <v>749</v>
      </c>
      <c r="D487" t="s">
        <v>752</v>
      </c>
      <c r="F487" t="s">
        <v>463</v>
      </c>
      <c r="G487" t="s">
        <v>459</v>
      </c>
      <c r="H487">
        <v>0</v>
      </c>
    </row>
    <row r="488" spans="1:8">
      <c r="A488" t="s">
        <v>431</v>
      </c>
      <c r="B488">
        <v>220</v>
      </c>
      <c r="C488" t="s">
        <v>749</v>
      </c>
      <c r="D488" t="s">
        <v>753</v>
      </c>
      <c r="F488" t="s">
        <v>434</v>
      </c>
      <c r="G488" t="s">
        <v>459</v>
      </c>
      <c r="H488">
        <v>0</v>
      </c>
    </row>
    <row r="489" spans="1:8">
      <c r="A489" t="s">
        <v>431</v>
      </c>
      <c r="B489">
        <v>220</v>
      </c>
      <c r="C489" t="s">
        <v>749</v>
      </c>
      <c r="D489" t="s">
        <v>754</v>
      </c>
      <c r="F489" t="s">
        <v>434</v>
      </c>
      <c r="G489" t="s">
        <v>459</v>
      </c>
      <c r="H489">
        <v>0</v>
      </c>
    </row>
    <row r="490" spans="1:8">
      <c r="A490" t="s">
        <v>431</v>
      </c>
      <c r="B490">
        <v>222</v>
      </c>
      <c r="C490" t="s">
        <v>755</v>
      </c>
      <c r="D490" t="s">
        <v>756</v>
      </c>
      <c r="F490" t="s">
        <v>434</v>
      </c>
      <c r="G490" t="s">
        <v>459</v>
      </c>
      <c r="H490">
        <v>0</v>
      </c>
    </row>
    <row r="491" spans="1:8">
      <c r="A491" t="s">
        <v>431</v>
      </c>
      <c r="B491">
        <v>222</v>
      </c>
      <c r="C491" t="s">
        <v>755</v>
      </c>
      <c r="D491" t="s">
        <v>757</v>
      </c>
      <c r="F491" t="s">
        <v>434</v>
      </c>
      <c r="G491" t="s">
        <v>459</v>
      </c>
      <c r="H491">
        <v>0</v>
      </c>
    </row>
    <row r="492" spans="1:8">
      <c r="A492" t="s">
        <v>431</v>
      </c>
      <c r="B492">
        <v>222</v>
      </c>
      <c r="C492" t="s">
        <v>755</v>
      </c>
      <c r="D492" t="s">
        <v>758</v>
      </c>
      <c r="F492" t="s">
        <v>463</v>
      </c>
      <c r="G492" t="s">
        <v>459</v>
      </c>
      <c r="H492">
        <v>0</v>
      </c>
    </row>
    <row r="493" spans="1:8">
      <c r="A493" t="s">
        <v>431</v>
      </c>
      <c r="B493">
        <v>222</v>
      </c>
      <c r="C493" t="s">
        <v>755</v>
      </c>
      <c r="D493" t="s">
        <v>759</v>
      </c>
      <c r="F493" t="s">
        <v>463</v>
      </c>
      <c r="G493" t="s">
        <v>459</v>
      </c>
      <c r="H493">
        <v>0</v>
      </c>
    </row>
    <row r="494" spans="1:8">
      <c r="A494" t="s">
        <v>431</v>
      </c>
      <c r="B494">
        <v>222</v>
      </c>
      <c r="C494" t="s">
        <v>755</v>
      </c>
      <c r="D494" t="s">
        <v>760</v>
      </c>
      <c r="F494" t="s">
        <v>434</v>
      </c>
      <c r="G494" t="s">
        <v>459</v>
      </c>
      <c r="H494">
        <v>0</v>
      </c>
    </row>
    <row r="495" spans="1:8">
      <c r="A495" t="s">
        <v>431</v>
      </c>
      <c r="B495">
        <v>222</v>
      </c>
      <c r="C495" t="s">
        <v>755</v>
      </c>
      <c r="D495" t="s">
        <v>761</v>
      </c>
      <c r="F495" t="s">
        <v>434</v>
      </c>
      <c r="G495" t="s">
        <v>459</v>
      </c>
      <c r="H495">
        <v>0</v>
      </c>
    </row>
    <row r="496" spans="1:8">
      <c r="A496" t="s">
        <v>431</v>
      </c>
      <c r="B496">
        <v>223</v>
      </c>
      <c r="C496" t="s">
        <v>762</v>
      </c>
      <c r="D496" t="s">
        <v>763</v>
      </c>
      <c r="F496" t="s">
        <v>434</v>
      </c>
      <c r="G496" t="s">
        <v>435</v>
      </c>
      <c r="H496">
        <v>0</v>
      </c>
    </row>
    <row r="497" spans="1:8">
      <c r="A497" t="s">
        <v>431</v>
      </c>
      <c r="B497">
        <v>223</v>
      </c>
      <c r="C497" t="s">
        <v>762</v>
      </c>
      <c r="D497" t="s">
        <v>764</v>
      </c>
      <c r="F497" t="s">
        <v>434</v>
      </c>
      <c r="G497" t="s">
        <v>435</v>
      </c>
      <c r="H497">
        <v>0</v>
      </c>
    </row>
    <row r="498" spans="1:8">
      <c r="A498" t="s">
        <v>431</v>
      </c>
      <c r="B498">
        <v>223</v>
      </c>
      <c r="C498" t="s">
        <v>762</v>
      </c>
      <c r="D498" t="s">
        <v>765</v>
      </c>
      <c r="F498" t="s">
        <v>434</v>
      </c>
      <c r="G498" t="s">
        <v>435</v>
      </c>
      <c r="H498">
        <v>0</v>
      </c>
    </row>
    <row r="499" spans="1:8">
      <c r="A499" t="s">
        <v>431</v>
      </c>
      <c r="B499">
        <v>223</v>
      </c>
      <c r="C499" t="s">
        <v>762</v>
      </c>
      <c r="D499" t="s">
        <v>766</v>
      </c>
      <c r="F499" t="s">
        <v>434</v>
      </c>
      <c r="G499" t="s">
        <v>435</v>
      </c>
      <c r="H499">
        <v>0</v>
      </c>
    </row>
    <row r="500" spans="1:8">
      <c r="A500" t="s">
        <v>431</v>
      </c>
      <c r="B500">
        <v>227</v>
      </c>
      <c r="C500" t="s">
        <v>767</v>
      </c>
      <c r="D500" t="s">
        <v>768</v>
      </c>
      <c r="F500" t="s">
        <v>434</v>
      </c>
      <c r="G500" t="s">
        <v>459</v>
      </c>
      <c r="H500">
        <v>0</v>
      </c>
    </row>
    <row r="501" spans="1:8">
      <c r="A501" t="s">
        <v>431</v>
      </c>
      <c r="B501">
        <v>227</v>
      </c>
      <c r="C501" t="s">
        <v>767</v>
      </c>
      <c r="D501" t="s">
        <v>769</v>
      </c>
      <c r="F501" t="s">
        <v>434</v>
      </c>
      <c r="G501" t="s">
        <v>459</v>
      </c>
      <c r="H501">
        <v>0</v>
      </c>
    </row>
    <row r="502" spans="1:8">
      <c r="A502" t="s">
        <v>431</v>
      </c>
      <c r="B502">
        <v>227</v>
      </c>
      <c r="C502" t="s">
        <v>767</v>
      </c>
      <c r="D502" t="s">
        <v>770</v>
      </c>
      <c r="F502" t="s">
        <v>434</v>
      </c>
      <c r="G502" t="s">
        <v>459</v>
      </c>
      <c r="H502">
        <v>0</v>
      </c>
    </row>
    <row r="503" spans="1:8">
      <c r="A503" t="s">
        <v>431</v>
      </c>
      <c r="B503">
        <v>227</v>
      </c>
      <c r="C503" t="s">
        <v>767</v>
      </c>
      <c r="D503" t="s">
        <v>771</v>
      </c>
      <c r="F503" t="s">
        <v>463</v>
      </c>
      <c r="G503" t="s">
        <v>459</v>
      </c>
      <c r="H503">
        <v>0</v>
      </c>
    </row>
    <row r="504" spans="1:8">
      <c r="A504" t="s">
        <v>431</v>
      </c>
      <c r="B504">
        <v>227</v>
      </c>
      <c r="C504" t="s">
        <v>767</v>
      </c>
      <c r="D504" t="s">
        <v>772</v>
      </c>
      <c r="F504" t="s">
        <v>463</v>
      </c>
      <c r="G504" t="s">
        <v>459</v>
      </c>
      <c r="H504">
        <v>0</v>
      </c>
    </row>
    <row r="505" spans="1:8">
      <c r="A505" t="s">
        <v>431</v>
      </c>
      <c r="B505">
        <v>227</v>
      </c>
      <c r="C505" t="s">
        <v>767</v>
      </c>
      <c r="D505" t="s">
        <v>773</v>
      </c>
      <c r="F505" t="s">
        <v>463</v>
      </c>
      <c r="G505" t="s">
        <v>459</v>
      </c>
      <c r="H505">
        <v>0</v>
      </c>
    </row>
    <row r="506" spans="1:8">
      <c r="A506" t="s">
        <v>431</v>
      </c>
      <c r="B506">
        <v>227</v>
      </c>
      <c r="C506" t="s">
        <v>767</v>
      </c>
      <c r="D506" t="s">
        <v>774</v>
      </c>
      <c r="F506" t="s">
        <v>463</v>
      </c>
      <c r="G506" t="s">
        <v>459</v>
      </c>
      <c r="H506">
        <v>0</v>
      </c>
    </row>
    <row r="507" spans="1:8">
      <c r="A507" t="s">
        <v>431</v>
      </c>
      <c r="B507">
        <v>227</v>
      </c>
      <c r="C507" t="s">
        <v>767</v>
      </c>
      <c r="D507" t="s">
        <v>775</v>
      </c>
      <c r="F507" t="s">
        <v>463</v>
      </c>
      <c r="G507" t="s">
        <v>459</v>
      </c>
      <c r="H507">
        <v>0</v>
      </c>
    </row>
    <row r="508" spans="1:8">
      <c r="A508" t="s">
        <v>431</v>
      </c>
      <c r="B508">
        <v>227</v>
      </c>
      <c r="C508" t="s">
        <v>767</v>
      </c>
      <c r="D508" t="s">
        <v>776</v>
      </c>
      <c r="F508" t="s">
        <v>434</v>
      </c>
      <c r="G508" t="s">
        <v>459</v>
      </c>
      <c r="H508">
        <v>0</v>
      </c>
    </row>
    <row r="509" spans="1:8">
      <c r="A509" t="s">
        <v>431</v>
      </c>
      <c r="B509">
        <v>227</v>
      </c>
      <c r="C509" t="s">
        <v>767</v>
      </c>
      <c r="D509" t="s">
        <v>777</v>
      </c>
      <c r="F509" t="s">
        <v>434</v>
      </c>
      <c r="G509" t="s">
        <v>459</v>
      </c>
      <c r="H509">
        <v>0</v>
      </c>
    </row>
    <row r="510" spans="1:8">
      <c r="A510" t="s">
        <v>431</v>
      </c>
      <c r="B510">
        <v>227</v>
      </c>
      <c r="C510" t="s">
        <v>767</v>
      </c>
      <c r="D510" t="s">
        <v>778</v>
      </c>
      <c r="F510" t="s">
        <v>434</v>
      </c>
      <c r="G510" t="s">
        <v>459</v>
      </c>
      <c r="H510">
        <v>0</v>
      </c>
    </row>
    <row r="511" spans="1:8">
      <c r="A511" t="s">
        <v>431</v>
      </c>
      <c r="B511">
        <v>227</v>
      </c>
      <c r="C511" t="s">
        <v>767</v>
      </c>
      <c r="D511" t="s">
        <v>779</v>
      </c>
      <c r="F511" t="s">
        <v>434</v>
      </c>
      <c r="G511" t="s">
        <v>459</v>
      </c>
      <c r="H511">
        <v>0</v>
      </c>
    </row>
    <row r="512" spans="1:8">
      <c r="A512" t="s">
        <v>431</v>
      </c>
      <c r="B512">
        <v>227</v>
      </c>
      <c r="C512" t="s">
        <v>767</v>
      </c>
      <c r="D512" t="s">
        <v>780</v>
      </c>
      <c r="F512" t="s">
        <v>434</v>
      </c>
      <c r="G512" t="s">
        <v>459</v>
      </c>
      <c r="H512">
        <v>0</v>
      </c>
    </row>
    <row r="513" spans="1:8">
      <c r="A513" t="s">
        <v>431</v>
      </c>
      <c r="B513">
        <v>233</v>
      </c>
      <c r="C513" t="s">
        <v>781</v>
      </c>
      <c r="D513" t="s">
        <v>782</v>
      </c>
      <c r="F513" t="s">
        <v>434</v>
      </c>
      <c r="G513" t="s">
        <v>435</v>
      </c>
      <c r="H513">
        <v>0</v>
      </c>
    </row>
    <row r="514" spans="1:8">
      <c r="A514" t="s">
        <v>431</v>
      </c>
      <c r="B514">
        <v>233</v>
      </c>
      <c r="C514" t="s">
        <v>781</v>
      </c>
      <c r="D514" t="s">
        <v>783</v>
      </c>
      <c r="F514" t="s">
        <v>434</v>
      </c>
      <c r="G514" t="s">
        <v>435</v>
      </c>
      <c r="H514">
        <v>0</v>
      </c>
    </row>
    <row r="515" spans="1:8">
      <c r="A515" t="s">
        <v>431</v>
      </c>
      <c r="B515">
        <v>233</v>
      </c>
      <c r="C515" t="s">
        <v>781</v>
      </c>
      <c r="D515" t="s">
        <v>784</v>
      </c>
      <c r="F515" t="s">
        <v>434</v>
      </c>
      <c r="G515" t="s">
        <v>435</v>
      </c>
      <c r="H515">
        <v>0</v>
      </c>
    </row>
    <row r="516" spans="1:8">
      <c r="A516" t="s">
        <v>431</v>
      </c>
      <c r="B516">
        <v>233</v>
      </c>
      <c r="C516" t="s">
        <v>781</v>
      </c>
      <c r="D516" t="s">
        <v>785</v>
      </c>
      <c r="F516" t="s">
        <v>434</v>
      </c>
      <c r="G516" t="s">
        <v>435</v>
      </c>
      <c r="H516">
        <v>0</v>
      </c>
    </row>
    <row r="517" spans="1:8">
      <c r="A517" t="s">
        <v>431</v>
      </c>
      <c r="B517">
        <v>233</v>
      </c>
      <c r="C517" t="s">
        <v>781</v>
      </c>
      <c r="D517" t="s">
        <v>786</v>
      </c>
      <c r="F517" t="s">
        <v>434</v>
      </c>
      <c r="G517" t="s">
        <v>435</v>
      </c>
      <c r="H517">
        <v>0</v>
      </c>
    </row>
    <row r="518" spans="1:8">
      <c r="A518" t="s">
        <v>431</v>
      </c>
      <c r="B518">
        <v>233</v>
      </c>
      <c r="C518" t="s">
        <v>781</v>
      </c>
      <c r="D518" t="s">
        <v>787</v>
      </c>
      <c r="F518" t="s">
        <v>434</v>
      </c>
      <c r="G518" t="s">
        <v>435</v>
      </c>
      <c r="H518">
        <v>0</v>
      </c>
    </row>
    <row r="519" spans="1:8">
      <c r="A519" t="s">
        <v>431</v>
      </c>
      <c r="B519">
        <v>233</v>
      </c>
      <c r="C519" t="s">
        <v>781</v>
      </c>
      <c r="D519" t="s">
        <v>788</v>
      </c>
      <c r="F519" t="s">
        <v>434</v>
      </c>
      <c r="G519" t="s">
        <v>435</v>
      </c>
      <c r="H519">
        <v>0</v>
      </c>
    </row>
    <row r="520" spans="1:8">
      <c r="A520" t="s">
        <v>431</v>
      </c>
      <c r="B520">
        <v>234</v>
      </c>
      <c r="C520" t="s">
        <v>789</v>
      </c>
      <c r="D520" t="s">
        <v>790</v>
      </c>
      <c r="F520" t="s">
        <v>434</v>
      </c>
      <c r="G520" t="s">
        <v>435</v>
      </c>
      <c r="H520">
        <v>0</v>
      </c>
    </row>
    <row r="521" spans="1:8">
      <c r="A521" t="s">
        <v>431</v>
      </c>
      <c r="B521">
        <v>234</v>
      </c>
      <c r="C521" t="s">
        <v>789</v>
      </c>
      <c r="D521" t="s">
        <v>791</v>
      </c>
      <c r="F521" t="s">
        <v>434</v>
      </c>
      <c r="G521" t="s">
        <v>435</v>
      </c>
      <c r="H521">
        <v>0</v>
      </c>
    </row>
    <row r="522" spans="1:8">
      <c r="A522" t="s">
        <v>431</v>
      </c>
      <c r="B522">
        <v>234</v>
      </c>
      <c r="C522" t="s">
        <v>789</v>
      </c>
      <c r="D522" t="s">
        <v>792</v>
      </c>
      <c r="F522" t="s">
        <v>434</v>
      </c>
      <c r="G522" t="s">
        <v>435</v>
      </c>
      <c r="H522">
        <v>0</v>
      </c>
    </row>
    <row r="523" spans="1:8">
      <c r="A523" t="s">
        <v>431</v>
      </c>
      <c r="B523">
        <v>234</v>
      </c>
      <c r="C523" t="s">
        <v>789</v>
      </c>
      <c r="D523" t="s">
        <v>793</v>
      </c>
      <c r="F523" t="s">
        <v>434</v>
      </c>
      <c r="G523" t="s">
        <v>435</v>
      </c>
      <c r="H523">
        <v>0</v>
      </c>
    </row>
    <row r="524" spans="1:8">
      <c r="A524" t="s">
        <v>431</v>
      </c>
      <c r="B524">
        <v>234</v>
      </c>
      <c r="C524" t="s">
        <v>789</v>
      </c>
      <c r="D524" t="s">
        <v>794</v>
      </c>
      <c r="F524" t="s">
        <v>434</v>
      </c>
      <c r="G524" t="s">
        <v>435</v>
      </c>
      <c r="H524">
        <v>0</v>
      </c>
    </row>
    <row r="525" spans="1:8">
      <c r="A525" t="s">
        <v>431</v>
      </c>
      <c r="B525">
        <v>234</v>
      </c>
      <c r="C525" t="s">
        <v>789</v>
      </c>
      <c r="D525" t="s">
        <v>795</v>
      </c>
      <c r="F525" t="s">
        <v>434</v>
      </c>
      <c r="G525" t="s">
        <v>435</v>
      </c>
      <c r="H525">
        <v>0</v>
      </c>
    </row>
    <row r="526" spans="1:8">
      <c r="A526" t="s">
        <v>431</v>
      </c>
      <c r="B526">
        <v>240</v>
      </c>
      <c r="C526" t="s">
        <v>796</v>
      </c>
      <c r="D526" t="s">
        <v>797</v>
      </c>
      <c r="F526" t="s">
        <v>434</v>
      </c>
      <c r="G526" t="s">
        <v>459</v>
      </c>
      <c r="H526">
        <v>0</v>
      </c>
    </row>
    <row r="527" spans="1:8">
      <c r="A527" t="s">
        <v>431</v>
      </c>
      <c r="B527">
        <v>240</v>
      </c>
      <c r="C527" t="s">
        <v>796</v>
      </c>
      <c r="D527" t="s">
        <v>798</v>
      </c>
      <c r="F527" t="s">
        <v>463</v>
      </c>
      <c r="G527" t="s">
        <v>459</v>
      </c>
      <c r="H527">
        <v>0</v>
      </c>
    </row>
    <row r="528" spans="1:8">
      <c r="A528" t="s">
        <v>431</v>
      </c>
      <c r="B528">
        <v>240</v>
      </c>
      <c r="C528" t="s">
        <v>796</v>
      </c>
      <c r="D528" t="s">
        <v>799</v>
      </c>
      <c r="F528" t="s">
        <v>463</v>
      </c>
      <c r="G528" t="s">
        <v>459</v>
      </c>
      <c r="H528">
        <v>0</v>
      </c>
    </row>
    <row r="529" spans="1:8">
      <c r="A529" t="s">
        <v>431</v>
      </c>
      <c r="B529">
        <v>240</v>
      </c>
      <c r="C529" t="s">
        <v>796</v>
      </c>
      <c r="D529" t="s">
        <v>800</v>
      </c>
      <c r="F529" t="s">
        <v>434</v>
      </c>
      <c r="G529" t="s">
        <v>459</v>
      </c>
      <c r="H529">
        <v>0</v>
      </c>
    </row>
    <row r="530" spans="1:8">
      <c r="A530" t="s">
        <v>431</v>
      </c>
      <c r="B530">
        <v>240</v>
      </c>
      <c r="C530" t="s">
        <v>796</v>
      </c>
      <c r="D530" t="s">
        <v>801</v>
      </c>
      <c r="F530" t="s">
        <v>463</v>
      </c>
      <c r="G530" t="s">
        <v>459</v>
      </c>
      <c r="H530">
        <v>0</v>
      </c>
    </row>
    <row r="531" spans="1:8">
      <c r="A531" t="s">
        <v>431</v>
      </c>
      <c r="B531">
        <v>242</v>
      </c>
      <c r="C531" t="s">
        <v>802</v>
      </c>
      <c r="D531" t="s">
        <v>803</v>
      </c>
      <c r="F531" t="s">
        <v>434</v>
      </c>
      <c r="G531" t="s">
        <v>459</v>
      </c>
      <c r="H531">
        <v>0</v>
      </c>
    </row>
    <row r="532" spans="1:8">
      <c r="A532" t="s">
        <v>431</v>
      </c>
      <c r="B532">
        <v>242</v>
      </c>
      <c r="C532" t="s">
        <v>802</v>
      </c>
      <c r="D532" t="s">
        <v>804</v>
      </c>
      <c r="F532" t="s">
        <v>434</v>
      </c>
      <c r="G532" t="s">
        <v>459</v>
      </c>
      <c r="H532">
        <v>0</v>
      </c>
    </row>
    <row r="533" spans="1:8">
      <c r="A533" t="s">
        <v>431</v>
      </c>
      <c r="B533">
        <v>242</v>
      </c>
      <c r="C533" t="s">
        <v>802</v>
      </c>
      <c r="D533" t="s">
        <v>805</v>
      </c>
      <c r="F533" t="s">
        <v>434</v>
      </c>
      <c r="G533" t="s">
        <v>459</v>
      </c>
      <c r="H533">
        <v>0</v>
      </c>
    </row>
    <row r="534" spans="1:8">
      <c r="A534" t="s">
        <v>431</v>
      </c>
      <c r="B534">
        <v>242</v>
      </c>
      <c r="C534" t="s">
        <v>802</v>
      </c>
      <c r="D534" t="s">
        <v>806</v>
      </c>
      <c r="F534" t="s">
        <v>463</v>
      </c>
      <c r="G534" t="s">
        <v>459</v>
      </c>
      <c r="H534">
        <v>0</v>
      </c>
    </row>
    <row r="535" spans="1:8">
      <c r="A535" t="s">
        <v>431</v>
      </c>
      <c r="B535">
        <v>243</v>
      </c>
      <c r="C535" t="s">
        <v>807</v>
      </c>
      <c r="D535" t="s">
        <v>808</v>
      </c>
      <c r="F535" t="s">
        <v>434</v>
      </c>
      <c r="G535" t="s">
        <v>459</v>
      </c>
      <c r="H535">
        <v>0</v>
      </c>
    </row>
    <row r="536" spans="1:8">
      <c r="A536" t="s">
        <v>431</v>
      </c>
      <c r="B536">
        <v>243</v>
      </c>
      <c r="C536" t="s">
        <v>807</v>
      </c>
      <c r="D536" t="s">
        <v>809</v>
      </c>
      <c r="F536" t="s">
        <v>434</v>
      </c>
      <c r="G536" t="s">
        <v>459</v>
      </c>
      <c r="H536">
        <v>0</v>
      </c>
    </row>
    <row r="537" spans="1:8">
      <c r="A537" t="s">
        <v>431</v>
      </c>
      <c r="B537">
        <v>243</v>
      </c>
      <c r="C537" t="s">
        <v>807</v>
      </c>
      <c r="D537" t="s">
        <v>810</v>
      </c>
      <c r="F537" t="s">
        <v>463</v>
      </c>
      <c r="G537" t="s">
        <v>459</v>
      </c>
      <c r="H537">
        <v>0</v>
      </c>
    </row>
    <row r="538" spans="1:8">
      <c r="A538" t="s">
        <v>431</v>
      </c>
      <c r="B538">
        <v>243</v>
      </c>
      <c r="C538" t="s">
        <v>807</v>
      </c>
      <c r="D538" t="s">
        <v>811</v>
      </c>
      <c r="F538" t="s">
        <v>434</v>
      </c>
      <c r="G538" t="s">
        <v>459</v>
      </c>
      <c r="H538">
        <v>0</v>
      </c>
    </row>
    <row r="539" spans="1:8">
      <c r="A539" t="s">
        <v>431</v>
      </c>
      <c r="B539">
        <v>244</v>
      </c>
      <c r="C539" t="s">
        <v>812</v>
      </c>
      <c r="D539" t="s">
        <v>813</v>
      </c>
      <c r="F539" t="s">
        <v>463</v>
      </c>
      <c r="G539" t="s">
        <v>459</v>
      </c>
      <c r="H539">
        <v>0</v>
      </c>
    </row>
    <row r="540" spans="1:8">
      <c r="A540" t="s">
        <v>431</v>
      </c>
      <c r="B540">
        <v>244</v>
      </c>
      <c r="C540" t="s">
        <v>812</v>
      </c>
      <c r="D540" t="s">
        <v>814</v>
      </c>
      <c r="F540" t="s">
        <v>463</v>
      </c>
      <c r="G540" t="s">
        <v>474</v>
      </c>
      <c r="H540">
        <v>0</v>
      </c>
    </row>
    <row r="541" spans="1:8">
      <c r="A541" t="s">
        <v>431</v>
      </c>
      <c r="B541">
        <v>244</v>
      </c>
      <c r="C541" t="s">
        <v>812</v>
      </c>
      <c r="D541" t="s">
        <v>815</v>
      </c>
      <c r="F541" t="s">
        <v>463</v>
      </c>
      <c r="G541" t="s">
        <v>474</v>
      </c>
      <c r="H541">
        <v>0</v>
      </c>
    </row>
    <row r="542" spans="1:8">
      <c r="A542" t="s">
        <v>431</v>
      </c>
      <c r="B542">
        <v>247</v>
      </c>
      <c r="C542" t="s">
        <v>816</v>
      </c>
      <c r="D542" t="s">
        <v>817</v>
      </c>
      <c r="F542" t="s">
        <v>434</v>
      </c>
      <c r="G542" t="s">
        <v>459</v>
      </c>
      <c r="H542">
        <v>0</v>
      </c>
    </row>
    <row r="543" spans="1:8">
      <c r="A543" t="s">
        <v>431</v>
      </c>
      <c r="B543">
        <v>247</v>
      </c>
      <c r="C543" t="s">
        <v>816</v>
      </c>
      <c r="D543" t="s">
        <v>818</v>
      </c>
      <c r="F543" t="s">
        <v>434</v>
      </c>
      <c r="G543" t="s">
        <v>459</v>
      </c>
      <c r="H543">
        <v>0</v>
      </c>
    </row>
    <row r="544" spans="1:8">
      <c r="A544" t="s">
        <v>431</v>
      </c>
      <c r="B544">
        <v>247</v>
      </c>
      <c r="C544" t="s">
        <v>816</v>
      </c>
      <c r="D544" t="s">
        <v>819</v>
      </c>
      <c r="F544" t="s">
        <v>434</v>
      </c>
      <c r="G544" t="s">
        <v>459</v>
      </c>
      <c r="H544">
        <v>0</v>
      </c>
    </row>
    <row r="545" spans="1:8">
      <c r="A545" t="s">
        <v>431</v>
      </c>
      <c r="B545">
        <v>247</v>
      </c>
      <c r="C545" t="s">
        <v>816</v>
      </c>
      <c r="D545" t="s">
        <v>820</v>
      </c>
      <c r="F545" t="s">
        <v>434</v>
      </c>
      <c r="G545" t="s">
        <v>459</v>
      </c>
      <c r="H545">
        <v>0</v>
      </c>
    </row>
    <row r="546" spans="1:8">
      <c r="A546" t="s">
        <v>431</v>
      </c>
      <c r="B546">
        <v>247</v>
      </c>
      <c r="C546" t="s">
        <v>816</v>
      </c>
      <c r="D546" t="s">
        <v>821</v>
      </c>
      <c r="F546" t="s">
        <v>463</v>
      </c>
      <c r="G546" t="s">
        <v>459</v>
      </c>
      <c r="H546">
        <v>0</v>
      </c>
    </row>
    <row r="547" spans="1:8">
      <c r="A547" t="s">
        <v>431</v>
      </c>
      <c r="B547">
        <v>247</v>
      </c>
      <c r="C547" t="s">
        <v>816</v>
      </c>
      <c r="D547" t="s">
        <v>822</v>
      </c>
      <c r="F547" t="s">
        <v>463</v>
      </c>
      <c r="G547" t="s">
        <v>459</v>
      </c>
      <c r="H547">
        <v>0</v>
      </c>
    </row>
    <row r="548" spans="1:8">
      <c r="A548" t="s">
        <v>431</v>
      </c>
      <c r="B548">
        <v>248</v>
      </c>
      <c r="C548" t="s">
        <v>823</v>
      </c>
      <c r="D548" t="s">
        <v>824</v>
      </c>
      <c r="F548" t="s">
        <v>463</v>
      </c>
      <c r="G548" t="s">
        <v>459</v>
      </c>
      <c r="H548">
        <v>0</v>
      </c>
    </row>
    <row r="549" spans="1:8">
      <c r="A549" t="s">
        <v>431</v>
      </c>
      <c r="B549">
        <v>248</v>
      </c>
      <c r="C549" t="s">
        <v>823</v>
      </c>
      <c r="D549" t="s">
        <v>825</v>
      </c>
      <c r="F549" t="s">
        <v>434</v>
      </c>
      <c r="G549" t="s">
        <v>459</v>
      </c>
      <c r="H549">
        <v>0</v>
      </c>
    </row>
    <row r="550" spans="1:8">
      <c r="A550" t="s">
        <v>431</v>
      </c>
      <c r="B550">
        <v>248</v>
      </c>
      <c r="C550" t="s">
        <v>823</v>
      </c>
      <c r="D550" t="s">
        <v>826</v>
      </c>
      <c r="F550" t="s">
        <v>463</v>
      </c>
      <c r="G550" t="s">
        <v>459</v>
      </c>
      <c r="H550">
        <v>0</v>
      </c>
    </row>
    <row r="551" spans="1:8">
      <c r="A551" t="s">
        <v>431</v>
      </c>
      <c r="B551">
        <v>248</v>
      </c>
      <c r="C551" t="s">
        <v>823</v>
      </c>
      <c r="D551" t="s">
        <v>827</v>
      </c>
      <c r="F551" t="s">
        <v>434</v>
      </c>
      <c r="G551" t="s">
        <v>459</v>
      </c>
      <c r="H551">
        <v>0</v>
      </c>
    </row>
    <row r="552" spans="1:8">
      <c r="A552" t="s">
        <v>431</v>
      </c>
      <c r="B552">
        <v>249</v>
      </c>
      <c r="C552" t="s">
        <v>828</v>
      </c>
      <c r="D552" t="s">
        <v>829</v>
      </c>
      <c r="F552" t="s">
        <v>463</v>
      </c>
      <c r="G552" t="s">
        <v>474</v>
      </c>
      <c r="H552">
        <v>0</v>
      </c>
    </row>
    <row r="553" spans="1:8">
      <c r="A553" t="s">
        <v>431</v>
      </c>
      <c r="B553">
        <v>249</v>
      </c>
      <c r="C553" t="s">
        <v>828</v>
      </c>
      <c r="D553" t="s">
        <v>830</v>
      </c>
      <c r="F553" t="s">
        <v>434</v>
      </c>
      <c r="G553" t="s">
        <v>474</v>
      </c>
      <c r="H553">
        <v>0</v>
      </c>
    </row>
    <row r="554" spans="1:8">
      <c r="A554" t="s">
        <v>431</v>
      </c>
      <c r="B554">
        <v>249</v>
      </c>
      <c r="C554" t="s">
        <v>828</v>
      </c>
      <c r="D554" t="s">
        <v>831</v>
      </c>
      <c r="F554" t="s">
        <v>463</v>
      </c>
      <c r="G554" t="s">
        <v>474</v>
      </c>
      <c r="H554">
        <v>0</v>
      </c>
    </row>
    <row r="555" spans="1:8">
      <c r="A555" t="s">
        <v>431</v>
      </c>
      <c r="B555">
        <v>249</v>
      </c>
      <c r="C555" t="s">
        <v>828</v>
      </c>
      <c r="D555" t="s">
        <v>832</v>
      </c>
      <c r="F555" t="s">
        <v>434</v>
      </c>
      <c r="G555" t="s">
        <v>474</v>
      </c>
      <c r="H555">
        <v>0</v>
      </c>
    </row>
    <row r="556" spans="1:8">
      <c r="A556" t="s">
        <v>431</v>
      </c>
      <c r="B556">
        <v>249</v>
      </c>
      <c r="C556" t="s">
        <v>828</v>
      </c>
      <c r="D556" t="s">
        <v>833</v>
      </c>
      <c r="F556" t="s">
        <v>463</v>
      </c>
      <c r="G556" t="s">
        <v>474</v>
      </c>
      <c r="H556">
        <v>0</v>
      </c>
    </row>
    <row r="557" spans="1:8">
      <c r="A557" t="s">
        <v>431</v>
      </c>
      <c r="B557">
        <v>249</v>
      </c>
      <c r="C557" t="s">
        <v>828</v>
      </c>
      <c r="D557" t="s">
        <v>834</v>
      </c>
      <c r="F557" t="s">
        <v>434</v>
      </c>
      <c r="G557" t="s">
        <v>474</v>
      </c>
      <c r="H557">
        <v>0</v>
      </c>
    </row>
    <row r="558" spans="1:8">
      <c r="A558" t="s">
        <v>431</v>
      </c>
      <c r="B558">
        <v>250</v>
      </c>
      <c r="C558" t="s">
        <v>835</v>
      </c>
      <c r="D558" t="s">
        <v>836</v>
      </c>
      <c r="F558" t="s">
        <v>463</v>
      </c>
      <c r="G558" t="s">
        <v>474</v>
      </c>
      <c r="H558">
        <v>0</v>
      </c>
    </row>
    <row r="559" spans="1:8">
      <c r="A559" t="s">
        <v>431</v>
      </c>
      <c r="B559">
        <v>250</v>
      </c>
      <c r="C559" t="s">
        <v>835</v>
      </c>
      <c r="D559" t="s">
        <v>837</v>
      </c>
      <c r="F559" t="s">
        <v>434</v>
      </c>
      <c r="G559" t="s">
        <v>474</v>
      </c>
      <c r="H559">
        <v>0</v>
      </c>
    </row>
    <row r="560" spans="1:8">
      <c r="A560" t="s">
        <v>431</v>
      </c>
      <c r="B560">
        <v>250</v>
      </c>
      <c r="C560" t="s">
        <v>835</v>
      </c>
      <c r="D560" t="s">
        <v>838</v>
      </c>
      <c r="F560" t="s">
        <v>463</v>
      </c>
      <c r="G560" t="s">
        <v>474</v>
      </c>
      <c r="H560">
        <v>0</v>
      </c>
    </row>
    <row r="561" spans="1:8">
      <c r="A561" t="s">
        <v>431</v>
      </c>
      <c r="B561">
        <v>250</v>
      </c>
      <c r="C561" t="s">
        <v>835</v>
      </c>
      <c r="D561" t="s">
        <v>839</v>
      </c>
      <c r="F561" t="s">
        <v>434</v>
      </c>
      <c r="G561" t="s">
        <v>474</v>
      </c>
      <c r="H561">
        <v>0</v>
      </c>
    </row>
    <row r="562" spans="1:8">
      <c r="A562" t="s">
        <v>431</v>
      </c>
      <c r="B562">
        <v>250</v>
      </c>
      <c r="C562" t="s">
        <v>835</v>
      </c>
      <c r="D562" t="s">
        <v>840</v>
      </c>
      <c r="F562" t="s">
        <v>463</v>
      </c>
      <c r="G562" t="s">
        <v>474</v>
      </c>
      <c r="H562">
        <v>0</v>
      </c>
    </row>
    <row r="563" spans="1:8">
      <c r="A563" t="s">
        <v>431</v>
      </c>
      <c r="B563">
        <v>251</v>
      </c>
      <c r="C563" t="s">
        <v>841</v>
      </c>
      <c r="D563" t="s">
        <v>842</v>
      </c>
      <c r="F563" t="s">
        <v>434</v>
      </c>
      <c r="G563" t="s">
        <v>459</v>
      </c>
      <c r="H563">
        <v>0</v>
      </c>
    </row>
    <row r="564" spans="1:8">
      <c r="A564" t="s">
        <v>431</v>
      </c>
      <c r="B564">
        <v>251</v>
      </c>
      <c r="C564" t="s">
        <v>841</v>
      </c>
      <c r="D564" t="s">
        <v>843</v>
      </c>
      <c r="F564" t="s">
        <v>434</v>
      </c>
      <c r="G564" t="s">
        <v>459</v>
      </c>
      <c r="H564">
        <v>0</v>
      </c>
    </row>
    <row r="565" spans="1:8">
      <c r="A565" t="s">
        <v>431</v>
      </c>
      <c r="B565">
        <v>251</v>
      </c>
      <c r="C565" t="s">
        <v>841</v>
      </c>
      <c r="D565" t="s">
        <v>844</v>
      </c>
      <c r="F565" t="s">
        <v>434</v>
      </c>
      <c r="G565" t="s">
        <v>459</v>
      </c>
      <c r="H565">
        <v>0</v>
      </c>
    </row>
    <row r="566" spans="1:8">
      <c r="A566" t="s">
        <v>431</v>
      </c>
      <c r="B566">
        <v>251</v>
      </c>
      <c r="C566" t="s">
        <v>841</v>
      </c>
      <c r="D566" t="s">
        <v>845</v>
      </c>
      <c r="F566" t="s">
        <v>434</v>
      </c>
      <c r="G566" t="s">
        <v>459</v>
      </c>
      <c r="H566">
        <v>0</v>
      </c>
    </row>
    <row r="567" spans="1:8">
      <c r="A567" t="s">
        <v>431</v>
      </c>
      <c r="B567">
        <v>251</v>
      </c>
      <c r="C567" t="s">
        <v>841</v>
      </c>
      <c r="D567" t="s">
        <v>846</v>
      </c>
      <c r="F567" t="s">
        <v>434</v>
      </c>
      <c r="G567" t="s">
        <v>459</v>
      </c>
      <c r="H567">
        <v>0</v>
      </c>
    </row>
    <row r="568" spans="1:8">
      <c r="A568" t="s">
        <v>431</v>
      </c>
      <c r="B568">
        <v>251</v>
      </c>
      <c r="C568" t="s">
        <v>841</v>
      </c>
      <c r="D568" t="s">
        <v>847</v>
      </c>
      <c r="F568" t="s">
        <v>434</v>
      </c>
      <c r="G568" t="s">
        <v>459</v>
      </c>
      <c r="H56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79"/>
  <sheetViews>
    <sheetView workbookViewId="0"/>
  </sheetViews>
  <sheetFormatPr baseColWidth="10" defaultColWidth="9" defaultRowHeight="14.25"/>
  <cols>
    <col min="1" max="1" width="11" customWidth="1"/>
    <col min="2" max="2" width="26" customWidth="1"/>
    <col min="3" max="3" width="28" customWidth="1"/>
    <col min="4" max="4" width="14" customWidth="1"/>
    <col min="5" max="6" width="19" customWidth="1"/>
    <col min="7" max="7" width="18" customWidth="1"/>
    <col min="8" max="8" width="15" customWidth="1"/>
    <col min="9" max="9" width="16" customWidth="1"/>
    <col min="10" max="10" width="30" customWidth="1"/>
    <col min="11" max="11" width="14" customWidth="1"/>
  </cols>
  <sheetData>
    <row r="1" spans="1:11" ht="15">
      <c r="A1" s="19" t="s">
        <v>848</v>
      </c>
      <c r="B1" s="19" t="s">
        <v>849</v>
      </c>
      <c r="C1" s="19" t="s">
        <v>850</v>
      </c>
      <c r="D1" s="19" t="s">
        <v>851</v>
      </c>
      <c r="E1" s="19" t="s">
        <v>852</v>
      </c>
      <c r="F1" s="19" t="s">
        <v>853</v>
      </c>
      <c r="G1" s="19" t="s">
        <v>854</v>
      </c>
      <c r="H1" s="19" t="s">
        <v>855</v>
      </c>
      <c r="I1" s="19" t="s">
        <v>856</v>
      </c>
      <c r="J1" s="19" t="s">
        <v>857</v>
      </c>
      <c r="K1" s="19" t="s">
        <v>858</v>
      </c>
    </row>
    <row r="2" spans="1:11">
      <c r="A2">
        <v>227</v>
      </c>
      <c r="B2" t="s">
        <v>859</v>
      </c>
      <c r="C2" t="s">
        <v>859</v>
      </c>
      <c r="D2" t="s">
        <v>860</v>
      </c>
      <c r="E2" t="s">
        <v>861</v>
      </c>
      <c r="J2" t="s">
        <v>862</v>
      </c>
      <c r="K2" t="s">
        <v>863</v>
      </c>
    </row>
    <row r="3" spans="1:11">
      <c r="A3">
        <v>227</v>
      </c>
      <c r="B3" t="s">
        <v>859</v>
      </c>
      <c r="C3" t="s">
        <v>859</v>
      </c>
      <c r="D3" t="s">
        <v>864</v>
      </c>
      <c r="E3" t="s">
        <v>865</v>
      </c>
      <c r="F3" t="s">
        <v>866</v>
      </c>
      <c r="G3">
        <v>469</v>
      </c>
      <c r="H3">
        <v>439</v>
      </c>
      <c r="I3">
        <v>420</v>
      </c>
      <c r="J3" t="s">
        <v>867</v>
      </c>
      <c r="K3" t="s">
        <v>868</v>
      </c>
    </row>
    <row r="4" spans="1:11">
      <c r="A4">
        <v>6</v>
      </c>
      <c r="B4" t="s">
        <v>869</v>
      </c>
      <c r="C4" t="s">
        <v>870</v>
      </c>
      <c r="D4" t="s">
        <v>871</v>
      </c>
      <c r="E4" t="s">
        <v>872</v>
      </c>
      <c r="F4" t="s">
        <v>873</v>
      </c>
      <c r="G4">
        <v>469</v>
      </c>
      <c r="H4">
        <v>439</v>
      </c>
      <c r="I4">
        <v>420</v>
      </c>
      <c r="J4" t="s">
        <v>867</v>
      </c>
      <c r="K4" t="s">
        <v>868</v>
      </c>
    </row>
    <row r="5" spans="1:11">
      <c r="A5">
        <v>6</v>
      </c>
      <c r="B5" t="s">
        <v>869</v>
      </c>
      <c r="C5" t="s">
        <v>870</v>
      </c>
      <c r="D5" t="s">
        <v>860</v>
      </c>
      <c r="E5" t="s">
        <v>874</v>
      </c>
      <c r="F5" t="s">
        <v>875</v>
      </c>
      <c r="G5">
        <v>482</v>
      </c>
      <c r="H5">
        <v>452</v>
      </c>
      <c r="I5">
        <v>450</v>
      </c>
      <c r="J5" t="s">
        <v>867</v>
      </c>
      <c r="K5" t="s">
        <v>868</v>
      </c>
    </row>
    <row r="6" spans="1:11">
      <c r="A6">
        <v>6</v>
      </c>
      <c r="B6" t="s">
        <v>869</v>
      </c>
      <c r="C6" t="s">
        <v>870</v>
      </c>
      <c r="D6" t="s">
        <v>864</v>
      </c>
      <c r="E6" t="s">
        <v>876</v>
      </c>
      <c r="F6" t="s">
        <v>877</v>
      </c>
      <c r="G6">
        <v>461</v>
      </c>
      <c r="H6">
        <v>431</v>
      </c>
      <c r="I6">
        <v>420</v>
      </c>
      <c r="J6" t="s">
        <v>867</v>
      </c>
      <c r="K6" t="s">
        <v>868</v>
      </c>
    </row>
    <row r="7" spans="1:11">
      <c r="A7">
        <v>135</v>
      </c>
      <c r="B7" t="s">
        <v>878</v>
      </c>
      <c r="C7" t="s">
        <v>878</v>
      </c>
      <c r="D7" t="s">
        <v>871</v>
      </c>
      <c r="E7" t="s">
        <v>879</v>
      </c>
      <c r="F7" t="s">
        <v>880</v>
      </c>
      <c r="G7">
        <v>523</v>
      </c>
      <c r="H7">
        <v>493</v>
      </c>
      <c r="I7">
        <v>480</v>
      </c>
      <c r="J7" t="s">
        <v>867</v>
      </c>
      <c r="K7" t="s">
        <v>868</v>
      </c>
    </row>
    <row r="8" spans="1:11">
      <c r="A8">
        <v>135</v>
      </c>
      <c r="B8" t="s">
        <v>878</v>
      </c>
      <c r="C8" t="s">
        <v>878</v>
      </c>
      <c r="D8" t="s">
        <v>860</v>
      </c>
      <c r="E8" t="s">
        <v>875</v>
      </c>
      <c r="F8" t="s">
        <v>881</v>
      </c>
      <c r="G8">
        <v>485</v>
      </c>
      <c r="H8">
        <v>455</v>
      </c>
      <c r="I8">
        <v>450</v>
      </c>
      <c r="J8" t="s">
        <v>867</v>
      </c>
      <c r="K8" t="s">
        <v>868</v>
      </c>
    </row>
    <row r="9" spans="1:11">
      <c r="A9">
        <v>135</v>
      </c>
      <c r="B9" t="s">
        <v>878</v>
      </c>
      <c r="C9" t="s">
        <v>878</v>
      </c>
      <c r="D9" t="s">
        <v>882</v>
      </c>
      <c r="E9" t="s">
        <v>883</v>
      </c>
      <c r="F9" t="s">
        <v>884</v>
      </c>
      <c r="G9">
        <v>497</v>
      </c>
      <c r="H9">
        <v>467</v>
      </c>
      <c r="I9">
        <v>450</v>
      </c>
      <c r="J9" t="s">
        <v>867</v>
      </c>
      <c r="K9" t="s">
        <v>868</v>
      </c>
    </row>
    <row r="10" spans="1:11">
      <c r="A10">
        <v>135</v>
      </c>
      <c r="B10" t="s">
        <v>878</v>
      </c>
      <c r="C10" t="s">
        <v>878</v>
      </c>
      <c r="D10" t="s">
        <v>864</v>
      </c>
      <c r="E10" t="s">
        <v>885</v>
      </c>
      <c r="F10" t="s">
        <v>886</v>
      </c>
      <c r="G10">
        <v>486</v>
      </c>
      <c r="H10">
        <v>456</v>
      </c>
      <c r="I10">
        <v>450</v>
      </c>
      <c r="J10" t="s">
        <v>867</v>
      </c>
      <c r="K10" t="s">
        <v>868</v>
      </c>
    </row>
    <row r="11" spans="1:11">
      <c r="A11">
        <v>70</v>
      </c>
      <c r="B11" t="s">
        <v>887</v>
      </c>
      <c r="C11" t="s">
        <v>887</v>
      </c>
      <c r="D11" t="s">
        <v>871</v>
      </c>
      <c r="E11" t="s">
        <v>888</v>
      </c>
      <c r="F11" t="s">
        <v>889</v>
      </c>
      <c r="G11">
        <v>780</v>
      </c>
      <c r="H11">
        <v>750</v>
      </c>
      <c r="I11">
        <v>750</v>
      </c>
      <c r="J11" t="s">
        <v>890</v>
      </c>
      <c r="K11" t="s">
        <v>868</v>
      </c>
    </row>
    <row r="12" spans="1:11">
      <c r="A12">
        <v>70</v>
      </c>
      <c r="B12" t="s">
        <v>887</v>
      </c>
      <c r="C12" t="s">
        <v>887</v>
      </c>
      <c r="D12" t="s">
        <v>882</v>
      </c>
      <c r="E12" t="s">
        <v>891</v>
      </c>
      <c r="J12" t="s">
        <v>892</v>
      </c>
      <c r="K12" t="s">
        <v>893</v>
      </c>
    </row>
    <row r="13" spans="1:11">
      <c r="A13">
        <v>70</v>
      </c>
      <c r="B13" t="s">
        <v>887</v>
      </c>
      <c r="C13" t="s">
        <v>887</v>
      </c>
      <c r="D13" t="s">
        <v>864</v>
      </c>
      <c r="E13" t="s">
        <v>894</v>
      </c>
      <c r="J13" t="s">
        <v>892</v>
      </c>
      <c r="K13" t="s">
        <v>893</v>
      </c>
    </row>
    <row r="14" spans="1:11">
      <c r="A14">
        <v>71</v>
      </c>
      <c r="B14" t="s">
        <v>895</v>
      </c>
      <c r="C14" t="s">
        <v>896</v>
      </c>
      <c r="D14" t="s">
        <v>871</v>
      </c>
      <c r="E14" t="s">
        <v>897</v>
      </c>
      <c r="J14" t="s">
        <v>892</v>
      </c>
      <c r="K14" t="s">
        <v>893</v>
      </c>
    </row>
    <row r="15" spans="1:11">
      <c r="A15">
        <v>71</v>
      </c>
      <c r="B15" t="s">
        <v>895</v>
      </c>
      <c r="C15" t="s">
        <v>896</v>
      </c>
      <c r="D15" t="s">
        <v>871</v>
      </c>
      <c r="E15" t="s">
        <v>898</v>
      </c>
      <c r="F15" t="s">
        <v>899</v>
      </c>
      <c r="G15">
        <v>482</v>
      </c>
      <c r="H15">
        <v>452</v>
      </c>
      <c r="I15">
        <v>450</v>
      </c>
      <c r="J15" t="s">
        <v>890</v>
      </c>
      <c r="K15" t="s">
        <v>868</v>
      </c>
    </row>
    <row r="16" spans="1:11">
      <c r="A16">
        <v>71</v>
      </c>
      <c r="B16" t="s">
        <v>895</v>
      </c>
      <c r="C16" t="s">
        <v>896</v>
      </c>
      <c r="D16" t="s">
        <v>860</v>
      </c>
      <c r="E16" t="s">
        <v>900</v>
      </c>
      <c r="F16" t="s">
        <v>901</v>
      </c>
      <c r="G16">
        <v>484</v>
      </c>
      <c r="H16">
        <v>454</v>
      </c>
      <c r="I16">
        <v>450</v>
      </c>
      <c r="J16" t="s">
        <v>890</v>
      </c>
      <c r="K16" t="s">
        <v>868</v>
      </c>
    </row>
    <row r="17" spans="1:11">
      <c r="A17">
        <v>71</v>
      </c>
      <c r="B17" t="s">
        <v>895</v>
      </c>
      <c r="C17" t="s">
        <v>896</v>
      </c>
      <c r="D17" t="s">
        <v>882</v>
      </c>
      <c r="E17" t="s">
        <v>902</v>
      </c>
      <c r="F17" t="s">
        <v>903</v>
      </c>
      <c r="G17">
        <v>481</v>
      </c>
      <c r="H17">
        <v>451</v>
      </c>
      <c r="I17">
        <v>450</v>
      </c>
      <c r="J17" t="s">
        <v>890</v>
      </c>
      <c r="K17" t="s">
        <v>868</v>
      </c>
    </row>
    <row r="18" spans="1:11">
      <c r="A18">
        <v>50</v>
      </c>
      <c r="B18" t="s">
        <v>904</v>
      </c>
      <c r="C18" t="s">
        <v>905</v>
      </c>
      <c r="D18" t="s">
        <v>860</v>
      </c>
      <c r="E18" t="s">
        <v>906</v>
      </c>
      <c r="F18" t="s">
        <v>907</v>
      </c>
      <c r="G18">
        <v>454</v>
      </c>
      <c r="H18">
        <v>424</v>
      </c>
      <c r="I18">
        <v>420</v>
      </c>
      <c r="J18" t="s">
        <v>867</v>
      </c>
      <c r="K18" t="s">
        <v>868</v>
      </c>
    </row>
    <row r="19" spans="1:11">
      <c r="A19">
        <v>50</v>
      </c>
      <c r="B19" t="s">
        <v>904</v>
      </c>
      <c r="C19" t="s">
        <v>905</v>
      </c>
      <c r="D19" t="s">
        <v>882</v>
      </c>
      <c r="E19" t="s">
        <v>908</v>
      </c>
      <c r="F19" t="s">
        <v>909</v>
      </c>
      <c r="G19">
        <v>492</v>
      </c>
      <c r="H19">
        <v>462</v>
      </c>
      <c r="I19">
        <v>450</v>
      </c>
      <c r="J19" t="s">
        <v>867</v>
      </c>
      <c r="K19" t="s">
        <v>868</v>
      </c>
    </row>
    <row r="20" spans="1:11">
      <c r="A20">
        <v>50</v>
      </c>
      <c r="B20" t="s">
        <v>904</v>
      </c>
      <c r="C20" t="s">
        <v>905</v>
      </c>
      <c r="D20" t="s">
        <v>864</v>
      </c>
      <c r="E20" t="s">
        <v>910</v>
      </c>
      <c r="F20" t="s">
        <v>911</v>
      </c>
      <c r="G20">
        <v>505</v>
      </c>
      <c r="H20">
        <v>475</v>
      </c>
      <c r="I20">
        <v>450</v>
      </c>
      <c r="J20" t="s">
        <v>867</v>
      </c>
      <c r="K20" t="s">
        <v>868</v>
      </c>
    </row>
    <row r="21" spans="1:11">
      <c r="A21">
        <v>251</v>
      </c>
      <c r="B21" t="s">
        <v>912</v>
      </c>
      <c r="C21" t="s">
        <v>912</v>
      </c>
      <c r="D21" t="s">
        <v>871</v>
      </c>
      <c r="E21" t="s">
        <v>913</v>
      </c>
      <c r="J21" t="s">
        <v>892</v>
      </c>
      <c r="K21" t="s">
        <v>893</v>
      </c>
    </row>
    <row r="22" spans="1:11">
      <c r="A22">
        <v>251</v>
      </c>
      <c r="B22" t="s">
        <v>912</v>
      </c>
      <c r="C22" t="s">
        <v>912</v>
      </c>
      <c r="D22" t="s">
        <v>871</v>
      </c>
      <c r="E22" t="s">
        <v>914</v>
      </c>
      <c r="F22" t="s">
        <v>899</v>
      </c>
      <c r="G22">
        <v>473</v>
      </c>
      <c r="H22">
        <v>443</v>
      </c>
      <c r="I22">
        <v>420</v>
      </c>
      <c r="J22" t="s">
        <v>890</v>
      </c>
      <c r="K22" t="s">
        <v>868</v>
      </c>
    </row>
    <row r="23" spans="1:11">
      <c r="A23">
        <v>251</v>
      </c>
      <c r="B23" t="s">
        <v>912</v>
      </c>
      <c r="C23" t="s">
        <v>912</v>
      </c>
      <c r="D23" t="s">
        <v>882</v>
      </c>
      <c r="E23" t="s">
        <v>915</v>
      </c>
      <c r="F23" t="s">
        <v>903</v>
      </c>
      <c r="G23">
        <v>476</v>
      </c>
      <c r="H23">
        <v>446</v>
      </c>
      <c r="I23">
        <v>420</v>
      </c>
      <c r="J23" t="s">
        <v>890</v>
      </c>
      <c r="K23" t="s">
        <v>868</v>
      </c>
    </row>
    <row r="24" spans="1:11">
      <c r="A24">
        <v>251</v>
      </c>
      <c r="B24" t="s">
        <v>912</v>
      </c>
      <c r="C24" t="s">
        <v>912</v>
      </c>
      <c r="D24" t="s">
        <v>864</v>
      </c>
      <c r="E24" t="s">
        <v>916</v>
      </c>
      <c r="J24" t="s">
        <v>862</v>
      </c>
      <c r="K24" t="s">
        <v>863</v>
      </c>
    </row>
    <row r="25" spans="1:11">
      <c r="A25">
        <v>17</v>
      </c>
      <c r="B25" t="s">
        <v>917</v>
      </c>
      <c r="C25" t="s">
        <v>917</v>
      </c>
      <c r="D25" t="s">
        <v>860</v>
      </c>
      <c r="E25" t="s">
        <v>918</v>
      </c>
      <c r="F25" t="s">
        <v>919</v>
      </c>
      <c r="G25">
        <v>482</v>
      </c>
      <c r="H25">
        <v>452</v>
      </c>
      <c r="I25">
        <v>450</v>
      </c>
      <c r="J25" t="s">
        <v>920</v>
      </c>
      <c r="K25" t="s">
        <v>868</v>
      </c>
    </row>
    <row r="26" spans="1:11">
      <c r="A26">
        <v>17</v>
      </c>
      <c r="B26" t="s">
        <v>917</v>
      </c>
      <c r="C26" t="s">
        <v>917</v>
      </c>
      <c r="D26" t="s">
        <v>882</v>
      </c>
      <c r="E26" t="s">
        <v>921</v>
      </c>
      <c r="F26" t="s">
        <v>922</v>
      </c>
      <c r="G26">
        <v>503</v>
      </c>
      <c r="H26">
        <v>473</v>
      </c>
      <c r="I26">
        <v>450</v>
      </c>
      <c r="J26" t="s">
        <v>920</v>
      </c>
      <c r="K26" t="s">
        <v>868</v>
      </c>
    </row>
    <row r="27" spans="1:11">
      <c r="A27">
        <v>16</v>
      </c>
      <c r="B27" t="s">
        <v>923</v>
      </c>
      <c r="C27" t="s">
        <v>923</v>
      </c>
      <c r="D27" t="s">
        <v>882</v>
      </c>
      <c r="E27" t="s">
        <v>924</v>
      </c>
      <c r="F27" t="s">
        <v>925</v>
      </c>
      <c r="G27">
        <v>571</v>
      </c>
      <c r="H27">
        <v>541</v>
      </c>
      <c r="I27">
        <v>540</v>
      </c>
      <c r="J27" t="s">
        <v>920</v>
      </c>
      <c r="K27" t="s">
        <v>868</v>
      </c>
    </row>
    <row r="28" spans="1:11">
      <c r="A28">
        <v>47</v>
      </c>
      <c r="B28" t="s">
        <v>926</v>
      </c>
      <c r="C28" t="s">
        <v>926</v>
      </c>
      <c r="D28" t="s">
        <v>860</v>
      </c>
      <c r="E28" t="s">
        <v>918</v>
      </c>
      <c r="F28" t="s">
        <v>927</v>
      </c>
      <c r="G28">
        <v>477</v>
      </c>
      <c r="H28">
        <v>447</v>
      </c>
      <c r="I28">
        <v>420</v>
      </c>
      <c r="J28" t="s">
        <v>920</v>
      </c>
      <c r="K28" t="s">
        <v>868</v>
      </c>
    </row>
    <row r="29" spans="1:11">
      <c r="A29">
        <v>47</v>
      </c>
      <c r="B29" t="s">
        <v>926</v>
      </c>
      <c r="C29" t="s">
        <v>926</v>
      </c>
      <c r="D29" t="s">
        <v>882</v>
      </c>
      <c r="E29" t="s">
        <v>921</v>
      </c>
      <c r="F29" t="s">
        <v>922</v>
      </c>
      <c r="G29">
        <v>503</v>
      </c>
      <c r="H29">
        <v>473</v>
      </c>
      <c r="I29">
        <v>450</v>
      </c>
      <c r="J29" t="s">
        <v>920</v>
      </c>
      <c r="K29" t="s">
        <v>868</v>
      </c>
    </row>
    <row r="30" spans="1:11">
      <c r="A30">
        <v>94</v>
      </c>
      <c r="B30" t="s">
        <v>928</v>
      </c>
      <c r="C30" t="s">
        <v>928</v>
      </c>
      <c r="D30" t="s">
        <v>860</v>
      </c>
      <c r="E30" t="s">
        <v>929</v>
      </c>
      <c r="F30" t="s">
        <v>930</v>
      </c>
      <c r="G30">
        <v>485</v>
      </c>
      <c r="H30">
        <v>455</v>
      </c>
      <c r="I30">
        <v>450</v>
      </c>
      <c r="J30" t="s">
        <v>920</v>
      </c>
      <c r="K30" t="s">
        <v>868</v>
      </c>
    </row>
    <row r="31" spans="1:11">
      <c r="A31">
        <v>94</v>
      </c>
      <c r="B31" t="s">
        <v>928</v>
      </c>
      <c r="C31" t="s">
        <v>928</v>
      </c>
      <c r="D31" t="s">
        <v>882</v>
      </c>
      <c r="E31" t="s">
        <v>921</v>
      </c>
      <c r="F31" t="s">
        <v>922</v>
      </c>
      <c r="G31">
        <v>503</v>
      </c>
      <c r="H31">
        <v>473</v>
      </c>
      <c r="I31">
        <v>450</v>
      </c>
      <c r="J31" t="s">
        <v>920</v>
      </c>
      <c r="K31" t="s">
        <v>868</v>
      </c>
    </row>
    <row r="32" spans="1:11">
      <c r="A32">
        <v>114</v>
      </c>
      <c r="B32" t="s">
        <v>931</v>
      </c>
      <c r="C32" t="s">
        <v>932</v>
      </c>
      <c r="D32" t="s">
        <v>882</v>
      </c>
      <c r="E32" t="s">
        <v>933</v>
      </c>
      <c r="F32" t="s">
        <v>925</v>
      </c>
      <c r="G32">
        <v>572</v>
      </c>
      <c r="H32">
        <v>542</v>
      </c>
      <c r="I32">
        <v>540</v>
      </c>
      <c r="J32" t="s">
        <v>920</v>
      </c>
      <c r="K32" t="s">
        <v>868</v>
      </c>
    </row>
    <row r="33" spans="1:11">
      <c r="A33">
        <v>115</v>
      </c>
      <c r="B33" t="s">
        <v>934</v>
      </c>
      <c r="C33" t="s">
        <v>934</v>
      </c>
      <c r="D33" t="s">
        <v>860</v>
      </c>
      <c r="E33" t="s">
        <v>918</v>
      </c>
      <c r="F33" t="s">
        <v>930</v>
      </c>
      <c r="G33">
        <v>485</v>
      </c>
      <c r="H33">
        <v>455</v>
      </c>
      <c r="I33">
        <v>450</v>
      </c>
      <c r="J33" t="s">
        <v>920</v>
      </c>
      <c r="K33" t="s">
        <v>868</v>
      </c>
    </row>
    <row r="34" spans="1:11">
      <c r="A34">
        <v>115</v>
      </c>
      <c r="B34" t="s">
        <v>934</v>
      </c>
      <c r="C34" t="s">
        <v>934</v>
      </c>
      <c r="D34" t="s">
        <v>882</v>
      </c>
      <c r="E34" t="s">
        <v>921</v>
      </c>
      <c r="F34" t="s">
        <v>922</v>
      </c>
      <c r="G34">
        <v>502</v>
      </c>
      <c r="H34">
        <v>472</v>
      </c>
      <c r="I34">
        <v>450</v>
      </c>
      <c r="J34" t="s">
        <v>920</v>
      </c>
      <c r="K34" t="s">
        <v>868</v>
      </c>
    </row>
    <row r="35" spans="1:11">
      <c r="A35">
        <v>118</v>
      </c>
      <c r="B35" t="s">
        <v>935</v>
      </c>
      <c r="C35" t="s">
        <v>935</v>
      </c>
      <c r="D35" t="s">
        <v>860</v>
      </c>
      <c r="E35" t="s">
        <v>929</v>
      </c>
      <c r="F35" t="s">
        <v>930</v>
      </c>
      <c r="G35">
        <v>485</v>
      </c>
      <c r="H35">
        <v>455</v>
      </c>
      <c r="I35">
        <v>450</v>
      </c>
      <c r="J35" t="s">
        <v>920</v>
      </c>
      <c r="K35" t="s">
        <v>868</v>
      </c>
    </row>
    <row r="36" spans="1:11">
      <c r="A36">
        <v>118</v>
      </c>
      <c r="B36" t="s">
        <v>935</v>
      </c>
      <c r="C36" t="s">
        <v>935</v>
      </c>
      <c r="D36" t="s">
        <v>882</v>
      </c>
      <c r="E36" t="s">
        <v>921</v>
      </c>
      <c r="F36" t="s">
        <v>922</v>
      </c>
      <c r="G36">
        <v>503</v>
      </c>
      <c r="H36">
        <v>473</v>
      </c>
      <c r="I36">
        <v>450</v>
      </c>
      <c r="J36" t="s">
        <v>920</v>
      </c>
      <c r="K36" t="s">
        <v>868</v>
      </c>
    </row>
    <row r="37" spans="1:11">
      <c r="A37">
        <v>233</v>
      </c>
      <c r="B37" t="s">
        <v>936</v>
      </c>
      <c r="C37" t="s">
        <v>937</v>
      </c>
      <c r="D37" t="s">
        <v>882</v>
      </c>
      <c r="E37" t="s">
        <v>924</v>
      </c>
      <c r="F37" t="s">
        <v>938</v>
      </c>
      <c r="G37">
        <v>572</v>
      </c>
      <c r="H37">
        <v>542</v>
      </c>
      <c r="I37">
        <v>540</v>
      </c>
      <c r="J37" t="s">
        <v>920</v>
      </c>
      <c r="K37" t="s">
        <v>868</v>
      </c>
    </row>
    <row r="38" spans="1:11">
      <c r="A38">
        <v>234</v>
      </c>
      <c r="B38" t="s">
        <v>939</v>
      </c>
      <c r="C38" t="s">
        <v>939</v>
      </c>
      <c r="D38" t="s">
        <v>882</v>
      </c>
      <c r="E38" t="s">
        <v>940</v>
      </c>
      <c r="F38" t="s">
        <v>938</v>
      </c>
      <c r="G38">
        <v>572</v>
      </c>
      <c r="H38">
        <v>542</v>
      </c>
      <c r="I38">
        <v>540</v>
      </c>
      <c r="J38" t="s">
        <v>920</v>
      </c>
      <c r="K38" t="s">
        <v>868</v>
      </c>
    </row>
    <row r="39" spans="1:11">
      <c r="A39">
        <v>3</v>
      </c>
      <c r="B39" t="s">
        <v>941</v>
      </c>
      <c r="C39" t="s">
        <v>941</v>
      </c>
      <c r="D39" t="s">
        <v>860</v>
      </c>
      <c r="E39" t="s">
        <v>942</v>
      </c>
      <c r="F39" t="s">
        <v>943</v>
      </c>
      <c r="G39">
        <v>572</v>
      </c>
      <c r="H39">
        <v>542</v>
      </c>
      <c r="I39">
        <v>540</v>
      </c>
      <c r="J39" t="s">
        <v>944</v>
      </c>
      <c r="K39" t="s">
        <v>868</v>
      </c>
    </row>
    <row r="40" spans="1:11">
      <c r="A40">
        <v>3</v>
      </c>
      <c r="B40" t="s">
        <v>941</v>
      </c>
      <c r="C40" t="s">
        <v>941</v>
      </c>
      <c r="D40" t="s">
        <v>882</v>
      </c>
      <c r="E40" t="s">
        <v>945</v>
      </c>
      <c r="J40" t="s">
        <v>946</v>
      </c>
      <c r="K40" t="s">
        <v>863</v>
      </c>
    </row>
    <row r="41" spans="1:11">
      <c r="A41">
        <v>4</v>
      </c>
      <c r="B41" t="s">
        <v>947</v>
      </c>
      <c r="C41" t="s">
        <v>947</v>
      </c>
      <c r="D41" t="s">
        <v>860</v>
      </c>
      <c r="E41" t="s">
        <v>948</v>
      </c>
      <c r="F41" t="s">
        <v>949</v>
      </c>
      <c r="G41">
        <v>597</v>
      </c>
      <c r="H41">
        <v>567</v>
      </c>
      <c r="I41">
        <v>540</v>
      </c>
      <c r="J41" t="s">
        <v>944</v>
      </c>
      <c r="K41" t="s">
        <v>868</v>
      </c>
    </row>
    <row r="42" spans="1:11">
      <c r="A42">
        <v>4</v>
      </c>
      <c r="B42" t="s">
        <v>947</v>
      </c>
      <c r="C42" t="s">
        <v>947</v>
      </c>
      <c r="D42" t="s">
        <v>882</v>
      </c>
      <c r="E42" t="s">
        <v>925</v>
      </c>
      <c r="F42" t="s">
        <v>950</v>
      </c>
      <c r="G42">
        <v>606</v>
      </c>
      <c r="H42">
        <v>576</v>
      </c>
      <c r="I42">
        <v>570</v>
      </c>
      <c r="J42" t="s">
        <v>944</v>
      </c>
      <c r="K42" t="s">
        <v>868</v>
      </c>
    </row>
    <row r="43" spans="1:11">
      <c r="A43">
        <v>4</v>
      </c>
      <c r="B43" t="s">
        <v>947</v>
      </c>
      <c r="C43" t="s">
        <v>947</v>
      </c>
      <c r="D43" t="s">
        <v>864</v>
      </c>
      <c r="E43" t="s">
        <v>951</v>
      </c>
      <c r="F43" t="s">
        <v>952</v>
      </c>
      <c r="G43">
        <v>616</v>
      </c>
      <c r="H43">
        <v>586</v>
      </c>
      <c r="I43">
        <v>570</v>
      </c>
      <c r="J43" t="s">
        <v>944</v>
      </c>
      <c r="K43" t="s">
        <v>868</v>
      </c>
    </row>
    <row r="44" spans="1:11">
      <c r="A44">
        <v>12</v>
      </c>
      <c r="B44" t="s">
        <v>953</v>
      </c>
      <c r="C44" t="s">
        <v>953</v>
      </c>
      <c r="D44" t="s">
        <v>860</v>
      </c>
      <c r="E44" t="s">
        <v>954</v>
      </c>
      <c r="F44" t="s">
        <v>955</v>
      </c>
      <c r="G44">
        <v>572</v>
      </c>
      <c r="H44">
        <v>542</v>
      </c>
      <c r="I44">
        <v>540</v>
      </c>
      <c r="J44" t="s">
        <v>944</v>
      </c>
      <c r="K44" t="s">
        <v>868</v>
      </c>
    </row>
    <row r="45" spans="1:11">
      <c r="A45">
        <v>12</v>
      </c>
      <c r="B45" t="s">
        <v>953</v>
      </c>
      <c r="C45" t="s">
        <v>953</v>
      </c>
      <c r="D45" t="s">
        <v>882</v>
      </c>
      <c r="E45" t="s">
        <v>956</v>
      </c>
      <c r="F45" t="s">
        <v>957</v>
      </c>
      <c r="G45">
        <v>496</v>
      </c>
      <c r="H45">
        <v>466</v>
      </c>
      <c r="I45">
        <v>450</v>
      </c>
      <c r="J45" t="s">
        <v>944</v>
      </c>
      <c r="K45" t="s">
        <v>868</v>
      </c>
    </row>
    <row r="46" spans="1:11">
      <c r="A46">
        <v>12</v>
      </c>
      <c r="B46" t="s">
        <v>953</v>
      </c>
      <c r="C46" t="s">
        <v>953</v>
      </c>
      <c r="D46" t="s">
        <v>864</v>
      </c>
      <c r="E46" t="s">
        <v>958</v>
      </c>
      <c r="F46" t="s">
        <v>959</v>
      </c>
      <c r="G46">
        <v>547</v>
      </c>
      <c r="H46">
        <v>517</v>
      </c>
      <c r="I46">
        <v>510</v>
      </c>
      <c r="J46" t="s">
        <v>944</v>
      </c>
      <c r="K46" t="s">
        <v>868</v>
      </c>
    </row>
    <row r="47" spans="1:11">
      <c r="A47">
        <v>16</v>
      </c>
      <c r="B47" t="s">
        <v>923</v>
      </c>
      <c r="C47" t="s">
        <v>923</v>
      </c>
      <c r="D47" t="s">
        <v>860</v>
      </c>
      <c r="E47" t="s">
        <v>960</v>
      </c>
      <c r="J47" t="s">
        <v>946</v>
      </c>
      <c r="K47" t="s">
        <v>863</v>
      </c>
    </row>
    <row r="48" spans="1:11">
      <c r="A48">
        <v>16</v>
      </c>
      <c r="B48" t="s">
        <v>923</v>
      </c>
      <c r="C48" t="s">
        <v>923</v>
      </c>
      <c r="D48" t="s">
        <v>882</v>
      </c>
      <c r="E48" t="s">
        <v>961</v>
      </c>
      <c r="J48" t="s">
        <v>946</v>
      </c>
      <c r="K48" t="s">
        <v>863</v>
      </c>
    </row>
    <row r="49" spans="1:11">
      <c r="A49">
        <v>16</v>
      </c>
      <c r="B49" t="s">
        <v>923</v>
      </c>
      <c r="C49" t="s">
        <v>923</v>
      </c>
      <c r="D49" t="s">
        <v>864</v>
      </c>
      <c r="E49" t="s">
        <v>962</v>
      </c>
      <c r="F49" t="s">
        <v>963</v>
      </c>
      <c r="G49">
        <v>618</v>
      </c>
      <c r="H49">
        <v>588</v>
      </c>
      <c r="I49">
        <v>570</v>
      </c>
      <c r="J49" t="s">
        <v>944</v>
      </c>
      <c r="K49" t="s">
        <v>868</v>
      </c>
    </row>
    <row r="50" spans="1:11">
      <c r="A50">
        <v>13</v>
      </c>
      <c r="B50" t="s">
        <v>964</v>
      </c>
      <c r="C50" t="s">
        <v>965</v>
      </c>
      <c r="D50" t="s">
        <v>860</v>
      </c>
      <c r="E50" t="s">
        <v>966</v>
      </c>
      <c r="F50" t="s">
        <v>967</v>
      </c>
      <c r="G50">
        <v>601</v>
      </c>
      <c r="H50">
        <v>571</v>
      </c>
      <c r="I50">
        <v>570</v>
      </c>
      <c r="J50" t="s">
        <v>944</v>
      </c>
      <c r="K50" t="s">
        <v>868</v>
      </c>
    </row>
    <row r="51" spans="1:11">
      <c r="A51">
        <v>13</v>
      </c>
      <c r="B51" t="s">
        <v>964</v>
      </c>
      <c r="C51" t="s">
        <v>965</v>
      </c>
      <c r="D51" t="s">
        <v>882</v>
      </c>
      <c r="E51" t="s">
        <v>938</v>
      </c>
      <c r="F51" t="s">
        <v>968</v>
      </c>
      <c r="G51">
        <v>615</v>
      </c>
      <c r="H51">
        <v>585</v>
      </c>
      <c r="I51">
        <v>570</v>
      </c>
      <c r="J51" t="s">
        <v>944</v>
      </c>
      <c r="K51" t="s">
        <v>868</v>
      </c>
    </row>
    <row r="52" spans="1:11">
      <c r="A52">
        <v>13</v>
      </c>
      <c r="B52" t="s">
        <v>964</v>
      </c>
      <c r="C52" t="s">
        <v>965</v>
      </c>
      <c r="D52" t="s">
        <v>864</v>
      </c>
      <c r="E52" t="s">
        <v>969</v>
      </c>
      <c r="F52" t="s">
        <v>970</v>
      </c>
      <c r="G52">
        <v>612</v>
      </c>
      <c r="H52">
        <v>582</v>
      </c>
      <c r="I52">
        <v>570</v>
      </c>
      <c r="J52" t="s">
        <v>944</v>
      </c>
      <c r="K52" t="s">
        <v>868</v>
      </c>
    </row>
    <row r="53" spans="1:11">
      <c r="A53">
        <v>14</v>
      </c>
      <c r="B53" t="s">
        <v>971</v>
      </c>
      <c r="C53" t="s">
        <v>971</v>
      </c>
      <c r="D53" t="s">
        <v>860</v>
      </c>
      <c r="E53" t="s">
        <v>972</v>
      </c>
      <c r="F53" t="s">
        <v>973</v>
      </c>
      <c r="G53">
        <v>592</v>
      </c>
      <c r="H53">
        <v>562</v>
      </c>
      <c r="I53">
        <v>540</v>
      </c>
      <c r="J53" t="s">
        <v>944</v>
      </c>
      <c r="K53" t="s">
        <v>868</v>
      </c>
    </row>
    <row r="54" spans="1:11">
      <c r="A54">
        <v>14</v>
      </c>
      <c r="B54" t="s">
        <v>971</v>
      </c>
      <c r="C54" t="s">
        <v>971</v>
      </c>
      <c r="D54" t="s">
        <v>882</v>
      </c>
      <c r="E54" t="s">
        <v>974</v>
      </c>
      <c r="F54" t="s">
        <v>975</v>
      </c>
      <c r="G54">
        <v>597</v>
      </c>
      <c r="H54">
        <v>567</v>
      </c>
      <c r="I54">
        <v>540</v>
      </c>
      <c r="J54" t="s">
        <v>944</v>
      </c>
      <c r="K54" t="s">
        <v>868</v>
      </c>
    </row>
    <row r="55" spans="1:11">
      <c r="A55">
        <v>14</v>
      </c>
      <c r="B55" t="s">
        <v>971</v>
      </c>
      <c r="C55" t="s">
        <v>971</v>
      </c>
      <c r="D55" t="s">
        <v>864</v>
      </c>
      <c r="E55" t="s">
        <v>976</v>
      </c>
      <c r="F55" t="s">
        <v>977</v>
      </c>
      <c r="G55">
        <v>607</v>
      </c>
      <c r="H55">
        <v>577</v>
      </c>
      <c r="I55">
        <v>570</v>
      </c>
      <c r="J55" t="s">
        <v>944</v>
      </c>
      <c r="K55" t="s">
        <v>868</v>
      </c>
    </row>
    <row r="56" spans="1:11">
      <c r="A56">
        <v>19</v>
      </c>
      <c r="B56" t="s">
        <v>978</v>
      </c>
      <c r="C56" t="s">
        <v>978</v>
      </c>
      <c r="D56" t="s">
        <v>860</v>
      </c>
      <c r="E56" t="s">
        <v>979</v>
      </c>
      <c r="F56" t="s">
        <v>980</v>
      </c>
      <c r="G56">
        <v>535</v>
      </c>
      <c r="H56">
        <v>505</v>
      </c>
      <c r="I56">
        <v>480</v>
      </c>
      <c r="J56" t="s">
        <v>944</v>
      </c>
      <c r="K56" t="s">
        <v>868</v>
      </c>
    </row>
    <row r="57" spans="1:11">
      <c r="A57">
        <v>19</v>
      </c>
      <c r="B57" t="s">
        <v>978</v>
      </c>
      <c r="C57" t="s">
        <v>978</v>
      </c>
      <c r="D57" t="s">
        <v>882</v>
      </c>
      <c r="E57" t="s">
        <v>981</v>
      </c>
      <c r="F57" t="s">
        <v>982</v>
      </c>
      <c r="G57">
        <v>538</v>
      </c>
      <c r="H57">
        <v>508</v>
      </c>
      <c r="I57">
        <v>480</v>
      </c>
      <c r="J57" t="s">
        <v>944</v>
      </c>
      <c r="K57" t="s">
        <v>868</v>
      </c>
    </row>
    <row r="58" spans="1:11">
      <c r="A58">
        <v>19</v>
      </c>
      <c r="B58" t="s">
        <v>978</v>
      </c>
      <c r="C58" t="s">
        <v>978</v>
      </c>
      <c r="D58" t="s">
        <v>864</v>
      </c>
      <c r="E58" t="s">
        <v>983</v>
      </c>
      <c r="J58" t="s">
        <v>946</v>
      </c>
      <c r="K58" t="s">
        <v>863</v>
      </c>
    </row>
    <row r="59" spans="1:11">
      <c r="A59">
        <v>20</v>
      </c>
      <c r="B59" t="s">
        <v>984</v>
      </c>
      <c r="C59" t="s">
        <v>984</v>
      </c>
      <c r="D59" t="s">
        <v>860</v>
      </c>
      <c r="E59" t="s">
        <v>985</v>
      </c>
      <c r="F59" t="s">
        <v>967</v>
      </c>
      <c r="G59">
        <v>599</v>
      </c>
      <c r="H59">
        <v>569</v>
      </c>
      <c r="I59">
        <v>540</v>
      </c>
      <c r="J59" t="s">
        <v>944</v>
      </c>
      <c r="K59" t="s">
        <v>868</v>
      </c>
    </row>
    <row r="60" spans="1:11">
      <c r="A60">
        <v>20</v>
      </c>
      <c r="B60" t="s">
        <v>984</v>
      </c>
      <c r="C60" t="s">
        <v>984</v>
      </c>
      <c r="D60" t="s">
        <v>882</v>
      </c>
      <c r="E60" t="s">
        <v>981</v>
      </c>
      <c r="F60" t="s">
        <v>986</v>
      </c>
      <c r="G60">
        <v>597</v>
      </c>
      <c r="H60">
        <v>567</v>
      </c>
      <c r="I60">
        <v>540</v>
      </c>
      <c r="J60" t="s">
        <v>944</v>
      </c>
      <c r="K60" t="s">
        <v>868</v>
      </c>
    </row>
    <row r="61" spans="1:11">
      <c r="A61">
        <v>20</v>
      </c>
      <c r="B61" t="s">
        <v>984</v>
      </c>
      <c r="C61" t="s">
        <v>984</v>
      </c>
      <c r="D61" t="s">
        <v>864</v>
      </c>
      <c r="E61" t="s">
        <v>987</v>
      </c>
      <c r="F61" t="s">
        <v>988</v>
      </c>
      <c r="G61">
        <v>628</v>
      </c>
      <c r="H61">
        <v>598</v>
      </c>
      <c r="I61">
        <v>570</v>
      </c>
      <c r="J61" t="s">
        <v>944</v>
      </c>
      <c r="K61" t="s">
        <v>868</v>
      </c>
    </row>
    <row r="62" spans="1:11">
      <c r="A62">
        <v>22</v>
      </c>
      <c r="B62" t="s">
        <v>399</v>
      </c>
      <c r="C62" t="s">
        <v>989</v>
      </c>
      <c r="D62" t="s">
        <v>860</v>
      </c>
      <c r="E62" t="s">
        <v>972</v>
      </c>
      <c r="F62" t="s">
        <v>967</v>
      </c>
      <c r="G62">
        <v>600</v>
      </c>
      <c r="H62">
        <v>570</v>
      </c>
      <c r="I62">
        <v>570</v>
      </c>
      <c r="J62" t="s">
        <v>944</v>
      </c>
      <c r="K62" t="s">
        <v>868</v>
      </c>
    </row>
    <row r="63" spans="1:11">
      <c r="A63">
        <v>22</v>
      </c>
      <c r="B63" t="s">
        <v>399</v>
      </c>
      <c r="C63" t="s">
        <v>989</v>
      </c>
      <c r="D63" t="s">
        <v>882</v>
      </c>
      <c r="E63" t="s">
        <v>974</v>
      </c>
      <c r="F63" t="s">
        <v>975</v>
      </c>
      <c r="G63">
        <v>598</v>
      </c>
      <c r="H63">
        <v>568</v>
      </c>
      <c r="I63">
        <v>540</v>
      </c>
      <c r="J63" t="s">
        <v>944</v>
      </c>
      <c r="K63" t="s">
        <v>868</v>
      </c>
    </row>
    <row r="64" spans="1:11">
      <c r="A64">
        <v>22</v>
      </c>
      <c r="B64" t="s">
        <v>399</v>
      </c>
      <c r="C64" t="s">
        <v>989</v>
      </c>
      <c r="D64" t="s">
        <v>864</v>
      </c>
      <c r="E64" t="s">
        <v>976</v>
      </c>
      <c r="F64" t="s">
        <v>977</v>
      </c>
      <c r="G64">
        <v>607</v>
      </c>
      <c r="H64">
        <v>577</v>
      </c>
      <c r="I64">
        <v>570</v>
      </c>
      <c r="J64" t="s">
        <v>944</v>
      </c>
      <c r="K64" t="s">
        <v>868</v>
      </c>
    </row>
    <row r="65" spans="1:11">
      <c r="A65">
        <v>23</v>
      </c>
      <c r="B65" t="s">
        <v>990</v>
      </c>
      <c r="C65" t="s">
        <v>990</v>
      </c>
      <c r="D65" t="s">
        <v>860</v>
      </c>
      <c r="E65" t="s">
        <v>991</v>
      </c>
      <c r="F65" t="s">
        <v>992</v>
      </c>
      <c r="G65">
        <v>476</v>
      </c>
      <c r="H65">
        <v>446</v>
      </c>
      <c r="I65">
        <v>420</v>
      </c>
      <c r="J65" t="s">
        <v>944</v>
      </c>
      <c r="K65" t="s">
        <v>868</v>
      </c>
    </row>
    <row r="66" spans="1:11">
      <c r="A66">
        <v>23</v>
      </c>
      <c r="B66" t="s">
        <v>990</v>
      </c>
      <c r="C66" t="s">
        <v>990</v>
      </c>
      <c r="D66" t="s">
        <v>882</v>
      </c>
      <c r="E66" t="s">
        <v>925</v>
      </c>
      <c r="F66" t="s">
        <v>993</v>
      </c>
      <c r="G66">
        <v>600</v>
      </c>
      <c r="H66">
        <v>570</v>
      </c>
      <c r="I66">
        <v>570</v>
      </c>
      <c r="J66" t="s">
        <v>944</v>
      </c>
      <c r="K66" t="s">
        <v>868</v>
      </c>
    </row>
    <row r="67" spans="1:11">
      <c r="A67">
        <v>23</v>
      </c>
      <c r="B67" t="s">
        <v>990</v>
      </c>
      <c r="C67" t="s">
        <v>990</v>
      </c>
      <c r="D67" t="s">
        <v>864</v>
      </c>
      <c r="E67" t="s">
        <v>969</v>
      </c>
      <c r="F67" t="s">
        <v>963</v>
      </c>
      <c r="G67">
        <v>604</v>
      </c>
      <c r="H67">
        <v>574</v>
      </c>
      <c r="I67">
        <v>570</v>
      </c>
      <c r="J67" t="s">
        <v>944</v>
      </c>
      <c r="K67" t="s">
        <v>868</v>
      </c>
    </row>
    <row r="68" spans="1:11">
      <c r="A68">
        <v>24</v>
      </c>
      <c r="B68" t="s">
        <v>994</v>
      </c>
      <c r="C68" t="s">
        <v>995</v>
      </c>
      <c r="D68" t="s">
        <v>860</v>
      </c>
      <c r="E68" t="s">
        <v>948</v>
      </c>
      <c r="F68" t="s">
        <v>949</v>
      </c>
      <c r="G68">
        <v>597</v>
      </c>
      <c r="H68">
        <v>567</v>
      </c>
      <c r="I68">
        <v>540</v>
      </c>
      <c r="J68" t="s">
        <v>944</v>
      </c>
      <c r="K68" t="s">
        <v>868</v>
      </c>
    </row>
    <row r="69" spans="1:11">
      <c r="A69">
        <v>24</v>
      </c>
      <c r="B69" t="s">
        <v>994</v>
      </c>
      <c r="C69" t="s">
        <v>995</v>
      </c>
      <c r="D69" t="s">
        <v>882</v>
      </c>
      <c r="E69" t="s">
        <v>981</v>
      </c>
      <c r="F69" t="s">
        <v>950</v>
      </c>
      <c r="G69">
        <v>600</v>
      </c>
      <c r="H69">
        <v>570</v>
      </c>
      <c r="I69">
        <v>570</v>
      </c>
      <c r="J69" t="s">
        <v>944</v>
      </c>
      <c r="K69" t="s">
        <v>868</v>
      </c>
    </row>
    <row r="70" spans="1:11">
      <c r="A70">
        <v>24</v>
      </c>
      <c r="B70" t="s">
        <v>994</v>
      </c>
      <c r="C70" t="s">
        <v>995</v>
      </c>
      <c r="D70" t="s">
        <v>864</v>
      </c>
      <c r="E70" t="s">
        <v>996</v>
      </c>
      <c r="F70" t="s">
        <v>997</v>
      </c>
      <c r="G70">
        <v>609</v>
      </c>
      <c r="H70">
        <v>579</v>
      </c>
      <c r="I70">
        <v>570</v>
      </c>
      <c r="J70" t="s">
        <v>944</v>
      </c>
      <c r="K70" t="s">
        <v>868</v>
      </c>
    </row>
    <row r="71" spans="1:11">
      <c r="A71">
        <v>25</v>
      </c>
      <c r="B71" t="s">
        <v>998</v>
      </c>
      <c r="C71" t="s">
        <v>998</v>
      </c>
      <c r="D71" t="s">
        <v>860</v>
      </c>
      <c r="E71" t="s">
        <v>999</v>
      </c>
      <c r="F71" t="s">
        <v>1000</v>
      </c>
      <c r="G71">
        <v>486</v>
      </c>
      <c r="H71">
        <v>456</v>
      </c>
      <c r="I71">
        <v>450</v>
      </c>
      <c r="J71" t="s">
        <v>944</v>
      </c>
      <c r="K71" t="s">
        <v>868</v>
      </c>
    </row>
    <row r="72" spans="1:11">
      <c r="A72">
        <v>25</v>
      </c>
      <c r="B72" t="s">
        <v>998</v>
      </c>
      <c r="C72" t="s">
        <v>998</v>
      </c>
      <c r="D72" t="s">
        <v>882</v>
      </c>
      <c r="E72" t="s">
        <v>1001</v>
      </c>
      <c r="F72" t="s">
        <v>957</v>
      </c>
      <c r="G72">
        <v>578</v>
      </c>
      <c r="H72">
        <v>548</v>
      </c>
      <c r="I72">
        <v>540</v>
      </c>
      <c r="J72" t="s">
        <v>944</v>
      </c>
      <c r="K72" t="s">
        <v>868</v>
      </c>
    </row>
    <row r="73" spans="1:11">
      <c r="A73">
        <v>25</v>
      </c>
      <c r="B73" t="s">
        <v>998</v>
      </c>
      <c r="C73" t="s">
        <v>998</v>
      </c>
      <c r="D73" t="s">
        <v>864</v>
      </c>
      <c r="E73" t="s">
        <v>1002</v>
      </c>
      <c r="F73" t="s">
        <v>1003</v>
      </c>
      <c r="G73">
        <v>605</v>
      </c>
      <c r="H73">
        <v>575</v>
      </c>
      <c r="I73">
        <v>570</v>
      </c>
      <c r="J73" t="s">
        <v>944</v>
      </c>
      <c r="K73" t="s">
        <v>868</v>
      </c>
    </row>
    <row r="74" spans="1:11">
      <c r="A74">
        <v>29</v>
      </c>
      <c r="B74" t="s">
        <v>1004</v>
      </c>
      <c r="C74" t="s">
        <v>1005</v>
      </c>
      <c r="D74" t="s">
        <v>860</v>
      </c>
      <c r="E74" t="s">
        <v>1006</v>
      </c>
      <c r="F74" t="s">
        <v>1007</v>
      </c>
      <c r="G74">
        <v>612</v>
      </c>
      <c r="H74">
        <v>582</v>
      </c>
      <c r="I74">
        <v>570</v>
      </c>
      <c r="J74" t="s">
        <v>944</v>
      </c>
      <c r="K74" t="s">
        <v>868</v>
      </c>
    </row>
    <row r="75" spans="1:11">
      <c r="A75">
        <v>29</v>
      </c>
      <c r="B75" t="s">
        <v>1004</v>
      </c>
      <c r="C75" t="s">
        <v>1005</v>
      </c>
      <c r="D75" t="s">
        <v>882</v>
      </c>
      <c r="E75" t="s">
        <v>1008</v>
      </c>
      <c r="F75" t="s">
        <v>993</v>
      </c>
      <c r="G75">
        <v>609</v>
      </c>
      <c r="H75">
        <v>579</v>
      </c>
      <c r="I75">
        <v>570</v>
      </c>
      <c r="J75" t="s">
        <v>944</v>
      </c>
      <c r="K75" t="s">
        <v>868</v>
      </c>
    </row>
    <row r="76" spans="1:11">
      <c r="A76">
        <v>29</v>
      </c>
      <c r="B76" t="s">
        <v>1004</v>
      </c>
      <c r="C76" t="s">
        <v>1005</v>
      </c>
      <c r="D76" t="s">
        <v>864</v>
      </c>
      <c r="E76" t="s">
        <v>1009</v>
      </c>
      <c r="F76" t="s">
        <v>963</v>
      </c>
      <c r="G76">
        <v>604</v>
      </c>
      <c r="H76">
        <v>574</v>
      </c>
      <c r="I76">
        <v>570</v>
      </c>
      <c r="J76" t="s">
        <v>944</v>
      </c>
      <c r="K76" t="s">
        <v>868</v>
      </c>
    </row>
    <row r="77" spans="1:11">
      <c r="A77">
        <v>31</v>
      </c>
      <c r="B77" t="s">
        <v>1010</v>
      </c>
      <c r="C77" t="s">
        <v>1010</v>
      </c>
      <c r="D77" t="s">
        <v>860</v>
      </c>
      <c r="E77" t="s">
        <v>1011</v>
      </c>
      <c r="F77" t="s">
        <v>1012</v>
      </c>
      <c r="G77">
        <v>611</v>
      </c>
      <c r="H77">
        <v>581</v>
      </c>
      <c r="I77">
        <v>570</v>
      </c>
      <c r="J77" t="s">
        <v>944</v>
      </c>
      <c r="K77" t="s">
        <v>868</v>
      </c>
    </row>
    <row r="78" spans="1:11">
      <c r="A78">
        <v>31</v>
      </c>
      <c r="B78" t="s">
        <v>1010</v>
      </c>
      <c r="C78" t="s">
        <v>1010</v>
      </c>
      <c r="D78" t="s">
        <v>882</v>
      </c>
      <c r="E78" t="s">
        <v>1013</v>
      </c>
      <c r="F78" t="s">
        <v>950</v>
      </c>
      <c r="G78">
        <v>612</v>
      </c>
      <c r="H78">
        <v>582</v>
      </c>
      <c r="I78">
        <v>570</v>
      </c>
      <c r="J78" t="s">
        <v>944</v>
      </c>
      <c r="K78" t="s">
        <v>868</v>
      </c>
    </row>
    <row r="79" spans="1:11">
      <c r="A79">
        <v>31</v>
      </c>
      <c r="B79" t="s">
        <v>1010</v>
      </c>
      <c r="C79" t="s">
        <v>1010</v>
      </c>
      <c r="D79" t="s">
        <v>864</v>
      </c>
      <c r="E79" t="s">
        <v>1014</v>
      </c>
      <c r="F79" t="s">
        <v>952</v>
      </c>
      <c r="G79">
        <v>607</v>
      </c>
      <c r="H79">
        <v>577</v>
      </c>
      <c r="I79">
        <v>570</v>
      </c>
      <c r="J79" t="s">
        <v>944</v>
      </c>
      <c r="K79" t="s">
        <v>868</v>
      </c>
    </row>
    <row r="80" spans="1:11">
      <c r="A80">
        <v>33</v>
      </c>
      <c r="B80" t="s">
        <v>406</v>
      </c>
      <c r="C80" t="s">
        <v>1015</v>
      </c>
      <c r="D80" t="s">
        <v>860</v>
      </c>
      <c r="E80" t="s">
        <v>1016</v>
      </c>
      <c r="F80" t="s">
        <v>1007</v>
      </c>
      <c r="G80">
        <v>612</v>
      </c>
      <c r="H80">
        <v>582</v>
      </c>
      <c r="I80">
        <v>570</v>
      </c>
      <c r="J80" t="s">
        <v>944</v>
      </c>
      <c r="K80" t="s">
        <v>868</v>
      </c>
    </row>
    <row r="81" spans="1:11">
      <c r="A81">
        <v>33</v>
      </c>
      <c r="B81" t="s">
        <v>406</v>
      </c>
      <c r="C81" t="s">
        <v>1015</v>
      </c>
      <c r="D81" t="s">
        <v>882</v>
      </c>
      <c r="E81" t="s">
        <v>1017</v>
      </c>
      <c r="F81" t="s">
        <v>993</v>
      </c>
      <c r="G81">
        <v>609</v>
      </c>
      <c r="H81">
        <v>579</v>
      </c>
      <c r="I81">
        <v>570</v>
      </c>
      <c r="J81" t="s">
        <v>944</v>
      </c>
      <c r="K81" t="s">
        <v>868</v>
      </c>
    </row>
    <row r="82" spans="1:11">
      <c r="A82">
        <v>33</v>
      </c>
      <c r="B82" t="s">
        <v>406</v>
      </c>
      <c r="C82" t="s">
        <v>1015</v>
      </c>
      <c r="D82" t="s">
        <v>864</v>
      </c>
      <c r="E82" t="s">
        <v>969</v>
      </c>
      <c r="F82" t="s">
        <v>963</v>
      </c>
      <c r="G82">
        <v>604</v>
      </c>
      <c r="H82">
        <v>574</v>
      </c>
      <c r="I82">
        <v>570</v>
      </c>
      <c r="J82" t="s">
        <v>944</v>
      </c>
      <c r="K82" t="s">
        <v>868</v>
      </c>
    </row>
    <row r="83" spans="1:11">
      <c r="A83">
        <v>47</v>
      </c>
      <c r="B83" t="s">
        <v>926</v>
      </c>
      <c r="C83" t="s">
        <v>926</v>
      </c>
      <c r="D83" t="s">
        <v>864</v>
      </c>
      <c r="E83" t="s">
        <v>962</v>
      </c>
      <c r="F83" t="s">
        <v>963</v>
      </c>
      <c r="G83">
        <v>618</v>
      </c>
      <c r="H83">
        <v>588</v>
      </c>
      <c r="I83">
        <v>570</v>
      </c>
      <c r="J83" t="s">
        <v>944</v>
      </c>
      <c r="K83" t="s">
        <v>868</v>
      </c>
    </row>
    <row r="84" spans="1:11">
      <c r="A84">
        <v>53</v>
      </c>
      <c r="B84" t="s">
        <v>1018</v>
      </c>
      <c r="C84" t="s">
        <v>1018</v>
      </c>
      <c r="D84" t="s">
        <v>882</v>
      </c>
      <c r="E84" t="s">
        <v>1019</v>
      </c>
      <c r="F84" t="s">
        <v>986</v>
      </c>
      <c r="G84">
        <v>605</v>
      </c>
      <c r="H84">
        <v>575</v>
      </c>
      <c r="I84">
        <v>570</v>
      </c>
      <c r="J84" t="s">
        <v>944</v>
      </c>
      <c r="K84" t="s">
        <v>868</v>
      </c>
    </row>
    <row r="85" spans="1:11">
      <c r="A85">
        <v>53</v>
      </c>
      <c r="B85" t="s">
        <v>1018</v>
      </c>
      <c r="C85" t="s">
        <v>1018</v>
      </c>
      <c r="D85" t="s">
        <v>864</v>
      </c>
      <c r="E85" t="s">
        <v>996</v>
      </c>
      <c r="F85" t="s">
        <v>1020</v>
      </c>
      <c r="G85">
        <v>608</v>
      </c>
      <c r="H85">
        <v>578</v>
      </c>
      <c r="I85">
        <v>570</v>
      </c>
      <c r="J85" t="s">
        <v>944</v>
      </c>
      <c r="K85" t="s">
        <v>868</v>
      </c>
    </row>
    <row r="86" spans="1:11">
      <c r="A86">
        <v>66</v>
      </c>
      <c r="B86" t="s">
        <v>1021</v>
      </c>
      <c r="C86" t="s">
        <v>1021</v>
      </c>
      <c r="D86" t="s">
        <v>860</v>
      </c>
      <c r="E86" t="s">
        <v>1022</v>
      </c>
      <c r="F86" t="s">
        <v>1023</v>
      </c>
      <c r="G86">
        <v>619</v>
      </c>
      <c r="H86">
        <v>589</v>
      </c>
      <c r="I86">
        <v>570</v>
      </c>
      <c r="J86" t="s">
        <v>944</v>
      </c>
      <c r="K86" t="s">
        <v>868</v>
      </c>
    </row>
    <row r="87" spans="1:11">
      <c r="A87">
        <v>66</v>
      </c>
      <c r="B87" t="s">
        <v>1021</v>
      </c>
      <c r="C87" t="s">
        <v>1021</v>
      </c>
      <c r="D87" t="s">
        <v>882</v>
      </c>
      <c r="E87" t="s">
        <v>1024</v>
      </c>
      <c r="F87" t="s">
        <v>1025</v>
      </c>
      <c r="G87">
        <v>631</v>
      </c>
      <c r="H87">
        <v>601</v>
      </c>
      <c r="I87">
        <v>600</v>
      </c>
      <c r="J87" t="s">
        <v>944</v>
      </c>
      <c r="K87" t="s">
        <v>868</v>
      </c>
    </row>
    <row r="88" spans="1:11">
      <c r="A88">
        <v>66</v>
      </c>
      <c r="B88" t="s">
        <v>1021</v>
      </c>
      <c r="C88" t="s">
        <v>1021</v>
      </c>
      <c r="D88" t="s">
        <v>864</v>
      </c>
      <c r="E88" t="s">
        <v>1026</v>
      </c>
      <c r="F88" t="s">
        <v>1027</v>
      </c>
      <c r="G88">
        <v>636</v>
      </c>
      <c r="H88">
        <v>606</v>
      </c>
      <c r="I88">
        <v>600</v>
      </c>
      <c r="J88" t="s">
        <v>944</v>
      </c>
      <c r="K88" t="s">
        <v>868</v>
      </c>
    </row>
    <row r="89" spans="1:11">
      <c r="A89">
        <v>67</v>
      </c>
      <c r="B89" t="s">
        <v>1028</v>
      </c>
      <c r="C89" t="s">
        <v>1028</v>
      </c>
      <c r="D89" t="s">
        <v>860</v>
      </c>
      <c r="E89" t="s">
        <v>1011</v>
      </c>
      <c r="F89" t="s">
        <v>1012</v>
      </c>
      <c r="G89">
        <v>611</v>
      </c>
      <c r="H89">
        <v>581</v>
      </c>
      <c r="I89">
        <v>570</v>
      </c>
      <c r="J89" t="s">
        <v>944</v>
      </c>
      <c r="K89" t="s">
        <v>868</v>
      </c>
    </row>
    <row r="90" spans="1:11">
      <c r="A90">
        <v>67</v>
      </c>
      <c r="B90" t="s">
        <v>1028</v>
      </c>
      <c r="C90" t="s">
        <v>1028</v>
      </c>
      <c r="D90" t="s">
        <v>882</v>
      </c>
      <c r="E90" t="s">
        <v>1029</v>
      </c>
      <c r="F90" t="s">
        <v>961</v>
      </c>
      <c r="G90">
        <v>608</v>
      </c>
      <c r="H90">
        <v>578</v>
      </c>
      <c r="I90">
        <v>570</v>
      </c>
      <c r="J90" t="s">
        <v>944</v>
      </c>
      <c r="K90" t="s">
        <v>868</v>
      </c>
    </row>
    <row r="91" spans="1:11">
      <c r="A91">
        <v>81</v>
      </c>
      <c r="B91" t="s">
        <v>1030</v>
      </c>
      <c r="C91" t="s">
        <v>1030</v>
      </c>
      <c r="D91" t="s">
        <v>860</v>
      </c>
      <c r="E91" t="s">
        <v>1031</v>
      </c>
      <c r="F91" t="s">
        <v>1032</v>
      </c>
      <c r="G91">
        <v>604</v>
      </c>
      <c r="H91">
        <v>574</v>
      </c>
      <c r="I91">
        <v>570</v>
      </c>
      <c r="J91" t="s">
        <v>944</v>
      </c>
      <c r="K91" t="s">
        <v>868</v>
      </c>
    </row>
    <row r="92" spans="1:11">
      <c r="A92">
        <v>81</v>
      </c>
      <c r="B92" t="s">
        <v>1030</v>
      </c>
      <c r="C92" t="s">
        <v>1030</v>
      </c>
      <c r="D92" t="s">
        <v>882</v>
      </c>
      <c r="E92" t="s">
        <v>1033</v>
      </c>
      <c r="F92" t="s">
        <v>950</v>
      </c>
      <c r="G92">
        <v>593</v>
      </c>
      <c r="H92">
        <v>563</v>
      </c>
      <c r="I92">
        <v>540</v>
      </c>
      <c r="J92" t="s">
        <v>944</v>
      </c>
      <c r="K92" t="s">
        <v>868</v>
      </c>
    </row>
    <row r="93" spans="1:11">
      <c r="A93">
        <v>81</v>
      </c>
      <c r="B93" t="s">
        <v>1030</v>
      </c>
      <c r="C93" t="s">
        <v>1030</v>
      </c>
      <c r="D93" t="s">
        <v>864</v>
      </c>
      <c r="E93" t="s">
        <v>1034</v>
      </c>
      <c r="F93" t="s">
        <v>1035</v>
      </c>
      <c r="G93">
        <v>591</v>
      </c>
      <c r="H93">
        <v>561</v>
      </c>
      <c r="I93">
        <v>540</v>
      </c>
      <c r="J93" t="s">
        <v>944</v>
      </c>
      <c r="K93" t="s">
        <v>868</v>
      </c>
    </row>
    <row r="94" spans="1:11">
      <c r="A94">
        <v>83</v>
      </c>
      <c r="B94" t="s">
        <v>1036</v>
      </c>
      <c r="C94" t="s">
        <v>1036</v>
      </c>
      <c r="D94" t="s">
        <v>860</v>
      </c>
      <c r="E94" t="s">
        <v>1037</v>
      </c>
      <c r="F94" t="s">
        <v>967</v>
      </c>
      <c r="G94">
        <v>610</v>
      </c>
      <c r="H94">
        <v>580</v>
      </c>
      <c r="I94">
        <v>570</v>
      </c>
      <c r="J94" t="s">
        <v>944</v>
      </c>
      <c r="K94" t="s">
        <v>868</v>
      </c>
    </row>
    <row r="95" spans="1:11">
      <c r="A95">
        <v>83</v>
      </c>
      <c r="B95" t="s">
        <v>1036</v>
      </c>
      <c r="C95" t="s">
        <v>1036</v>
      </c>
      <c r="D95" t="s">
        <v>882</v>
      </c>
      <c r="E95" t="s">
        <v>1038</v>
      </c>
      <c r="F95" t="s">
        <v>1039</v>
      </c>
      <c r="G95">
        <v>614</v>
      </c>
      <c r="H95">
        <v>584</v>
      </c>
      <c r="I95">
        <v>570</v>
      </c>
      <c r="J95" t="s">
        <v>944</v>
      </c>
      <c r="K95" t="s">
        <v>868</v>
      </c>
    </row>
    <row r="96" spans="1:11">
      <c r="A96">
        <v>89</v>
      </c>
      <c r="B96" t="s">
        <v>1040</v>
      </c>
      <c r="C96" t="s">
        <v>1041</v>
      </c>
      <c r="D96" t="s">
        <v>860</v>
      </c>
      <c r="E96" t="s">
        <v>960</v>
      </c>
      <c r="F96" t="s">
        <v>1042</v>
      </c>
      <c r="G96">
        <v>494</v>
      </c>
      <c r="H96">
        <v>464</v>
      </c>
      <c r="I96">
        <v>450</v>
      </c>
      <c r="J96" t="s">
        <v>944</v>
      </c>
      <c r="K96" t="s">
        <v>868</v>
      </c>
    </row>
    <row r="97" spans="1:11">
      <c r="A97">
        <v>89</v>
      </c>
      <c r="B97" t="s">
        <v>1040</v>
      </c>
      <c r="C97" t="s">
        <v>1041</v>
      </c>
      <c r="D97" t="s">
        <v>882</v>
      </c>
      <c r="E97" t="s">
        <v>1043</v>
      </c>
      <c r="J97" t="s">
        <v>946</v>
      </c>
      <c r="K97" t="s">
        <v>863</v>
      </c>
    </row>
    <row r="98" spans="1:11">
      <c r="A98">
        <v>89</v>
      </c>
      <c r="B98" t="s">
        <v>1040</v>
      </c>
      <c r="C98" t="s">
        <v>1041</v>
      </c>
      <c r="D98" t="s">
        <v>864</v>
      </c>
      <c r="E98" t="s">
        <v>976</v>
      </c>
      <c r="F98" t="s">
        <v>977</v>
      </c>
      <c r="G98">
        <v>607</v>
      </c>
      <c r="H98">
        <v>577</v>
      </c>
      <c r="I98">
        <v>570</v>
      </c>
      <c r="J98" t="s">
        <v>944</v>
      </c>
      <c r="K98" t="s">
        <v>868</v>
      </c>
    </row>
    <row r="99" spans="1:11">
      <c r="A99">
        <v>92</v>
      </c>
      <c r="B99" t="s">
        <v>1044</v>
      </c>
      <c r="C99" t="s">
        <v>1044</v>
      </c>
      <c r="D99" t="s">
        <v>860</v>
      </c>
      <c r="E99" t="s">
        <v>1045</v>
      </c>
      <c r="F99" t="s">
        <v>1046</v>
      </c>
      <c r="G99">
        <v>612</v>
      </c>
      <c r="H99">
        <v>582</v>
      </c>
      <c r="I99">
        <v>570</v>
      </c>
      <c r="J99" t="s">
        <v>944</v>
      </c>
      <c r="K99" t="s">
        <v>868</v>
      </c>
    </row>
    <row r="100" spans="1:11">
      <c r="A100">
        <v>92</v>
      </c>
      <c r="B100" t="s">
        <v>1044</v>
      </c>
      <c r="C100" t="s">
        <v>1044</v>
      </c>
      <c r="D100" t="s">
        <v>882</v>
      </c>
      <c r="E100" t="s">
        <v>1038</v>
      </c>
      <c r="F100" t="s">
        <v>950</v>
      </c>
      <c r="G100">
        <v>607</v>
      </c>
      <c r="H100">
        <v>577</v>
      </c>
      <c r="I100">
        <v>570</v>
      </c>
      <c r="J100" t="s">
        <v>944</v>
      </c>
      <c r="K100" t="s">
        <v>868</v>
      </c>
    </row>
    <row r="101" spans="1:11">
      <c r="A101">
        <v>92</v>
      </c>
      <c r="B101" t="s">
        <v>1044</v>
      </c>
      <c r="C101" t="s">
        <v>1044</v>
      </c>
      <c r="D101" t="s">
        <v>864</v>
      </c>
      <c r="E101" t="s">
        <v>996</v>
      </c>
      <c r="F101" t="s">
        <v>1047</v>
      </c>
      <c r="G101">
        <v>615</v>
      </c>
      <c r="H101">
        <v>585</v>
      </c>
      <c r="I101">
        <v>570</v>
      </c>
      <c r="J101" t="s">
        <v>944</v>
      </c>
      <c r="K101" t="s">
        <v>868</v>
      </c>
    </row>
    <row r="102" spans="1:11">
      <c r="A102">
        <v>93</v>
      </c>
      <c r="B102" t="s">
        <v>1048</v>
      </c>
      <c r="C102" t="s">
        <v>1048</v>
      </c>
      <c r="D102" t="s">
        <v>860</v>
      </c>
      <c r="E102" t="s">
        <v>1011</v>
      </c>
      <c r="F102" t="s">
        <v>1046</v>
      </c>
      <c r="G102">
        <v>619</v>
      </c>
      <c r="H102">
        <v>589</v>
      </c>
      <c r="I102">
        <v>570</v>
      </c>
      <c r="J102" t="s">
        <v>944</v>
      </c>
      <c r="K102" t="s">
        <v>868</v>
      </c>
    </row>
    <row r="103" spans="1:11">
      <c r="A103">
        <v>93</v>
      </c>
      <c r="B103" t="s">
        <v>1048</v>
      </c>
      <c r="C103" t="s">
        <v>1048</v>
      </c>
      <c r="D103" t="s">
        <v>882</v>
      </c>
      <c r="E103" t="s">
        <v>1029</v>
      </c>
      <c r="F103" t="s">
        <v>1049</v>
      </c>
      <c r="G103">
        <v>615</v>
      </c>
      <c r="H103">
        <v>585</v>
      </c>
      <c r="I103">
        <v>570</v>
      </c>
      <c r="J103" t="s">
        <v>944</v>
      </c>
      <c r="K103" t="s">
        <v>868</v>
      </c>
    </row>
    <row r="104" spans="1:11">
      <c r="A104">
        <v>93</v>
      </c>
      <c r="B104" t="s">
        <v>1048</v>
      </c>
      <c r="C104" t="s">
        <v>1048</v>
      </c>
      <c r="D104" t="s">
        <v>864</v>
      </c>
      <c r="E104" t="s">
        <v>1050</v>
      </c>
      <c r="F104" t="s">
        <v>1047</v>
      </c>
      <c r="G104">
        <v>581</v>
      </c>
      <c r="H104">
        <v>551</v>
      </c>
      <c r="I104">
        <v>540</v>
      </c>
      <c r="J104" t="s">
        <v>944</v>
      </c>
      <c r="K104" t="s">
        <v>868</v>
      </c>
    </row>
    <row r="105" spans="1:11">
      <c r="A105">
        <v>94</v>
      </c>
      <c r="B105" t="s">
        <v>928</v>
      </c>
      <c r="C105" t="s">
        <v>928</v>
      </c>
      <c r="D105" t="s">
        <v>864</v>
      </c>
      <c r="E105" t="s">
        <v>1009</v>
      </c>
      <c r="F105" t="s">
        <v>963</v>
      </c>
      <c r="G105">
        <v>604</v>
      </c>
      <c r="H105">
        <v>574</v>
      </c>
      <c r="I105">
        <v>570</v>
      </c>
      <c r="J105" t="s">
        <v>944</v>
      </c>
      <c r="K105" t="s">
        <v>868</v>
      </c>
    </row>
    <row r="106" spans="1:11">
      <c r="A106">
        <v>96</v>
      </c>
      <c r="B106" t="s">
        <v>1051</v>
      </c>
      <c r="C106" t="s">
        <v>1051</v>
      </c>
      <c r="D106" t="s">
        <v>860</v>
      </c>
      <c r="E106" t="s">
        <v>1045</v>
      </c>
      <c r="F106" t="s">
        <v>1012</v>
      </c>
      <c r="G106">
        <v>606</v>
      </c>
      <c r="H106">
        <v>576</v>
      </c>
      <c r="I106">
        <v>570</v>
      </c>
      <c r="J106" t="s">
        <v>944</v>
      </c>
      <c r="K106" t="s">
        <v>868</v>
      </c>
    </row>
    <row r="107" spans="1:11">
      <c r="A107">
        <v>96</v>
      </c>
      <c r="B107" t="s">
        <v>1051</v>
      </c>
      <c r="C107" t="s">
        <v>1051</v>
      </c>
      <c r="D107" t="s">
        <v>864</v>
      </c>
      <c r="E107" t="s">
        <v>996</v>
      </c>
      <c r="F107" t="s">
        <v>977</v>
      </c>
      <c r="G107">
        <v>606</v>
      </c>
      <c r="H107">
        <v>576</v>
      </c>
      <c r="I107">
        <v>570</v>
      </c>
      <c r="J107" t="s">
        <v>944</v>
      </c>
      <c r="K107" t="s">
        <v>868</v>
      </c>
    </row>
    <row r="108" spans="1:11">
      <c r="A108">
        <v>97</v>
      </c>
      <c r="B108" t="s">
        <v>1052</v>
      </c>
      <c r="C108" t="s">
        <v>1053</v>
      </c>
      <c r="D108" t="s">
        <v>860</v>
      </c>
      <c r="E108" t="s">
        <v>1037</v>
      </c>
      <c r="F108" t="s">
        <v>980</v>
      </c>
      <c r="G108">
        <v>612</v>
      </c>
      <c r="H108">
        <v>582</v>
      </c>
      <c r="I108">
        <v>570</v>
      </c>
      <c r="J108" t="s">
        <v>944</v>
      </c>
      <c r="K108" t="s">
        <v>868</v>
      </c>
    </row>
    <row r="109" spans="1:11">
      <c r="A109">
        <v>97</v>
      </c>
      <c r="B109" t="s">
        <v>1052</v>
      </c>
      <c r="C109" t="s">
        <v>1053</v>
      </c>
      <c r="D109" t="s">
        <v>882</v>
      </c>
      <c r="E109" t="s">
        <v>1054</v>
      </c>
      <c r="F109" t="s">
        <v>950</v>
      </c>
      <c r="G109">
        <v>612</v>
      </c>
      <c r="H109">
        <v>582</v>
      </c>
      <c r="I109">
        <v>570</v>
      </c>
      <c r="J109" t="s">
        <v>944</v>
      </c>
      <c r="K109" t="s">
        <v>868</v>
      </c>
    </row>
    <row r="110" spans="1:11">
      <c r="A110">
        <v>97</v>
      </c>
      <c r="B110" t="s">
        <v>1052</v>
      </c>
      <c r="C110" t="s">
        <v>1053</v>
      </c>
      <c r="D110" t="s">
        <v>864</v>
      </c>
      <c r="E110" t="s">
        <v>1055</v>
      </c>
      <c r="F110" t="s">
        <v>959</v>
      </c>
      <c r="G110">
        <v>459</v>
      </c>
      <c r="H110">
        <v>429</v>
      </c>
      <c r="I110">
        <v>420</v>
      </c>
      <c r="J110" t="s">
        <v>944</v>
      </c>
      <c r="K110" t="s">
        <v>868</v>
      </c>
    </row>
    <row r="111" spans="1:11">
      <c r="A111">
        <v>100</v>
      </c>
      <c r="B111" t="s">
        <v>1056</v>
      </c>
      <c r="C111" t="s">
        <v>1057</v>
      </c>
      <c r="D111" t="s">
        <v>860</v>
      </c>
      <c r="E111" t="s">
        <v>1045</v>
      </c>
      <c r="F111" t="s">
        <v>1012</v>
      </c>
      <c r="G111">
        <v>606</v>
      </c>
      <c r="H111">
        <v>576</v>
      </c>
      <c r="I111">
        <v>570</v>
      </c>
      <c r="J111" t="s">
        <v>944</v>
      </c>
      <c r="K111" t="s">
        <v>868</v>
      </c>
    </row>
    <row r="112" spans="1:11">
      <c r="A112">
        <v>100</v>
      </c>
      <c r="B112" t="s">
        <v>1056</v>
      </c>
      <c r="C112" t="s">
        <v>1057</v>
      </c>
      <c r="D112" t="s">
        <v>882</v>
      </c>
      <c r="E112" t="s">
        <v>1058</v>
      </c>
      <c r="F112" t="s">
        <v>1059</v>
      </c>
      <c r="G112">
        <v>606</v>
      </c>
      <c r="H112">
        <v>576</v>
      </c>
      <c r="I112">
        <v>570</v>
      </c>
      <c r="J112" t="s">
        <v>944</v>
      </c>
      <c r="K112" t="s">
        <v>868</v>
      </c>
    </row>
    <row r="113" spans="1:11">
      <c r="A113">
        <v>100</v>
      </c>
      <c r="B113" t="s">
        <v>1056</v>
      </c>
      <c r="C113" t="s">
        <v>1057</v>
      </c>
      <c r="D113" t="s">
        <v>864</v>
      </c>
      <c r="E113" t="s">
        <v>969</v>
      </c>
      <c r="F113" t="s">
        <v>977</v>
      </c>
      <c r="G113">
        <v>606</v>
      </c>
      <c r="H113">
        <v>576</v>
      </c>
      <c r="I113">
        <v>570</v>
      </c>
      <c r="J113" t="s">
        <v>944</v>
      </c>
      <c r="K113" t="s">
        <v>868</v>
      </c>
    </row>
    <row r="114" spans="1:11">
      <c r="A114">
        <v>104</v>
      </c>
      <c r="B114" t="s">
        <v>1060</v>
      </c>
      <c r="C114" t="s">
        <v>1061</v>
      </c>
      <c r="D114" t="s">
        <v>860</v>
      </c>
      <c r="E114" t="s">
        <v>1045</v>
      </c>
      <c r="F114" t="s">
        <v>1062</v>
      </c>
      <c r="G114">
        <v>606</v>
      </c>
      <c r="H114">
        <v>576</v>
      </c>
      <c r="I114">
        <v>570</v>
      </c>
      <c r="J114" t="s">
        <v>944</v>
      </c>
      <c r="K114" t="s">
        <v>868</v>
      </c>
    </row>
    <row r="115" spans="1:11">
      <c r="A115">
        <v>104</v>
      </c>
      <c r="B115" t="s">
        <v>1060</v>
      </c>
      <c r="C115" t="s">
        <v>1061</v>
      </c>
      <c r="D115" t="s">
        <v>882</v>
      </c>
      <c r="E115" t="s">
        <v>1058</v>
      </c>
      <c r="F115" t="s">
        <v>961</v>
      </c>
      <c r="G115">
        <v>606</v>
      </c>
      <c r="H115">
        <v>576</v>
      </c>
      <c r="I115">
        <v>570</v>
      </c>
      <c r="J115" t="s">
        <v>944</v>
      </c>
      <c r="K115" t="s">
        <v>868</v>
      </c>
    </row>
    <row r="116" spans="1:11">
      <c r="A116">
        <v>104</v>
      </c>
      <c r="B116" t="s">
        <v>1060</v>
      </c>
      <c r="C116" t="s">
        <v>1061</v>
      </c>
      <c r="D116" t="s">
        <v>864</v>
      </c>
      <c r="E116" t="s">
        <v>996</v>
      </c>
      <c r="F116" t="s">
        <v>977</v>
      </c>
      <c r="G116">
        <v>607</v>
      </c>
      <c r="H116">
        <v>577</v>
      </c>
      <c r="I116">
        <v>570</v>
      </c>
      <c r="J116" t="s">
        <v>944</v>
      </c>
      <c r="K116" t="s">
        <v>868</v>
      </c>
    </row>
    <row r="117" spans="1:11">
      <c r="A117">
        <v>108</v>
      </c>
      <c r="B117" t="s">
        <v>1063</v>
      </c>
      <c r="C117" t="s">
        <v>1063</v>
      </c>
      <c r="D117" t="s">
        <v>860</v>
      </c>
      <c r="E117" t="s">
        <v>1064</v>
      </c>
      <c r="F117" t="s">
        <v>980</v>
      </c>
      <c r="G117">
        <v>596</v>
      </c>
      <c r="H117">
        <v>566</v>
      </c>
      <c r="I117">
        <v>540</v>
      </c>
      <c r="J117" t="s">
        <v>944</v>
      </c>
      <c r="K117" t="s">
        <v>868</v>
      </c>
    </row>
    <row r="118" spans="1:11">
      <c r="A118">
        <v>108</v>
      </c>
      <c r="B118" t="s">
        <v>1063</v>
      </c>
      <c r="C118" t="s">
        <v>1063</v>
      </c>
      <c r="D118" t="s">
        <v>882</v>
      </c>
      <c r="E118" t="s">
        <v>1065</v>
      </c>
      <c r="F118" t="s">
        <v>1049</v>
      </c>
      <c r="G118">
        <v>538</v>
      </c>
      <c r="H118">
        <v>508</v>
      </c>
      <c r="I118">
        <v>480</v>
      </c>
      <c r="J118" t="s">
        <v>944</v>
      </c>
      <c r="K118" t="s">
        <v>868</v>
      </c>
    </row>
    <row r="119" spans="1:11">
      <c r="A119">
        <v>108</v>
      </c>
      <c r="B119" t="s">
        <v>1063</v>
      </c>
      <c r="C119" t="s">
        <v>1063</v>
      </c>
      <c r="D119" t="s">
        <v>864</v>
      </c>
      <c r="E119" t="s">
        <v>976</v>
      </c>
      <c r="F119" t="s">
        <v>1035</v>
      </c>
      <c r="G119">
        <v>613</v>
      </c>
      <c r="H119">
        <v>583</v>
      </c>
      <c r="I119">
        <v>570</v>
      </c>
      <c r="J119" t="s">
        <v>944</v>
      </c>
      <c r="K119" t="s">
        <v>868</v>
      </c>
    </row>
    <row r="120" spans="1:11">
      <c r="A120">
        <v>109</v>
      </c>
      <c r="B120" t="s">
        <v>1066</v>
      </c>
      <c r="C120" t="s">
        <v>1066</v>
      </c>
      <c r="D120" t="s">
        <v>860</v>
      </c>
      <c r="E120" t="s">
        <v>1067</v>
      </c>
      <c r="F120" t="s">
        <v>1062</v>
      </c>
      <c r="G120">
        <v>604</v>
      </c>
      <c r="H120">
        <v>574</v>
      </c>
      <c r="I120">
        <v>570</v>
      </c>
      <c r="J120" t="s">
        <v>944</v>
      </c>
      <c r="K120" t="s">
        <v>868</v>
      </c>
    </row>
    <row r="121" spans="1:11">
      <c r="A121">
        <v>109</v>
      </c>
      <c r="B121" t="s">
        <v>1066</v>
      </c>
      <c r="C121" t="s">
        <v>1066</v>
      </c>
      <c r="D121" t="s">
        <v>882</v>
      </c>
      <c r="E121" t="s">
        <v>1038</v>
      </c>
      <c r="F121" t="s">
        <v>1059</v>
      </c>
      <c r="G121">
        <v>603</v>
      </c>
      <c r="H121">
        <v>573</v>
      </c>
      <c r="I121">
        <v>570</v>
      </c>
      <c r="J121" t="s">
        <v>944</v>
      </c>
      <c r="K121" t="s">
        <v>868</v>
      </c>
    </row>
    <row r="122" spans="1:11">
      <c r="A122">
        <v>109</v>
      </c>
      <c r="B122" t="s">
        <v>1066</v>
      </c>
      <c r="C122" t="s">
        <v>1066</v>
      </c>
      <c r="D122" t="s">
        <v>864</v>
      </c>
      <c r="E122" t="s">
        <v>1009</v>
      </c>
      <c r="F122" t="s">
        <v>1068</v>
      </c>
      <c r="G122">
        <v>606</v>
      </c>
      <c r="H122">
        <v>576</v>
      </c>
      <c r="I122">
        <v>570</v>
      </c>
      <c r="J122" t="s">
        <v>944</v>
      </c>
      <c r="K122" t="s">
        <v>868</v>
      </c>
    </row>
    <row r="123" spans="1:11">
      <c r="A123">
        <v>111</v>
      </c>
      <c r="B123" t="s">
        <v>1069</v>
      </c>
      <c r="C123" t="s">
        <v>1070</v>
      </c>
      <c r="D123" t="s">
        <v>860</v>
      </c>
      <c r="E123" t="s">
        <v>1071</v>
      </c>
      <c r="F123" t="s">
        <v>1072</v>
      </c>
      <c r="G123">
        <v>478</v>
      </c>
      <c r="H123">
        <v>448</v>
      </c>
      <c r="I123">
        <v>420</v>
      </c>
      <c r="J123" t="s">
        <v>944</v>
      </c>
      <c r="K123" t="s">
        <v>868</v>
      </c>
    </row>
    <row r="124" spans="1:11">
      <c r="A124">
        <v>111</v>
      </c>
      <c r="B124" t="s">
        <v>1069</v>
      </c>
      <c r="C124" t="s">
        <v>1070</v>
      </c>
      <c r="D124" t="s">
        <v>882</v>
      </c>
      <c r="E124" t="s">
        <v>938</v>
      </c>
      <c r="F124" t="s">
        <v>993</v>
      </c>
      <c r="G124">
        <v>599</v>
      </c>
      <c r="H124">
        <v>569</v>
      </c>
      <c r="I124">
        <v>540</v>
      </c>
      <c r="J124" t="s">
        <v>944</v>
      </c>
      <c r="K124" t="s">
        <v>868</v>
      </c>
    </row>
    <row r="125" spans="1:11">
      <c r="A125">
        <v>113</v>
      </c>
      <c r="B125" t="s">
        <v>1073</v>
      </c>
      <c r="C125" t="s">
        <v>1073</v>
      </c>
      <c r="D125" t="s">
        <v>860</v>
      </c>
      <c r="E125" t="s">
        <v>1071</v>
      </c>
      <c r="F125" t="s">
        <v>1072</v>
      </c>
      <c r="G125">
        <v>477</v>
      </c>
      <c r="H125">
        <v>447</v>
      </c>
      <c r="I125">
        <v>420</v>
      </c>
      <c r="J125" t="s">
        <v>944</v>
      </c>
      <c r="K125" t="s">
        <v>868</v>
      </c>
    </row>
    <row r="126" spans="1:11">
      <c r="A126">
        <v>113</v>
      </c>
      <c r="B126" t="s">
        <v>1073</v>
      </c>
      <c r="C126" t="s">
        <v>1073</v>
      </c>
      <c r="D126" t="s">
        <v>882</v>
      </c>
      <c r="E126" t="s">
        <v>938</v>
      </c>
      <c r="F126" t="s">
        <v>993</v>
      </c>
      <c r="G126">
        <v>598</v>
      </c>
      <c r="H126">
        <v>568</v>
      </c>
      <c r="I126">
        <v>540</v>
      </c>
      <c r="J126" t="s">
        <v>944</v>
      </c>
      <c r="K126" t="s">
        <v>868</v>
      </c>
    </row>
    <row r="127" spans="1:11">
      <c r="A127">
        <v>113</v>
      </c>
      <c r="B127" t="s">
        <v>1073</v>
      </c>
      <c r="C127" t="s">
        <v>1073</v>
      </c>
      <c r="D127" t="s">
        <v>864</v>
      </c>
      <c r="E127" t="s">
        <v>1009</v>
      </c>
      <c r="F127" t="s">
        <v>963</v>
      </c>
      <c r="G127">
        <v>603</v>
      </c>
      <c r="H127">
        <v>573</v>
      </c>
      <c r="I127">
        <v>570</v>
      </c>
      <c r="J127" t="s">
        <v>944</v>
      </c>
      <c r="K127" t="s">
        <v>868</v>
      </c>
    </row>
    <row r="128" spans="1:11">
      <c r="A128">
        <v>114</v>
      </c>
      <c r="B128" t="s">
        <v>931</v>
      </c>
      <c r="C128" t="s">
        <v>932</v>
      </c>
      <c r="D128" t="s">
        <v>860</v>
      </c>
      <c r="E128" t="s">
        <v>960</v>
      </c>
      <c r="J128" t="s">
        <v>946</v>
      </c>
      <c r="K128" t="s">
        <v>863</v>
      </c>
    </row>
    <row r="129" spans="1:11">
      <c r="A129">
        <v>114</v>
      </c>
      <c r="B129" t="s">
        <v>931</v>
      </c>
      <c r="C129" t="s">
        <v>932</v>
      </c>
      <c r="D129" t="s">
        <v>882</v>
      </c>
      <c r="E129" t="s">
        <v>993</v>
      </c>
      <c r="J129" t="s">
        <v>946</v>
      </c>
      <c r="K129" t="s">
        <v>863</v>
      </c>
    </row>
    <row r="130" spans="1:11">
      <c r="A130">
        <v>115</v>
      </c>
      <c r="B130" t="s">
        <v>934</v>
      </c>
      <c r="C130" t="s">
        <v>934</v>
      </c>
      <c r="D130" t="s">
        <v>864</v>
      </c>
      <c r="E130" t="s">
        <v>962</v>
      </c>
      <c r="F130" t="s">
        <v>963</v>
      </c>
      <c r="G130">
        <v>618</v>
      </c>
      <c r="H130">
        <v>588</v>
      </c>
      <c r="I130">
        <v>570</v>
      </c>
      <c r="J130" t="s">
        <v>944</v>
      </c>
      <c r="K130" t="s">
        <v>868</v>
      </c>
    </row>
    <row r="131" spans="1:11">
      <c r="A131">
        <v>118</v>
      </c>
      <c r="B131" t="s">
        <v>935</v>
      </c>
      <c r="C131" t="s">
        <v>935</v>
      </c>
      <c r="D131" t="s">
        <v>864</v>
      </c>
      <c r="E131" t="s">
        <v>1009</v>
      </c>
      <c r="F131" t="s">
        <v>963</v>
      </c>
      <c r="G131">
        <v>604</v>
      </c>
      <c r="H131">
        <v>574</v>
      </c>
      <c r="I131">
        <v>570</v>
      </c>
      <c r="J131" t="s">
        <v>944</v>
      </c>
      <c r="K131" t="s">
        <v>868</v>
      </c>
    </row>
    <row r="132" spans="1:11">
      <c r="A132">
        <v>119</v>
      </c>
      <c r="B132" t="s">
        <v>1074</v>
      </c>
      <c r="C132" t="s">
        <v>1075</v>
      </c>
      <c r="D132" t="s">
        <v>860</v>
      </c>
      <c r="E132" t="s">
        <v>1071</v>
      </c>
      <c r="F132" t="s">
        <v>1072</v>
      </c>
      <c r="G132">
        <v>478</v>
      </c>
      <c r="H132">
        <v>448</v>
      </c>
      <c r="I132">
        <v>420</v>
      </c>
      <c r="J132" t="s">
        <v>944</v>
      </c>
      <c r="K132" t="s">
        <v>868</v>
      </c>
    </row>
    <row r="133" spans="1:11">
      <c r="A133">
        <v>119</v>
      </c>
      <c r="B133" t="s">
        <v>1074</v>
      </c>
      <c r="C133" t="s">
        <v>1075</v>
      </c>
      <c r="D133" t="s">
        <v>882</v>
      </c>
      <c r="E133" t="s">
        <v>938</v>
      </c>
      <c r="F133" t="s">
        <v>993</v>
      </c>
      <c r="G133">
        <v>598</v>
      </c>
      <c r="H133">
        <v>568</v>
      </c>
      <c r="I133">
        <v>540</v>
      </c>
      <c r="J133" t="s">
        <v>944</v>
      </c>
      <c r="K133" t="s">
        <v>868</v>
      </c>
    </row>
    <row r="134" spans="1:11">
      <c r="A134">
        <v>119</v>
      </c>
      <c r="B134" t="s">
        <v>1074</v>
      </c>
      <c r="C134" t="s">
        <v>1075</v>
      </c>
      <c r="D134" t="s">
        <v>864</v>
      </c>
      <c r="E134" t="s">
        <v>1009</v>
      </c>
      <c r="F134" t="s">
        <v>963</v>
      </c>
      <c r="G134">
        <v>603</v>
      </c>
      <c r="H134">
        <v>573</v>
      </c>
      <c r="I134">
        <v>570</v>
      </c>
      <c r="J134" t="s">
        <v>944</v>
      </c>
      <c r="K134" t="s">
        <v>868</v>
      </c>
    </row>
    <row r="135" spans="1:11">
      <c r="A135">
        <v>121</v>
      </c>
      <c r="B135" t="s">
        <v>1076</v>
      </c>
      <c r="C135" t="s">
        <v>1076</v>
      </c>
      <c r="D135" t="s">
        <v>860</v>
      </c>
      <c r="E135" t="s">
        <v>1011</v>
      </c>
      <c r="F135" t="s">
        <v>1062</v>
      </c>
      <c r="G135">
        <v>613</v>
      </c>
      <c r="H135">
        <v>583</v>
      </c>
      <c r="I135">
        <v>570</v>
      </c>
      <c r="J135" t="s">
        <v>944</v>
      </c>
      <c r="K135" t="s">
        <v>868</v>
      </c>
    </row>
    <row r="136" spans="1:11">
      <c r="A136">
        <v>121</v>
      </c>
      <c r="B136" t="s">
        <v>1076</v>
      </c>
      <c r="C136" t="s">
        <v>1076</v>
      </c>
      <c r="D136" t="s">
        <v>882</v>
      </c>
      <c r="E136" t="s">
        <v>1029</v>
      </c>
      <c r="F136" t="s">
        <v>1077</v>
      </c>
      <c r="G136">
        <v>607</v>
      </c>
      <c r="H136">
        <v>577</v>
      </c>
      <c r="I136">
        <v>570</v>
      </c>
      <c r="J136" t="s">
        <v>944</v>
      </c>
      <c r="K136" t="s">
        <v>868</v>
      </c>
    </row>
    <row r="137" spans="1:11">
      <c r="A137">
        <v>121</v>
      </c>
      <c r="B137" t="s">
        <v>1076</v>
      </c>
      <c r="C137" t="s">
        <v>1076</v>
      </c>
      <c r="D137" t="s">
        <v>864</v>
      </c>
      <c r="E137" t="s">
        <v>1009</v>
      </c>
      <c r="F137" t="s">
        <v>1068</v>
      </c>
      <c r="G137">
        <v>606</v>
      </c>
      <c r="H137">
        <v>576</v>
      </c>
      <c r="I137">
        <v>570</v>
      </c>
      <c r="J137" t="s">
        <v>944</v>
      </c>
      <c r="K137" t="s">
        <v>868</v>
      </c>
    </row>
    <row r="138" spans="1:11">
      <c r="A138">
        <v>124</v>
      </c>
      <c r="B138" t="s">
        <v>1078</v>
      </c>
      <c r="C138" t="s">
        <v>1078</v>
      </c>
      <c r="D138" t="s">
        <v>860</v>
      </c>
      <c r="E138" t="s">
        <v>1079</v>
      </c>
      <c r="F138" t="s">
        <v>1046</v>
      </c>
      <c r="G138">
        <v>582</v>
      </c>
      <c r="H138">
        <v>552</v>
      </c>
      <c r="I138">
        <v>540</v>
      </c>
      <c r="J138" t="s">
        <v>944</v>
      </c>
      <c r="K138" t="s">
        <v>868</v>
      </c>
    </row>
    <row r="139" spans="1:11">
      <c r="A139">
        <v>124</v>
      </c>
      <c r="B139" t="s">
        <v>1078</v>
      </c>
      <c r="C139" t="s">
        <v>1078</v>
      </c>
      <c r="D139" t="s">
        <v>882</v>
      </c>
      <c r="E139" t="s">
        <v>1008</v>
      </c>
      <c r="F139" t="s">
        <v>986</v>
      </c>
      <c r="G139">
        <v>613</v>
      </c>
      <c r="H139">
        <v>583</v>
      </c>
      <c r="I139">
        <v>570</v>
      </c>
      <c r="J139" t="s">
        <v>944</v>
      </c>
      <c r="K139" t="s">
        <v>868</v>
      </c>
    </row>
    <row r="140" spans="1:11">
      <c r="A140">
        <v>124</v>
      </c>
      <c r="B140" t="s">
        <v>1078</v>
      </c>
      <c r="C140" t="s">
        <v>1078</v>
      </c>
      <c r="D140" t="s">
        <v>864</v>
      </c>
      <c r="E140" t="s">
        <v>1009</v>
      </c>
      <c r="F140" t="s">
        <v>952</v>
      </c>
      <c r="G140">
        <v>609</v>
      </c>
      <c r="H140">
        <v>579</v>
      </c>
      <c r="I140">
        <v>570</v>
      </c>
      <c r="J140" t="s">
        <v>944</v>
      </c>
      <c r="K140" t="s">
        <v>868</v>
      </c>
    </row>
    <row r="141" spans="1:11">
      <c r="A141">
        <v>132</v>
      </c>
      <c r="B141" t="s">
        <v>1080</v>
      </c>
      <c r="C141" t="s">
        <v>1080</v>
      </c>
      <c r="D141" t="s">
        <v>860</v>
      </c>
      <c r="E141" t="s">
        <v>1081</v>
      </c>
      <c r="F141" t="s">
        <v>1012</v>
      </c>
      <c r="G141">
        <v>610</v>
      </c>
      <c r="H141">
        <v>580</v>
      </c>
      <c r="I141">
        <v>570</v>
      </c>
      <c r="J141" t="s">
        <v>944</v>
      </c>
      <c r="K141" t="s">
        <v>868</v>
      </c>
    </row>
    <row r="142" spans="1:11">
      <c r="A142">
        <v>132</v>
      </c>
      <c r="B142" t="s">
        <v>1080</v>
      </c>
      <c r="C142" t="s">
        <v>1080</v>
      </c>
      <c r="D142" t="s">
        <v>864</v>
      </c>
      <c r="E142" t="s">
        <v>970</v>
      </c>
      <c r="J142" t="s">
        <v>946</v>
      </c>
      <c r="K142" t="s">
        <v>863</v>
      </c>
    </row>
    <row r="143" spans="1:11">
      <c r="A143">
        <v>141</v>
      </c>
      <c r="B143" t="s">
        <v>1082</v>
      </c>
      <c r="C143" t="s">
        <v>1082</v>
      </c>
      <c r="D143" t="s">
        <v>860</v>
      </c>
      <c r="E143" t="s">
        <v>1011</v>
      </c>
      <c r="F143" t="s">
        <v>980</v>
      </c>
      <c r="G143">
        <v>617</v>
      </c>
      <c r="H143">
        <v>587</v>
      </c>
      <c r="I143">
        <v>570</v>
      </c>
      <c r="J143" t="s">
        <v>944</v>
      </c>
      <c r="K143" t="s">
        <v>868</v>
      </c>
    </row>
    <row r="144" spans="1:11">
      <c r="A144">
        <v>141</v>
      </c>
      <c r="B144" t="s">
        <v>1082</v>
      </c>
      <c r="C144" t="s">
        <v>1082</v>
      </c>
      <c r="D144" t="s">
        <v>882</v>
      </c>
      <c r="E144" t="s">
        <v>1058</v>
      </c>
      <c r="F144" t="s">
        <v>1049</v>
      </c>
      <c r="G144">
        <v>612</v>
      </c>
      <c r="H144">
        <v>582</v>
      </c>
      <c r="I144">
        <v>570</v>
      </c>
      <c r="J144" t="s">
        <v>944</v>
      </c>
      <c r="K144" t="s">
        <v>868</v>
      </c>
    </row>
    <row r="145" spans="1:11">
      <c r="A145">
        <v>137</v>
      </c>
      <c r="B145" t="s">
        <v>1083</v>
      </c>
      <c r="C145" t="s">
        <v>1083</v>
      </c>
      <c r="D145" t="s">
        <v>860</v>
      </c>
      <c r="E145" t="s">
        <v>1006</v>
      </c>
      <c r="F145" t="s">
        <v>1084</v>
      </c>
      <c r="G145">
        <v>621</v>
      </c>
      <c r="H145">
        <v>591</v>
      </c>
      <c r="I145">
        <v>570</v>
      </c>
      <c r="J145" t="s">
        <v>944</v>
      </c>
      <c r="K145" t="s">
        <v>868</v>
      </c>
    </row>
    <row r="146" spans="1:11">
      <c r="A146">
        <v>137</v>
      </c>
      <c r="B146" t="s">
        <v>1083</v>
      </c>
      <c r="C146" t="s">
        <v>1083</v>
      </c>
      <c r="D146" t="s">
        <v>882</v>
      </c>
      <c r="E146" t="s">
        <v>1008</v>
      </c>
      <c r="F146" t="s">
        <v>950</v>
      </c>
      <c r="G146">
        <v>614</v>
      </c>
      <c r="H146">
        <v>584</v>
      </c>
      <c r="I146">
        <v>570</v>
      </c>
      <c r="J146" t="s">
        <v>944</v>
      </c>
      <c r="K146" t="s">
        <v>868</v>
      </c>
    </row>
    <row r="147" spans="1:11">
      <c r="A147">
        <v>137</v>
      </c>
      <c r="B147" t="s">
        <v>1083</v>
      </c>
      <c r="C147" t="s">
        <v>1083</v>
      </c>
      <c r="D147" t="s">
        <v>864</v>
      </c>
      <c r="E147" t="s">
        <v>976</v>
      </c>
      <c r="F147" t="s">
        <v>959</v>
      </c>
      <c r="G147">
        <v>613</v>
      </c>
      <c r="H147">
        <v>583</v>
      </c>
      <c r="I147">
        <v>570</v>
      </c>
      <c r="J147" t="s">
        <v>944</v>
      </c>
      <c r="K147" t="s">
        <v>868</v>
      </c>
    </row>
    <row r="148" spans="1:11">
      <c r="A148">
        <v>136</v>
      </c>
      <c r="B148" t="s">
        <v>1085</v>
      </c>
      <c r="C148" t="s">
        <v>1086</v>
      </c>
      <c r="D148" t="s">
        <v>860</v>
      </c>
      <c r="E148" t="s">
        <v>1087</v>
      </c>
      <c r="F148" t="s">
        <v>1023</v>
      </c>
      <c r="G148">
        <v>665</v>
      </c>
      <c r="H148">
        <v>635</v>
      </c>
      <c r="I148">
        <v>630</v>
      </c>
      <c r="J148" t="s">
        <v>944</v>
      </c>
      <c r="K148" t="s">
        <v>868</v>
      </c>
    </row>
    <row r="149" spans="1:11">
      <c r="A149">
        <v>136</v>
      </c>
      <c r="B149" t="s">
        <v>1085</v>
      </c>
      <c r="C149" t="s">
        <v>1086</v>
      </c>
      <c r="D149" t="s">
        <v>882</v>
      </c>
      <c r="E149" t="s">
        <v>1088</v>
      </c>
      <c r="F149" t="s">
        <v>1025</v>
      </c>
      <c r="G149">
        <v>661</v>
      </c>
      <c r="H149">
        <v>631</v>
      </c>
      <c r="I149">
        <v>630</v>
      </c>
      <c r="J149" t="s">
        <v>944</v>
      </c>
      <c r="K149" t="s">
        <v>868</v>
      </c>
    </row>
    <row r="150" spans="1:11">
      <c r="A150">
        <v>136</v>
      </c>
      <c r="B150" t="s">
        <v>1085</v>
      </c>
      <c r="C150" t="s">
        <v>1086</v>
      </c>
      <c r="D150" t="s">
        <v>864</v>
      </c>
      <c r="E150" t="s">
        <v>1089</v>
      </c>
      <c r="F150" t="s">
        <v>1027</v>
      </c>
      <c r="G150">
        <v>665</v>
      </c>
      <c r="H150">
        <v>635</v>
      </c>
      <c r="I150">
        <v>630</v>
      </c>
      <c r="J150" t="s">
        <v>944</v>
      </c>
      <c r="K150" t="s">
        <v>868</v>
      </c>
    </row>
    <row r="151" spans="1:11">
      <c r="A151">
        <v>143</v>
      </c>
      <c r="B151" t="s">
        <v>1090</v>
      </c>
      <c r="C151" t="s">
        <v>1091</v>
      </c>
      <c r="D151" t="s">
        <v>860</v>
      </c>
      <c r="E151" t="s">
        <v>991</v>
      </c>
      <c r="F151" t="s">
        <v>992</v>
      </c>
      <c r="G151">
        <v>476</v>
      </c>
      <c r="H151">
        <v>446</v>
      </c>
      <c r="I151">
        <v>420</v>
      </c>
      <c r="J151" t="s">
        <v>944</v>
      </c>
      <c r="K151" t="s">
        <v>868</v>
      </c>
    </row>
    <row r="152" spans="1:11">
      <c r="A152">
        <v>143</v>
      </c>
      <c r="B152" t="s">
        <v>1090</v>
      </c>
      <c r="C152" t="s">
        <v>1091</v>
      </c>
      <c r="D152" t="s">
        <v>882</v>
      </c>
      <c r="E152" t="s">
        <v>925</v>
      </c>
      <c r="F152" t="s">
        <v>993</v>
      </c>
      <c r="G152">
        <v>600</v>
      </c>
      <c r="H152">
        <v>570</v>
      </c>
      <c r="I152">
        <v>570</v>
      </c>
      <c r="J152" t="s">
        <v>944</v>
      </c>
      <c r="K152" t="s">
        <v>868</v>
      </c>
    </row>
    <row r="153" spans="1:11">
      <c r="A153">
        <v>143</v>
      </c>
      <c r="B153" t="s">
        <v>1090</v>
      </c>
      <c r="C153" t="s">
        <v>1091</v>
      </c>
      <c r="D153" t="s">
        <v>864</v>
      </c>
      <c r="E153" t="s">
        <v>1092</v>
      </c>
      <c r="F153" t="s">
        <v>963</v>
      </c>
      <c r="G153">
        <v>619</v>
      </c>
      <c r="H153">
        <v>589</v>
      </c>
      <c r="I153">
        <v>570</v>
      </c>
      <c r="J153" t="s">
        <v>944</v>
      </c>
      <c r="K153" t="s">
        <v>868</v>
      </c>
    </row>
    <row r="154" spans="1:11">
      <c r="A154">
        <v>148</v>
      </c>
      <c r="B154" t="s">
        <v>1093</v>
      </c>
      <c r="C154" t="s">
        <v>1093</v>
      </c>
      <c r="D154" t="s">
        <v>882</v>
      </c>
      <c r="E154" t="s">
        <v>1019</v>
      </c>
      <c r="F154" t="s">
        <v>1094</v>
      </c>
      <c r="G154">
        <v>605</v>
      </c>
      <c r="H154">
        <v>575</v>
      </c>
      <c r="I154">
        <v>570</v>
      </c>
      <c r="J154" t="s">
        <v>944</v>
      </c>
      <c r="K154" t="s">
        <v>868</v>
      </c>
    </row>
    <row r="155" spans="1:11">
      <c r="A155">
        <v>148</v>
      </c>
      <c r="B155" t="s">
        <v>1093</v>
      </c>
      <c r="C155" t="s">
        <v>1093</v>
      </c>
      <c r="D155" t="s">
        <v>864</v>
      </c>
      <c r="E155" t="s">
        <v>1014</v>
      </c>
      <c r="F155" t="s">
        <v>959</v>
      </c>
      <c r="G155">
        <v>608</v>
      </c>
      <c r="H155">
        <v>578</v>
      </c>
      <c r="I155">
        <v>570</v>
      </c>
      <c r="J155" t="s">
        <v>944</v>
      </c>
      <c r="K155" t="s">
        <v>868</v>
      </c>
    </row>
    <row r="156" spans="1:11">
      <c r="A156">
        <v>150</v>
      </c>
      <c r="B156" t="s">
        <v>1095</v>
      </c>
      <c r="C156" t="s">
        <v>1096</v>
      </c>
      <c r="D156" t="s">
        <v>860</v>
      </c>
      <c r="E156" t="s">
        <v>1011</v>
      </c>
      <c r="F156" t="s">
        <v>1097</v>
      </c>
      <c r="G156">
        <v>613</v>
      </c>
      <c r="H156">
        <v>583</v>
      </c>
      <c r="I156">
        <v>570</v>
      </c>
      <c r="J156" t="s">
        <v>944</v>
      </c>
      <c r="K156" t="s">
        <v>868</v>
      </c>
    </row>
    <row r="157" spans="1:11">
      <c r="A157">
        <v>150</v>
      </c>
      <c r="B157" t="s">
        <v>1095</v>
      </c>
      <c r="C157" t="s">
        <v>1096</v>
      </c>
      <c r="D157" t="s">
        <v>882</v>
      </c>
      <c r="E157" t="s">
        <v>1029</v>
      </c>
      <c r="F157" t="s">
        <v>950</v>
      </c>
      <c r="G157">
        <v>613</v>
      </c>
      <c r="H157">
        <v>583</v>
      </c>
      <c r="I157">
        <v>570</v>
      </c>
      <c r="J157" t="s">
        <v>944</v>
      </c>
      <c r="K157" t="s">
        <v>868</v>
      </c>
    </row>
    <row r="158" spans="1:11">
      <c r="A158">
        <v>150</v>
      </c>
      <c r="B158" t="s">
        <v>1095</v>
      </c>
      <c r="C158" t="s">
        <v>1096</v>
      </c>
      <c r="D158" t="s">
        <v>864</v>
      </c>
      <c r="E158" t="s">
        <v>1098</v>
      </c>
      <c r="F158" t="s">
        <v>1020</v>
      </c>
      <c r="G158">
        <v>606</v>
      </c>
      <c r="H158">
        <v>576</v>
      </c>
      <c r="I158">
        <v>570</v>
      </c>
      <c r="J158" t="s">
        <v>944</v>
      </c>
      <c r="K158" t="s">
        <v>868</v>
      </c>
    </row>
    <row r="159" spans="1:11">
      <c r="A159">
        <v>152</v>
      </c>
      <c r="B159" t="s">
        <v>1099</v>
      </c>
      <c r="C159" t="s">
        <v>1099</v>
      </c>
      <c r="D159" t="s">
        <v>860</v>
      </c>
      <c r="E159" t="s">
        <v>889</v>
      </c>
      <c r="F159" t="s">
        <v>949</v>
      </c>
      <c r="G159">
        <v>607</v>
      </c>
      <c r="H159">
        <v>577</v>
      </c>
      <c r="I159">
        <v>570</v>
      </c>
      <c r="J159" t="s">
        <v>944</v>
      </c>
      <c r="K159" t="s">
        <v>868</v>
      </c>
    </row>
    <row r="160" spans="1:11">
      <c r="A160">
        <v>152</v>
      </c>
      <c r="B160" t="s">
        <v>1099</v>
      </c>
      <c r="C160" t="s">
        <v>1099</v>
      </c>
      <c r="D160" t="s">
        <v>882</v>
      </c>
      <c r="E160" t="s">
        <v>1019</v>
      </c>
      <c r="F160" t="s">
        <v>950</v>
      </c>
      <c r="G160">
        <v>606</v>
      </c>
      <c r="H160">
        <v>576</v>
      </c>
      <c r="I160">
        <v>570</v>
      </c>
      <c r="J160" t="s">
        <v>944</v>
      </c>
      <c r="K160" t="s">
        <v>868</v>
      </c>
    </row>
    <row r="161" spans="1:11">
      <c r="A161">
        <v>154</v>
      </c>
      <c r="B161" t="s">
        <v>1100</v>
      </c>
      <c r="C161" t="s">
        <v>1100</v>
      </c>
      <c r="D161" t="s">
        <v>882</v>
      </c>
      <c r="E161" t="s">
        <v>1058</v>
      </c>
      <c r="F161" t="s">
        <v>993</v>
      </c>
      <c r="G161">
        <v>605</v>
      </c>
      <c r="H161">
        <v>575</v>
      </c>
      <c r="I161">
        <v>570</v>
      </c>
      <c r="J161" t="s">
        <v>944</v>
      </c>
      <c r="K161" t="s">
        <v>868</v>
      </c>
    </row>
    <row r="162" spans="1:11">
      <c r="A162">
        <v>154</v>
      </c>
      <c r="B162" t="s">
        <v>1100</v>
      </c>
      <c r="C162" t="s">
        <v>1100</v>
      </c>
      <c r="D162" t="s">
        <v>864</v>
      </c>
      <c r="E162" t="s">
        <v>996</v>
      </c>
      <c r="J162" t="s">
        <v>946</v>
      </c>
      <c r="K162" t="s">
        <v>863</v>
      </c>
    </row>
    <row r="163" spans="1:11">
      <c r="A163">
        <v>155</v>
      </c>
      <c r="B163" t="s">
        <v>1101</v>
      </c>
      <c r="C163" t="s">
        <v>1102</v>
      </c>
      <c r="D163" t="s">
        <v>882</v>
      </c>
      <c r="E163" t="s">
        <v>1019</v>
      </c>
      <c r="F163" t="s">
        <v>1094</v>
      </c>
      <c r="G163">
        <v>606</v>
      </c>
      <c r="H163">
        <v>576</v>
      </c>
      <c r="I163">
        <v>570</v>
      </c>
      <c r="J163" t="s">
        <v>944</v>
      </c>
      <c r="K163" t="s">
        <v>868</v>
      </c>
    </row>
    <row r="164" spans="1:11">
      <c r="A164">
        <v>155</v>
      </c>
      <c r="B164" t="s">
        <v>1101</v>
      </c>
      <c r="C164" t="s">
        <v>1102</v>
      </c>
      <c r="D164" t="s">
        <v>864</v>
      </c>
      <c r="E164" t="s">
        <v>996</v>
      </c>
      <c r="F164" t="s">
        <v>997</v>
      </c>
      <c r="G164">
        <v>609</v>
      </c>
      <c r="H164">
        <v>579</v>
      </c>
      <c r="I164">
        <v>570</v>
      </c>
      <c r="J164" t="s">
        <v>944</v>
      </c>
      <c r="K164" t="s">
        <v>868</v>
      </c>
    </row>
    <row r="165" spans="1:11">
      <c r="A165">
        <v>156</v>
      </c>
      <c r="B165" t="s">
        <v>1103</v>
      </c>
      <c r="C165" t="s">
        <v>1104</v>
      </c>
      <c r="D165" t="s">
        <v>860</v>
      </c>
      <c r="E165" t="s">
        <v>1045</v>
      </c>
      <c r="F165" t="s">
        <v>1097</v>
      </c>
      <c r="G165">
        <v>607</v>
      </c>
      <c r="H165">
        <v>577</v>
      </c>
      <c r="I165">
        <v>570</v>
      </c>
      <c r="J165" t="s">
        <v>944</v>
      </c>
      <c r="K165" t="s">
        <v>868</v>
      </c>
    </row>
    <row r="166" spans="1:11">
      <c r="A166">
        <v>156</v>
      </c>
      <c r="B166" t="s">
        <v>1103</v>
      </c>
      <c r="C166" t="s">
        <v>1104</v>
      </c>
      <c r="D166" t="s">
        <v>882</v>
      </c>
      <c r="E166" t="s">
        <v>1019</v>
      </c>
      <c r="F166" t="s">
        <v>1094</v>
      </c>
      <c r="G166">
        <v>606</v>
      </c>
      <c r="H166">
        <v>576</v>
      </c>
      <c r="I166">
        <v>570</v>
      </c>
      <c r="J166" t="s">
        <v>944</v>
      </c>
      <c r="K166" t="s">
        <v>868</v>
      </c>
    </row>
    <row r="167" spans="1:11">
      <c r="A167">
        <v>156</v>
      </c>
      <c r="B167" t="s">
        <v>1103</v>
      </c>
      <c r="C167" t="s">
        <v>1104</v>
      </c>
      <c r="D167" t="s">
        <v>864</v>
      </c>
      <c r="E167" t="s">
        <v>969</v>
      </c>
      <c r="F167" t="s">
        <v>970</v>
      </c>
      <c r="G167">
        <v>613</v>
      </c>
      <c r="H167">
        <v>583</v>
      </c>
      <c r="I167">
        <v>570</v>
      </c>
      <c r="J167" t="s">
        <v>944</v>
      </c>
      <c r="K167" t="s">
        <v>868</v>
      </c>
    </row>
    <row r="168" spans="1:11">
      <c r="A168">
        <v>158</v>
      </c>
      <c r="B168" t="s">
        <v>1105</v>
      </c>
      <c r="C168" t="s">
        <v>1105</v>
      </c>
      <c r="D168" t="s">
        <v>860</v>
      </c>
      <c r="E168" t="s">
        <v>1106</v>
      </c>
      <c r="F168" t="s">
        <v>1012</v>
      </c>
      <c r="G168">
        <v>362</v>
      </c>
      <c r="H168">
        <v>332</v>
      </c>
      <c r="I168">
        <v>330</v>
      </c>
      <c r="J168" t="s">
        <v>944</v>
      </c>
      <c r="K168" t="s">
        <v>868</v>
      </c>
    </row>
    <row r="169" spans="1:11">
      <c r="A169">
        <v>158</v>
      </c>
      <c r="B169" t="s">
        <v>1105</v>
      </c>
      <c r="C169" t="s">
        <v>1105</v>
      </c>
      <c r="D169" t="s">
        <v>882</v>
      </c>
      <c r="E169" t="s">
        <v>1054</v>
      </c>
      <c r="F169" t="s">
        <v>975</v>
      </c>
      <c r="G169">
        <v>609</v>
      </c>
      <c r="H169">
        <v>579</v>
      </c>
      <c r="I169">
        <v>570</v>
      </c>
      <c r="J169" t="s">
        <v>944</v>
      </c>
      <c r="K169" t="s">
        <v>868</v>
      </c>
    </row>
    <row r="170" spans="1:11">
      <c r="A170">
        <v>158</v>
      </c>
      <c r="B170" t="s">
        <v>1105</v>
      </c>
      <c r="C170" t="s">
        <v>1105</v>
      </c>
      <c r="D170" t="s">
        <v>864</v>
      </c>
      <c r="E170" t="s">
        <v>976</v>
      </c>
      <c r="F170" t="s">
        <v>1035</v>
      </c>
      <c r="G170">
        <v>613</v>
      </c>
      <c r="H170">
        <v>583</v>
      </c>
      <c r="I170">
        <v>570</v>
      </c>
      <c r="J170" t="s">
        <v>944</v>
      </c>
      <c r="K170" t="s">
        <v>868</v>
      </c>
    </row>
    <row r="171" spans="1:11">
      <c r="A171">
        <v>159</v>
      </c>
      <c r="B171" t="s">
        <v>1107</v>
      </c>
      <c r="C171" t="s">
        <v>1108</v>
      </c>
      <c r="D171" t="s">
        <v>860</v>
      </c>
      <c r="E171" t="s">
        <v>1006</v>
      </c>
      <c r="F171" t="s">
        <v>949</v>
      </c>
      <c r="G171">
        <v>615</v>
      </c>
      <c r="H171">
        <v>585</v>
      </c>
      <c r="I171">
        <v>570</v>
      </c>
      <c r="J171" t="s">
        <v>944</v>
      </c>
      <c r="K171" t="s">
        <v>868</v>
      </c>
    </row>
    <row r="172" spans="1:11">
      <c r="A172">
        <v>159</v>
      </c>
      <c r="B172" t="s">
        <v>1107</v>
      </c>
      <c r="C172" t="s">
        <v>1108</v>
      </c>
      <c r="D172" t="s">
        <v>882</v>
      </c>
      <c r="E172" t="s">
        <v>1008</v>
      </c>
      <c r="F172" t="s">
        <v>1059</v>
      </c>
      <c r="G172">
        <v>610</v>
      </c>
      <c r="H172">
        <v>580</v>
      </c>
      <c r="I172">
        <v>570</v>
      </c>
      <c r="J172" t="s">
        <v>944</v>
      </c>
      <c r="K172" t="s">
        <v>868</v>
      </c>
    </row>
    <row r="173" spans="1:11">
      <c r="A173">
        <v>159</v>
      </c>
      <c r="B173" t="s">
        <v>1107</v>
      </c>
      <c r="C173" t="s">
        <v>1108</v>
      </c>
      <c r="D173" t="s">
        <v>864</v>
      </c>
      <c r="E173" t="s">
        <v>1009</v>
      </c>
      <c r="F173" t="s">
        <v>977</v>
      </c>
      <c r="G173">
        <v>604</v>
      </c>
      <c r="H173">
        <v>574</v>
      </c>
      <c r="I173">
        <v>570</v>
      </c>
      <c r="J173" t="s">
        <v>944</v>
      </c>
      <c r="K173" t="s">
        <v>868</v>
      </c>
    </row>
    <row r="174" spans="1:11">
      <c r="A174">
        <v>162</v>
      </c>
      <c r="B174" t="s">
        <v>1109</v>
      </c>
      <c r="C174" t="s">
        <v>1109</v>
      </c>
      <c r="D174" t="s">
        <v>860</v>
      </c>
      <c r="E174" t="s">
        <v>1081</v>
      </c>
      <c r="F174" t="s">
        <v>1046</v>
      </c>
      <c r="G174">
        <v>618</v>
      </c>
      <c r="H174">
        <v>588</v>
      </c>
      <c r="I174">
        <v>570</v>
      </c>
      <c r="J174" t="s">
        <v>944</v>
      </c>
      <c r="K174" t="s">
        <v>868</v>
      </c>
    </row>
    <row r="175" spans="1:11">
      <c r="A175">
        <v>163</v>
      </c>
      <c r="B175" t="s">
        <v>1110</v>
      </c>
      <c r="C175" t="s">
        <v>1110</v>
      </c>
      <c r="D175" t="s">
        <v>860</v>
      </c>
      <c r="E175" t="s">
        <v>1011</v>
      </c>
      <c r="F175" t="s">
        <v>1111</v>
      </c>
      <c r="G175">
        <v>622</v>
      </c>
      <c r="H175">
        <v>592</v>
      </c>
      <c r="I175">
        <v>570</v>
      </c>
      <c r="J175" t="s">
        <v>944</v>
      </c>
      <c r="K175" t="s">
        <v>868</v>
      </c>
    </row>
    <row r="176" spans="1:11">
      <c r="A176">
        <v>163</v>
      </c>
      <c r="B176" t="s">
        <v>1110</v>
      </c>
      <c r="C176" t="s">
        <v>1110</v>
      </c>
      <c r="D176" t="s">
        <v>882</v>
      </c>
      <c r="E176" t="s">
        <v>1029</v>
      </c>
      <c r="F176" t="s">
        <v>1094</v>
      </c>
      <c r="G176">
        <v>612</v>
      </c>
      <c r="H176">
        <v>582</v>
      </c>
      <c r="I176">
        <v>570</v>
      </c>
      <c r="J176" t="s">
        <v>944</v>
      </c>
      <c r="K176" t="s">
        <v>868</v>
      </c>
    </row>
    <row r="177" spans="1:11">
      <c r="A177">
        <v>163</v>
      </c>
      <c r="B177" t="s">
        <v>1110</v>
      </c>
      <c r="C177" t="s">
        <v>1110</v>
      </c>
      <c r="D177" t="s">
        <v>864</v>
      </c>
      <c r="E177" t="s">
        <v>1112</v>
      </c>
      <c r="F177" t="s">
        <v>970</v>
      </c>
      <c r="G177">
        <v>608</v>
      </c>
      <c r="H177">
        <v>578</v>
      </c>
      <c r="I177">
        <v>570</v>
      </c>
      <c r="J177" t="s">
        <v>944</v>
      </c>
      <c r="K177" t="s">
        <v>868</v>
      </c>
    </row>
    <row r="178" spans="1:11">
      <c r="A178">
        <v>166</v>
      </c>
      <c r="B178" t="s">
        <v>1113</v>
      </c>
      <c r="C178" t="s">
        <v>1113</v>
      </c>
      <c r="D178" t="s">
        <v>860</v>
      </c>
      <c r="E178" t="s">
        <v>1011</v>
      </c>
      <c r="F178" t="s">
        <v>1111</v>
      </c>
      <c r="G178">
        <v>622</v>
      </c>
      <c r="H178">
        <v>592</v>
      </c>
      <c r="I178">
        <v>570</v>
      </c>
      <c r="J178" t="s">
        <v>944</v>
      </c>
      <c r="K178" t="s">
        <v>868</v>
      </c>
    </row>
    <row r="179" spans="1:11">
      <c r="A179">
        <v>166</v>
      </c>
      <c r="B179" t="s">
        <v>1113</v>
      </c>
      <c r="C179" t="s">
        <v>1113</v>
      </c>
      <c r="D179" t="s">
        <v>882</v>
      </c>
      <c r="E179" t="s">
        <v>1013</v>
      </c>
      <c r="F179" t="s">
        <v>1094</v>
      </c>
      <c r="G179">
        <v>611</v>
      </c>
      <c r="H179">
        <v>581</v>
      </c>
      <c r="I179">
        <v>570</v>
      </c>
      <c r="J179" t="s">
        <v>944</v>
      </c>
      <c r="K179" t="s">
        <v>868</v>
      </c>
    </row>
    <row r="180" spans="1:11">
      <c r="A180">
        <v>166</v>
      </c>
      <c r="B180" t="s">
        <v>1113</v>
      </c>
      <c r="C180" t="s">
        <v>1113</v>
      </c>
      <c r="D180" t="s">
        <v>864</v>
      </c>
      <c r="E180" t="s">
        <v>1112</v>
      </c>
      <c r="F180" t="s">
        <v>970</v>
      </c>
      <c r="G180">
        <v>608</v>
      </c>
      <c r="H180">
        <v>578</v>
      </c>
      <c r="I180">
        <v>570</v>
      </c>
      <c r="J180" t="s">
        <v>944</v>
      </c>
      <c r="K180" t="s">
        <v>868</v>
      </c>
    </row>
    <row r="181" spans="1:11">
      <c r="A181">
        <v>167</v>
      </c>
      <c r="B181" t="s">
        <v>1114</v>
      </c>
      <c r="C181" t="s">
        <v>1114</v>
      </c>
      <c r="D181" t="s">
        <v>860</v>
      </c>
      <c r="E181" t="s">
        <v>889</v>
      </c>
      <c r="F181" t="s">
        <v>1007</v>
      </c>
      <c r="G181">
        <v>604</v>
      </c>
      <c r="H181">
        <v>574</v>
      </c>
      <c r="I181">
        <v>570</v>
      </c>
      <c r="J181" t="s">
        <v>944</v>
      </c>
      <c r="K181" t="s">
        <v>868</v>
      </c>
    </row>
    <row r="182" spans="1:11">
      <c r="A182">
        <v>167</v>
      </c>
      <c r="B182" t="s">
        <v>1114</v>
      </c>
      <c r="C182" t="s">
        <v>1114</v>
      </c>
      <c r="D182" t="s">
        <v>882</v>
      </c>
      <c r="E182" t="s">
        <v>1115</v>
      </c>
      <c r="F182" t="s">
        <v>993</v>
      </c>
      <c r="G182">
        <v>597</v>
      </c>
      <c r="H182">
        <v>567</v>
      </c>
      <c r="I182">
        <v>540</v>
      </c>
      <c r="J182" t="s">
        <v>944</v>
      </c>
      <c r="K182" t="s">
        <v>868</v>
      </c>
    </row>
    <row r="183" spans="1:11">
      <c r="A183">
        <v>167</v>
      </c>
      <c r="B183" t="s">
        <v>1114</v>
      </c>
      <c r="C183" t="s">
        <v>1114</v>
      </c>
      <c r="D183" t="s">
        <v>864</v>
      </c>
      <c r="E183" t="s">
        <v>969</v>
      </c>
      <c r="F183" t="s">
        <v>1020</v>
      </c>
      <c r="G183">
        <v>607</v>
      </c>
      <c r="H183">
        <v>577</v>
      </c>
      <c r="I183">
        <v>570</v>
      </c>
      <c r="J183" t="s">
        <v>944</v>
      </c>
      <c r="K183" t="s">
        <v>868</v>
      </c>
    </row>
    <row r="184" spans="1:11">
      <c r="A184">
        <v>169</v>
      </c>
      <c r="B184" t="s">
        <v>1116</v>
      </c>
      <c r="C184" t="s">
        <v>1116</v>
      </c>
      <c r="D184" t="s">
        <v>882</v>
      </c>
      <c r="E184" t="s">
        <v>1054</v>
      </c>
      <c r="F184" t="s">
        <v>950</v>
      </c>
      <c r="G184">
        <v>611</v>
      </c>
      <c r="H184">
        <v>581</v>
      </c>
      <c r="I184">
        <v>570</v>
      </c>
      <c r="J184" t="s">
        <v>944</v>
      </c>
      <c r="K184" t="s">
        <v>868</v>
      </c>
    </row>
    <row r="185" spans="1:11">
      <c r="A185">
        <v>169</v>
      </c>
      <c r="B185" t="s">
        <v>1116</v>
      </c>
      <c r="C185" t="s">
        <v>1116</v>
      </c>
      <c r="D185" t="s">
        <v>864</v>
      </c>
      <c r="E185" t="s">
        <v>976</v>
      </c>
      <c r="F185" t="s">
        <v>997</v>
      </c>
      <c r="G185">
        <v>610</v>
      </c>
      <c r="H185">
        <v>580</v>
      </c>
      <c r="I185">
        <v>570</v>
      </c>
      <c r="J185" t="s">
        <v>944</v>
      </c>
      <c r="K185" t="s">
        <v>868</v>
      </c>
    </row>
    <row r="186" spans="1:11">
      <c r="A186">
        <v>172</v>
      </c>
      <c r="B186" t="s">
        <v>1117</v>
      </c>
      <c r="C186" t="s">
        <v>1117</v>
      </c>
      <c r="D186" t="s">
        <v>860</v>
      </c>
      <c r="E186" t="s">
        <v>889</v>
      </c>
      <c r="F186" t="s">
        <v>949</v>
      </c>
      <c r="G186">
        <v>607</v>
      </c>
      <c r="H186">
        <v>577</v>
      </c>
      <c r="I186">
        <v>570</v>
      </c>
      <c r="J186" t="s">
        <v>944</v>
      </c>
      <c r="K186" t="s">
        <v>868</v>
      </c>
    </row>
    <row r="187" spans="1:11">
      <c r="A187">
        <v>172</v>
      </c>
      <c r="B187" t="s">
        <v>1117</v>
      </c>
      <c r="C187" t="s">
        <v>1117</v>
      </c>
      <c r="D187" t="s">
        <v>882</v>
      </c>
      <c r="E187" t="s">
        <v>1019</v>
      </c>
      <c r="F187" t="s">
        <v>950</v>
      </c>
      <c r="G187">
        <v>606</v>
      </c>
      <c r="H187">
        <v>576</v>
      </c>
      <c r="I187">
        <v>570</v>
      </c>
      <c r="J187" t="s">
        <v>944</v>
      </c>
      <c r="K187" t="s">
        <v>868</v>
      </c>
    </row>
    <row r="188" spans="1:11">
      <c r="A188">
        <v>172</v>
      </c>
      <c r="B188" t="s">
        <v>1117</v>
      </c>
      <c r="C188" t="s">
        <v>1117</v>
      </c>
      <c r="D188" t="s">
        <v>864</v>
      </c>
      <c r="E188" t="s">
        <v>969</v>
      </c>
      <c r="F188" t="s">
        <v>970</v>
      </c>
      <c r="G188">
        <v>612</v>
      </c>
      <c r="H188">
        <v>582</v>
      </c>
      <c r="I188">
        <v>570</v>
      </c>
      <c r="J188" t="s">
        <v>944</v>
      </c>
      <c r="K188" t="s">
        <v>868</v>
      </c>
    </row>
    <row r="189" spans="1:11">
      <c r="A189">
        <v>174</v>
      </c>
      <c r="B189" t="s">
        <v>1118</v>
      </c>
      <c r="C189" t="s">
        <v>1118</v>
      </c>
      <c r="D189" t="s">
        <v>860</v>
      </c>
      <c r="E189" t="s">
        <v>1037</v>
      </c>
      <c r="F189" t="s">
        <v>1097</v>
      </c>
      <c r="G189">
        <v>608</v>
      </c>
      <c r="H189">
        <v>578</v>
      </c>
      <c r="I189">
        <v>570</v>
      </c>
      <c r="J189" t="s">
        <v>944</v>
      </c>
      <c r="K189" t="s">
        <v>868</v>
      </c>
    </row>
    <row r="190" spans="1:11">
      <c r="A190">
        <v>174</v>
      </c>
      <c r="B190" t="s">
        <v>1118</v>
      </c>
      <c r="C190" t="s">
        <v>1118</v>
      </c>
      <c r="D190" t="s">
        <v>882</v>
      </c>
      <c r="E190" t="s">
        <v>1054</v>
      </c>
      <c r="F190" t="s">
        <v>1094</v>
      </c>
      <c r="G190">
        <v>611</v>
      </c>
      <c r="H190">
        <v>581</v>
      </c>
      <c r="I190">
        <v>570</v>
      </c>
      <c r="J190" t="s">
        <v>944</v>
      </c>
      <c r="K190" t="s">
        <v>868</v>
      </c>
    </row>
    <row r="191" spans="1:11">
      <c r="A191">
        <v>174</v>
      </c>
      <c r="B191" t="s">
        <v>1118</v>
      </c>
      <c r="C191" t="s">
        <v>1118</v>
      </c>
      <c r="D191" t="s">
        <v>864</v>
      </c>
      <c r="E191" t="s">
        <v>996</v>
      </c>
      <c r="F191" t="s">
        <v>997</v>
      </c>
      <c r="G191">
        <v>610</v>
      </c>
      <c r="H191">
        <v>580</v>
      </c>
      <c r="I191">
        <v>570</v>
      </c>
      <c r="J191" t="s">
        <v>944</v>
      </c>
      <c r="K191" t="s">
        <v>868</v>
      </c>
    </row>
    <row r="192" spans="1:11">
      <c r="A192">
        <v>175</v>
      </c>
      <c r="B192" t="s">
        <v>1119</v>
      </c>
      <c r="C192" t="s">
        <v>1119</v>
      </c>
      <c r="D192" t="s">
        <v>882</v>
      </c>
      <c r="E192" t="s">
        <v>1054</v>
      </c>
      <c r="F192" t="s">
        <v>961</v>
      </c>
      <c r="G192">
        <v>606</v>
      </c>
      <c r="H192">
        <v>576</v>
      </c>
      <c r="I192">
        <v>570</v>
      </c>
      <c r="J192" t="s">
        <v>944</v>
      </c>
      <c r="K192" t="s">
        <v>868</v>
      </c>
    </row>
    <row r="193" spans="1:11">
      <c r="A193">
        <v>175</v>
      </c>
      <c r="B193" t="s">
        <v>1119</v>
      </c>
      <c r="C193" t="s">
        <v>1119</v>
      </c>
      <c r="D193" t="s">
        <v>864</v>
      </c>
      <c r="E193" t="s">
        <v>996</v>
      </c>
      <c r="F193" t="s">
        <v>1020</v>
      </c>
      <c r="G193">
        <v>609</v>
      </c>
      <c r="H193">
        <v>579</v>
      </c>
      <c r="I193">
        <v>570</v>
      </c>
      <c r="J193" t="s">
        <v>944</v>
      </c>
      <c r="K193" t="s">
        <v>868</v>
      </c>
    </row>
    <row r="194" spans="1:11">
      <c r="A194">
        <v>177</v>
      </c>
      <c r="B194" t="s">
        <v>1120</v>
      </c>
      <c r="C194" t="s">
        <v>1120</v>
      </c>
      <c r="D194" t="s">
        <v>860</v>
      </c>
      <c r="E194" t="s">
        <v>1045</v>
      </c>
      <c r="F194" t="s">
        <v>1012</v>
      </c>
      <c r="G194">
        <v>606</v>
      </c>
      <c r="H194">
        <v>576</v>
      </c>
      <c r="I194">
        <v>570</v>
      </c>
      <c r="J194" t="s">
        <v>944</v>
      </c>
      <c r="K194" t="s">
        <v>868</v>
      </c>
    </row>
    <row r="195" spans="1:11">
      <c r="A195">
        <v>179</v>
      </c>
      <c r="B195" t="s">
        <v>1121</v>
      </c>
      <c r="C195" t="s">
        <v>1122</v>
      </c>
      <c r="D195" t="s">
        <v>860</v>
      </c>
      <c r="E195" t="s">
        <v>1037</v>
      </c>
      <c r="F195" t="s">
        <v>1062</v>
      </c>
      <c r="G195">
        <v>608</v>
      </c>
      <c r="H195">
        <v>578</v>
      </c>
      <c r="I195">
        <v>570</v>
      </c>
      <c r="J195" t="s">
        <v>944</v>
      </c>
      <c r="K195" t="s">
        <v>868</v>
      </c>
    </row>
    <row r="196" spans="1:11">
      <c r="A196">
        <v>179</v>
      </c>
      <c r="B196" t="s">
        <v>1121</v>
      </c>
      <c r="C196" t="s">
        <v>1122</v>
      </c>
      <c r="D196" t="s">
        <v>882</v>
      </c>
      <c r="E196" t="s">
        <v>1054</v>
      </c>
      <c r="F196" t="s">
        <v>986</v>
      </c>
      <c r="G196">
        <v>610</v>
      </c>
      <c r="H196">
        <v>580</v>
      </c>
      <c r="I196">
        <v>570</v>
      </c>
      <c r="J196" t="s">
        <v>944</v>
      </c>
      <c r="K196" t="s">
        <v>868</v>
      </c>
    </row>
    <row r="197" spans="1:11">
      <c r="A197">
        <v>179</v>
      </c>
      <c r="B197" t="s">
        <v>1121</v>
      </c>
      <c r="C197" t="s">
        <v>1122</v>
      </c>
      <c r="D197" t="s">
        <v>864</v>
      </c>
      <c r="E197" t="s">
        <v>976</v>
      </c>
      <c r="F197" t="s">
        <v>959</v>
      </c>
      <c r="G197">
        <v>612</v>
      </c>
      <c r="H197">
        <v>582</v>
      </c>
      <c r="I197">
        <v>570</v>
      </c>
      <c r="J197" t="s">
        <v>944</v>
      </c>
      <c r="K197" t="s">
        <v>868</v>
      </c>
    </row>
    <row r="198" spans="1:11">
      <c r="A198">
        <v>182</v>
      </c>
      <c r="B198" t="s">
        <v>1123</v>
      </c>
      <c r="C198" t="s">
        <v>1123</v>
      </c>
      <c r="D198" t="s">
        <v>882</v>
      </c>
      <c r="E198" t="s">
        <v>1013</v>
      </c>
      <c r="F198" t="s">
        <v>1094</v>
      </c>
      <c r="G198">
        <v>611</v>
      </c>
      <c r="H198">
        <v>581</v>
      </c>
      <c r="I198">
        <v>570</v>
      </c>
      <c r="J198" t="s">
        <v>944</v>
      </c>
      <c r="K198" t="s">
        <v>868</v>
      </c>
    </row>
    <row r="199" spans="1:11">
      <c r="A199">
        <v>182</v>
      </c>
      <c r="B199" t="s">
        <v>1123</v>
      </c>
      <c r="C199" t="s">
        <v>1123</v>
      </c>
      <c r="D199" t="s">
        <v>864</v>
      </c>
      <c r="E199" t="s">
        <v>1098</v>
      </c>
      <c r="F199" t="s">
        <v>1035</v>
      </c>
      <c r="G199">
        <v>609</v>
      </c>
      <c r="H199">
        <v>579</v>
      </c>
      <c r="I199">
        <v>570</v>
      </c>
      <c r="J199" t="s">
        <v>944</v>
      </c>
      <c r="K199" t="s">
        <v>868</v>
      </c>
    </row>
    <row r="200" spans="1:11">
      <c r="A200">
        <v>185</v>
      </c>
      <c r="B200" t="s">
        <v>1124</v>
      </c>
      <c r="C200" t="s">
        <v>1125</v>
      </c>
      <c r="D200" t="s">
        <v>860</v>
      </c>
      <c r="E200" t="s">
        <v>1045</v>
      </c>
      <c r="F200" t="s">
        <v>949</v>
      </c>
      <c r="G200">
        <v>608</v>
      </c>
      <c r="H200">
        <v>578</v>
      </c>
      <c r="I200">
        <v>570</v>
      </c>
      <c r="J200" t="s">
        <v>944</v>
      </c>
      <c r="K200" t="s">
        <v>868</v>
      </c>
    </row>
    <row r="201" spans="1:11">
      <c r="A201">
        <v>185</v>
      </c>
      <c r="B201" t="s">
        <v>1124</v>
      </c>
      <c r="C201" t="s">
        <v>1125</v>
      </c>
      <c r="D201" t="s">
        <v>882</v>
      </c>
      <c r="E201" t="s">
        <v>1058</v>
      </c>
      <c r="F201" t="s">
        <v>975</v>
      </c>
      <c r="G201">
        <v>608</v>
      </c>
      <c r="H201">
        <v>578</v>
      </c>
      <c r="I201">
        <v>570</v>
      </c>
      <c r="J201" t="s">
        <v>944</v>
      </c>
      <c r="K201" t="s">
        <v>868</v>
      </c>
    </row>
    <row r="202" spans="1:11">
      <c r="A202">
        <v>185</v>
      </c>
      <c r="B202" t="s">
        <v>1124</v>
      </c>
      <c r="C202" t="s">
        <v>1125</v>
      </c>
      <c r="D202" t="s">
        <v>864</v>
      </c>
      <c r="E202" t="s">
        <v>976</v>
      </c>
      <c r="F202" t="s">
        <v>1068</v>
      </c>
      <c r="G202">
        <v>608</v>
      </c>
      <c r="H202">
        <v>578</v>
      </c>
      <c r="I202">
        <v>570</v>
      </c>
      <c r="J202" t="s">
        <v>944</v>
      </c>
      <c r="K202" t="s">
        <v>868</v>
      </c>
    </row>
    <row r="203" spans="1:11">
      <c r="A203">
        <v>187</v>
      </c>
      <c r="B203" t="s">
        <v>1126</v>
      </c>
      <c r="C203" t="s">
        <v>1126</v>
      </c>
      <c r="D203" t="s">
        <v>882</v>
      </c>
      <c r="E203" t="s">
        <v>1029</v>
      </c>
      <c r="F203" t="s">
        <v>975</v>
      </c>
      <c r="G203">
        <v>611</v>
      </c>
      <c r="H203">
        <v>581</v>
      </c>
      <c r="I203">
        <v>570</v>
      </c>
      <c r="J203" t="s">
        <v>944</v>
      </c>
      <c r="K203" t="s">
        <v>868</v>
      </c>
    </row>
    <row r="204" spans="1:11">
      <c r="A204">
        <v>187</v>
      </c>
      <c r="B204" t="s">
        <v>1126</v>
      </c>
      <c r="C204" t="s">
        <v>1126</v>
      </c>
      <c r="D204" t="s">
        <v>864</v>
      </c>
      <c r="E204" t="s">
        <v>1009</v>
      </c>
      <c r="F204" t="s">
        <v>952</v>
      </c>
      <c r="G204">
        <v>608</v>
      </c>
      <c r="H204">
        <v>578</v>
      </c>
      <c r="I204">
        <v>570</v>
      </c>
      <c r="J204" t="s">
        <v>944</v>
      </c>
      <c r="K204" t="s">
        <v>868</v>
      </c>
    </row>
    <row r="205" spans="1:11">
      <c r="A205">
        <v>191</v>
      </c>
      <c r="B205" t="s">
        <v>1127</v>
      </c>
      <c r="C205" t="s">
        <v>1127</v>
      </c>
      <c r="D205" t="s">
        <v>882</v>
      </c>
      <c r="E205" t="s">
        <v>1013</v>
      </c>
      <c r="F205" t="s">
        <v>1094</v>
      </c>
      <c r="G205">
        <v>612</v>
      </c>
      <c r="H205">
        <v>582</v>
      </c>
      <c r="I205">
        <v>570</v>
      </c>
      <c r="J205" t="s">
        <v>944</v>
      </c>
      <c r="K205" t="s">
        <v>868</v>
      </c>
    </row>
    <row r="206" spans="1:11">
      <c r="A206">
        <v>191</v>
      </c>
      <c r="B206" t="s">
        <v>1127</v>
      </c>
      <c r="C206" t="s">
        <v>1127</v>
      </c>
      <c r="D206" t="s">
        <v>864</v>
      </c>
      <c r="E206" t="s">
        <v>1098</v>
      </c>
      <c r="F206" t="s">
        <v>970</v>
      </c>
      <c r="G206">
        <v>610</v>
      </c>
      <c r="H206">
        <v>580</v>
      </c>
      <c r="I206">
        <v>570</v>
      </c>
      <c r="J206" t="s">
        <v>944</v>
      </c>
      <c r="K206" t="s">
        <v>868</v>
      </c>
    </row>
    <row r="207" spans="1:11">
      <c r="A207">
        <v>192</v>
      </c>
      <c r="B207" t="s">
        <v>1128</v>
      </c>
      <c r="C207" t="s">
        <v>1128</v>
      </c>
      <c r="D207" t="s">
        <v>864</v>
      </c>
      <c r="E207" t="s">
        <v>1098</v>
      </c>
      <c r="F207" t="s">
        <v>997</v>
      </c>
      <c r="G207">
        <v>606</v>
      </c>
      <c r="H207">
        <v>576</v>
      </c>
      <c r="I207">
        <v>570</v>
      </c>
      <c r="J207" t="s">
        <v>944</v>
      </c>
      <c r="K207" t="s">
        <v>868</v>
      </c>
    </row>
    <row r="208" spans="1:11">
      <c r="A208">
        <v>196</v>
      </c>
      <c r="B208" t="s">
        <v>1129</v>
      </c>
      <c r="C208" t="s">
        <v>1130</v>
      </c>
      <c r="D208" t="s">
        <v>860</v>
      </c>
      <c r="E208" t="s">
        <v>889</v>
      </c>
      <c r="F208" t="s">
        <v>949</v>
      </c>
      <c r="G208">
        <v>607</v>
      </c>
      <c r="H208">
        <v>577</v>
      </c>
      <c r="I208">
        <v>570</v>
      </c>
      <c r="J208" t="s">
        <v>944</v>
      </c>
      <c r="K208" t="s">
        <v>868</v>
      </c>
    </row>
    <row r="209" spans="1:11">
      <c r="A209">
        <v>196</v>
      </c>
      <c r="B209" t="s">
        <v>1129</v>
      </c>
      <c r="C209" t="s">
        <v>1130</v>
      </c>
      <c r="D209" t="s">
        <v>882</v>
      </c>
      <c r="E209" t="s">
        <v>1019</v>
      </c>
      <c r="F209" t="s">
        <v>950</v>
      </c>
      <c r="G209">
        <v>606</v>
      </c>
      <c r="H209">
        <v>576</v>
      </c>
      <c r="I209">
        <v>570</v>
      </c>
      <c r="J209" t="s">
        <v>944</v>
      </c>
      <c r="K209" t="s">
        <v>868</v>
      </c>
    </row>
    <row r="210" spans="1:11">
      <c r="A210">
        <v>196</v>
      </c>
      <c r="B210" t="s">
        <v>1129</v>
      </c>
      <c r="C210" t="s">
        <v>1130</v>
      </c>
      <c r="D210" t="s">
        <v>864</v>
      </c>
      <c r="E210" t="s">
        <v>969</v>
      </c>
      <c r="F210" t="s">
        <v>970</v>
      </c>
      <c r="G210">
        <v>613</v>
      </c>
      <c r="H210">
        <v>583</v>
      </c>
      <c r="I210">
        <v>570</v>
      </c>
      <c r="J210" t="s">
        <v>944</v>
      </c>
      <c r="K210" t="s">
        <v>868</v>
      </c>
    </row>
    <row r="211" spans="1:11">
      <c r="A211">
        <v>197</v>
      </c>
      <c r="B211" t="s">
        <v>1131</v>
      </c>
      <c r="C211" t="s">
        <v>1132</v>
      </c>
      <c r="D211" t="s">
        <v>860</v>
      </c>
      <c r="E211" t="s">
        <v>1081</v>
      </c>
      <c r="F211" t="s">
        <v>1062</v>
      </c>
      <c r="G211">
        <v>612</v>
      </c>
      <c r="H211">
        <v>582</v>
      </c>
      <c r="I211">
        <v>570</v>
      </c>
      <c r="J211" t="s">
        <v>944</v>
      </c>
      <c r="K211" t="s">
        <v>868</v>
      </c>
    </row>
    <row r="212" spans="1:11">
      <c r="A212">
        <v>197</v>
      </c>
      <c r="B212" t="s">
        <v>1131</v>
      </c>
      <c r="C212" t="s">
        <v>1132</v>
      </c>
      <c r="D212" t="s">
        <v>882</v>
      </c>
      <c r="E212" t="s">
        <v>1029</v>
      </c>
      <c r="F212" t="s">
        <v>975</v>
      </c>
      <c r="G212">
        <v>611</v>
      </c>
      <c r="H212">
        <v>581</v>
      </c>
      <c r="I212">
        <v>570</v>
      </c>
      <c r="J212" t="s">
        <v>944</v>
      </c>
      <c r="K212" t="s">
        <v>868</v>
      </c>
    </row>
    <row r="213" spans="1:11">
      <c r="A213">
        <v>197</v>
      </c>
      <c r="B213" t="s">
        <v>1131</v>
      </c>
      <c r="C213" t="s">
        <v>1132</v>
      </c>
      <c r="D213" t="s">
        <v>864</v>
      </c>
      <c r="E213" t="s">
        <v>1098</v>
      </c>
      <c r="F213" t="s">
        <v>952</v>
      </c>
      <c r="G213">
        <v>608</v>
      </c>
      <c r="H213">
        <v>578</v>
      </c>
      <c r="I213">
        <v>570</v>
      </c>
      <c r="J213" t="s">
        <v>944</v>
      </c>
      <c r="K213" t="s">
        <v>868</v>
      </c>
    </row>
    <row r="214" spans="1:11">
      <c r="A214">
        <v>198</v>
      </c>
      <c r="B214" t="s">
        <v>1133</v>
      </c>
      <c r="C214" t="s">
        <v>1134</v>
      </c>
      <c r="D214" t="s">
        <v>860</v>
      </c>
      <c r="E214" t="s">
        <v>1135</v>
      </c>
      <c r="J214" t="s">
        <v>946</v>
      </c>
      <c r="K214" t="s">
        <v>863</v>
      </c>
    </row>
    <row r="215" spans="1:11">
      <c r="A215">
        <v>199</v>
      </c>
      <c r="B215" t="s">
        <v>1136</v>
      </c>
      <c r="C215" t="s">
        <v>1137</v>
      </c>
      <c r="D215" t="s">
        <v>882</v>
      </c>
      <c r="E215" t="s">
        <v>1054</v>
      </c>
      <c r="F215" t="s">
        <v>975</v>
      </c>
      <c r="G215">
        <v>608</v>
      </c>
      <c r="H215">
        <v>578</v>
      </c>
      <c r="I215">
        <v>570</v>
      </c>
      <c r="J215" t="s">
        <v>944</v>
      </c>
      <c r="K215" t="s">
        <v>868</v>
      </c>
    </row>
    <row r="216" spans="1:11">
      <c r="A216">
        <v>199</v>
      </c>
      <c r="B216" t="s">
        <v>1136</v>
      </c>
      <c r="C216" t="s">
        <v>1137</v>
      </c>
      <c r="D216" t="s">
        <v>864</v>
      </c>
      <c r="E216" t="s">
        <v>996</v>
      </c>
      <c r="F216" t="s">
        <v>952</v>
      </c>
      <c r="G216">
        <v>611</v>
      </c>
      <c r="H216">
        <v>581</v>
      </c>
      <c r="I216">
        <v>570</v>
      </c>
      <c r="J216" t="s">
        <v>944</v>
      </c>
      <c r="K216" t="s">
        <v>868</v>
      </c>
    </row>
    <row r="217" spans="1:11">
      <c r="A217">
        <v>200</v>
      </c>
      <c r="B217" t="s">
        <v>1138</v>
      </c>
      <c r="C217" t="s">
        <v>1138</v>
      </c>
      <c r="D217" t="s">
        <v>860</v>
      </c>
      <c r="E217" t="s">
        <v>948</v>
      </c>
      <c r="F217" t="s">
        <v>1097</v>
      </c>
      <c r="G217">
        <v>595</v>
      </c>
      <c r="H217">
        <v>565</v>
      </c>
      <c r="I217">
        <v>540</v>
      </c>
      <c r="J217" t="s">
        <v>944</v>
      </c>
      <c r="K217" t="s">
        <v>868</v>
      </c>
    </row>
    <row r="218" spans="1:11">
      <c r="A218">
        <v>200</v>
      </c>
      <c r="B218" t="s">
        <v>1138</v>
      </c>
      <c r="C218" t="s">
        <v>1138</v>
      </c>
      <c r="D218" t="s">
        <v>882</v>
      </c>
      <c r="E218" t="s">
        <v>1054</v>
      </c>
      <c r="F218" t="s">
        <v>1094</v>
      </c>
      <c r="G218">
        <v>611</v>
      </c>
      <c r="H218">
        <v>581</v>
      </c>
      <c r="I218">
        <v>570</v>
      </c>
      <c r="J218" t="s">
        <v>944</v>
      </c>
      <c r="K218" t="s">
        <v>868</v>
      </c>
    </row>
    <row r="219" spans="1:11">
      <c r="A219">
        <v>200</v>
      </c>
      <c r="B219" t="s">
        <v>1138</v>
      </c>
      <c r="C219" t="s">
        <v>1138</v>
      </c>
      <c r="D219" t="s">
        <v>864</v>
      </c>
      <c r="E219" t="s">
        <v>996</v>
      </c>
      <c r="F219" t="s">
        <v>1020</v>
      </c>
      <c r="G219">
        <v>609</v>
      </c>
      <c r="H219">
        <v>579</v>
      </c>
      <c r="I219">
        <v>570</v>
      </c>
      <c r="J219" t="s">
        <v>944</v>
      </c>
      <c r="K219" t="s">
        <v>868</v>
      </c>
    </row>
    <row r="220" spans="1:11">
      <c r="A220">
        <v>201</v>
      </c>
      <c r="B220" t="s">
        <v>1139</v>
      </c>
      <c r="C220" t="s">
        <v>1139</v>
      </c>
      <c r="D220" t="s">
        <v>882</v>
      </c>
      <c r="E220" t="s">
        <v>1029</v>
      </c>
      <c r="F220" t="s">
        <v>975</v>
      </c>
      <c r="G220">
        <v>610</v>
      </c>
      <c r="H220">
        <v>580</v>
      </c>
      <c r="I220">
        <v>570</v>
      </c>
      <c r="J220" t="s">
        <v>944</v>
      </c>
      <c r="K220" t="s">
        <v>868</v>
      </c>
    </row>
    <row r="221" spans="1:11">
      <c r="A221">
        <v>201</v>
      </c>
      <c r="B221" t="s">
        <v>1139</v>
      </c>
      <c r="C221" t="s">
        <v>1139</v>
      </c>
      <c r="D221" t="s">
        <v>864</v>
      </c>
      <c r="E221" t="s">
        <v>1009</v>
      </c>
      <c r="F221" t="s">
        <v>1020</v>
      </c>
      <c r="G221">
        <v>606</v>
      </c>
      <c r="H221">
        <v>576</v>
      </c>
      <c r="I221">
        <v>570</v>
      </c>
      <c r="J221" t="s">
        <v>944</v>
      </c>
      <c r="K221" t="s">
        <v>868</v>
      </c>
    </row>
    <row r="222" spans="1:11">
      <c r="A222">
        <v>202</v>
      </c>
      <c r="B222" t="s">
        <v>1140</v>
      </c>
      <c r="C222" t="s">
        <v>1140</v>
      </c>
      <c r="D222" t="s">
        <v>860</v>
      </c>
      <c r="E222" t="s">
        <v>1011</v>
      </c>
      <c r="F222" t="s">
        <v>1111</v>
      </c>
      <c r="G222">
        <v>622</v>
      </c>
      <c r="H222">
        <v>592</v>
      </c>
      <c r="I222">
        <v>570</v>
      </c>
      <c r="J222" t="s">
        <v>944</v>
      </c>
      <c r="K222" t="s">
        <v>868</v>
      </c>
    </row>
    <row r="223" spans="1:11">
      <c r="A223">
        <v>202</v>
      </c>
      <c r="B223" t="s">
        <v>1140</v>
      </c>
      <c r="C223" t="s">
        <v>1140</v>
      </c>
      <c r="D223" t="s">
        <v>882</v>
      </c>
      <c r="E223" t="s">
        <v>1029</v>
      </c>
      <c r="F223" t="s">
        <v>975</v>
      </c>
      <c r="G223">
        <v>610</v>
      </c>
      <c r="H223">
        <v>580</v>
      </c>
      <c r="I223">
        <v>570</v>
      </c>
      <c r="J223" t="s">
        <v>944</v>
      </c>
      <c r="K223" t="s">
        <v>868</v>
      </c>
    </row>
    <row r="224" spans="1:11">
      <c r="A224">
        <v>202</v>
      </c>
      <c r="B224" t="s">
        <v>1140</v>
      </c>
      <c r="C224" t="s">
        <v>1140</v>
      </c>
      <c r="D224" t="s">
        <v>864</v>
      </c>
      <c r="E224" t="s">
        <v>1009</v>
      </c>
      <c r="F224" t="s">
        <v>1020</v>
      </c>
      <c r="G224">
        <v>606</v>
      </c>
      <c r="H224">
        <v>576</v>
      </c>
      <c r="I224">
        <v>570</v>
      </c>
      <c r="J224" t="s">
        <v>944</v>
      </c>
      <c r="K224" t="s">
        <v>868</v>
      </c>
    </row>
    <row r="225" spans="1:11">
      <c r="A225">
        <v>204</v>
      </c>
      <c r="B225" t="s">
        <v>1141</v>
      </c>
      <c r="C225" t="s">
        <v>1142</v>
      </c>
      <c r="D225" t="s">
        <v>860</v>
      </c>
      <c r="E225" t="s">
        <v>1037</v>
      </c>
      <c r="F225" t="s">
        <v>1062</v>
      </c>
      <c r="G225">
        <v>608</v>
      </c>
      <c r="H225">
        <v>578</v>
      </c>
      <c r="I225">
        <v>570</v>
      </c>
      <c r="J225" t="s">
        <v>944</v>
      </c>
      <c r="K225" t="s">
        <v>868</v>
      </c>
    </row>
    <row r="226" spans="1:11">
      <c r="A226">
        <v>204</v>
      </c>
      <c r="B226" t="s">
        <v>1141</v>
      </c>
      <c r="C226" t="s">
        <v>1142</v>
      </c>
      <c r="D226" t="s">
        <v>882</v>
      </c>
      <c r="E226" t="s">
        <v>1054</v>
      </c>
      <c r="F226" t="s">
        <v>986</v>
      </c>
      <c r="G226">
        <v>610</v>
      </c>
      <c r="H226">
        <v>580</v>
      </c>
      <c r="I226">
        <v>570</v>
      </c>
      <c r="J226" t="s">
        <v>944</v>
      </c>
      <c r="K226" t="s">
        <v>868</v>
      </c>
    </row>
    <row r="227" spans="1:11">
      <c r="A227">
        <v>204</v>
      </c>
      <c r="B227" t="s">
        <v>1141</v>
      </c>
      <c r="C227" t="s">
        <v>1142</v>
      </c>
      <c r="D227" t="s">
        <v>864</v>
      </c>
      <c r="E227" t="s">
        <v>976</v>
      </c>
      <c r="F227" t="s">
        <v>952</v>
      </c>
      <c r="G227">
        <v>612</v>
      </c>
      <c r="H227">
        <v>582</v>
      </c>
      <c r="I227">
        <v>570</v>
      </c>
      <c r="J227" t="s">
        <v>944</v>
      </c>
      <c r="K227" t="s">
        <v>868</v>
      </c>
    </row>
    <row r="228" spans="1:11">
      <c r="A228">
        <v>205</v>
      </c>
      <c r="B228" t="s">
        <v>1143</v>
      </c>
      <c r="C228" t="s">
        <v>1144</v>
      </c>
      <c r="D228" t="s">
        <v>860</v>
      </c>
      <c r="E228" t="s">
        <v>889</v>
      </c>
      <c r="F228" t="s">
        <v>1062</v>
      </c>
      <c r="G228">
        <v>605</v>
      </c>
      <c r="H228">
        <v>575</v>
      </c>
      <c r="I228">
        <v>570</v>
      </c>
      <c r="J228" t="s">
        <v>944</v>
      </c>
      <c r="K228" t="s">
        <v>868</v>
      </c>
    </row>
    <row r="229" spans="1:11">
      <c r="A229">
        <v>205</v>
      </c>
      <c r="B229" t="s">
        <v>1143</v>
      </c>
      <c r="C229" t="s">
        <v>1144</v>
      </c>
      <c r="D229" t="s">
        <v>882</v>
      </c>
      <c r="E229" t="s">
        <v>1019</v>
      </c>
      <c r="F229" t="s">
        <v>1059</v>
      </c>
      <c r="G229">
        <v>602</v>
      </c>
      <c r="H229">
        <v>572</v>
      </c>
      <c r="I229">
        <v>570</v>
      </c>
      <c r="J229" t="s">
        <v>944</v>
      </c>
      <c r="K229" t="s">
        <v>868</v>
      </c>
    </row>
    <row r="230" spans="1:11">
      <c r="A230">
        <v>205</v>
      </c>
      <c r="B230" t="s">
        <v>1143</v>
      </c>
      <c r="C230" t="s">
        <v>1144</v>
      </c>
      <c r="D230" t="s">
        <v>864</v>
      </c>
      <c r="E230" t="s">
        <v>969</v>
      </c>
      <c r="F230" t="s">
        <v>977</v>
      </c>
      <c r="G230">
        <v>606</v>
      </c>
      <c r="H230">
        <v>576</v>
      </c>
      <c r="I230">
        <v>570</v>
      </c>
      <c r="J230" t="s">
        <v>944</v>
      </c>
      <c r="K230" t="s">
        <v>868</v>
      </c>
    </row>
    <row r="231" spans="1:11">
      <c r="A231">
        <v>208</v>
      </c>
      <c r="B231" t="s">
        <v>1145</v>
      </c>
      <c r="C231" t="s">
        <v>1146</v>
      </c>
      <c r="D231" t="s">
        <v>860</v>
      </c>
      <c r="E231" t="s">
        <v>1037</v>
      </c>
      <c r="F231" t="s">
        <v>1007</v>
      </c>
      <c r="G231">
        <v>606</v>
      </c>
      <c r="H231">
        <v>576</v>
      </c>
      <c r="I231">
        <v>570</v>
      </c>
      <c r="J231" t="s">
        <v>944</v>
      </c>
      <c r="K231" t="s">
        <v>868</v>
      </c>
    </row>
    <row r="232" spans="1:11">
      <c r="A232">
        <v>208</v>
      </c>
      <c r="B232" t="s">
        <v>1145</v>
      </c>
      <c r="C232" t="s">
        <v>1146</v>
      </c>
      <c r="D232" t="s">
        <v>864</v>
      </c>
      <c r="E232" t="s">
        <v>969</v>
      </c>
      <c r="F232" t="s">
        <v>963</v>
      </c>
      <c r="G232">
        <v>604</v>
      </c>
      <c r="H232">
        <v>574</v>
      </c>
      <c r="I232">
        <v>570</v>
      </c>
      <c r="J232" t="s">
        <v>944</v>
      </c>
      <c r="K232" t="s">
        <v>868</v>
      </c>
    </row>
    <row r="233" spans="1:11">
      <c r="A233">
        <v>210</v>
      </c>
      <c r="B233" t="s">
        <v>1147</v>
      </c>
      <c r="C233" t="s">
        <v>1147</v>
      </c>
      <c r="D233" t="s">
        <v>860</v>
      </c>
      <c r="E233" t="s">
        <v>1067</v>
      </c>
      <c r="F233" t="s">
        <v>949</v>
      </c>
      <c r="G233">
        <v>607</v>
      </c>
      <c r="H233">
        <v>577</v>
      </c>
      <c r="I233">
        <v>570</v>
      </c>
      <c r="J233" t="s">
        <v>944</v>
      </c>
      <c r="K233" t="s">
        <v>868</v>
      </c>
    </row>
    <row r="234" spans="1:11">
      <c r="A234">
        <v>210</v>
      </c>
      <c r="B234" t="s">
        <v>1147</v>
      </c>
      <c r="C234" t="s">
        <v>1147</v>
      </c>
      <c r="D234" t="s">
        <v>864</v>
      </c>
      <c r="E234" t="s">
        <v>1014</v>
      </c>
      <c r="F234" t="s">
        <v>997</v>
      </c>
      <c r="G234">
        <v>606</v>
      </c>
      <c r="H234">
        <v>576</v>
      </c>
      <c r="I234">
        <v>570</v>
      </c>
      <c r="J234" t="s">
        <v>944</v>
      </c>
      <c r="K234" t="s">
        <v>868</v>
      </c>
    </row>
    <row r="235" spans="1:11">
      <c r="A235">
        <v>211</v>
      </c>
      <c r="B235" t="s">
        <v>1148</v>
      </c>
      <c r="C235" t="s">
        <v>1148</v>
      </c>
      <c r="D235" t="s">
        <v>860</v>
      </c>
      <c r="E235" t="s">
        <v>1037</v>
      </c>
      <c r="F235" t="s">
        <v>1062</v>
      </c>
      <c r="G235">
        <v>607</v>
      </c>
      <c r="H235">
        <v>577</v>
      </c>
      <c r="I235">
        <v>570</v>
      </c>
      <c r="J235" t="s">
        <v>944</v>
      </c>
      <c r="K235" t="s">
        <v>868</v>
      </c>
    </row>
    <row r="236" spans="1:11">
      <c r="A236">
        <v>211</v>
      </c>
      <c r="B236" t="s">
        <v>1148</v>
      </c>
      <c r="C236" t="s">
        <v>1148</v>
      </c>
      <c r="D236" t="s">
        <v>882</v>
      </c>
      <c r="E236" t="s">
        <v>1054</v>
      </c>
      <c r="F236" t="s">
        <v>1059</v>
      </c>
      <c r="G236">
        <v>607</v>
      </c>
      <c r="H236">
        <v>577</v>
      </c>
      <c r="I236">
        <v>570</v>
      </c>
      <c r="J236" t="s">
        <v>944</v>
      </c>
      <c r="K236" t="s">
        <v>868</v>
      </c>
    </row>
    <row r="237" spans="1:11">
      <c r="A237">
        <v>211</v>
      </c>
      <c r="B237" t="s">
        <v>1148</v>
      </c>
      <c r="C237" t="s">
        <v>1148</v>
      </c>
      <c r="D237" t="s">
        <v>864</v>
      </c>
      <c r="E237" t="s">
        <v>996</v>
      </c>
      <c r="F237" t="s">
        <v>1068</v>
      </c>
      <c r="G237">
        <v>607</v>
      </c>
      <c r="H237">
        <v>577</v>
      </c>
      <c r="I237">
        <v>570</v>
      </c>
      <c r="J237" t="s">
        <v>944</v>
      </c>
      <c r="K237" t="s">
        <v>868</v>
      </c>
    </row>
    <row r="238" spans="1:11">
      <c r="A238">
        <v>212</v>
      </c>
      <c r="B238" t="s">
        <v>1149</v>
      </c>
      <c r="C238" t="s">
        <v>1149</v>
      </c>
      <c r="D238" t="s">
        <v>860</v>
      </c>
      <c r="E238" t="s">
        <v>1037</v>
      </c>
      <c r="F238" t="s">
        <v>949</v>
      </c>
      <c r="G238">
        <v>609</v>
      </c>
      <c r="H238">
        <v>579</v>
      </c>
      <c r="I238">
        <v>570</v>
      </c>
      <c r="J238" t="s">
        <v>944</v>
      </c>
      <c r="K238" t="s">
        <v>868</v>
      </c>
    </row>
    <row r="239" spans="1:11">
      <c r="A239">
        <v>212</v>
      </c>
      <c r="B239" t="s">
        <v>1149</v>
      </c>
      <c r="C239" t="s">
        <v>1149</v>
      </c>
      <c r="D239" t="s">
        <v>882</v>
      </c>
      <c r="E239" t="s">
        <v>1054</v>
      </c>
      <c r="F239" t="s">
        <v>986</v>
      </c>
      <c r="G239">
        <v>610</v>
      </c>
      <c r="H239">
        <v>580</v>
      </c>
      <c r="I239">
        <v>570</v>
      </c>
      <c r="J239" t="s">
        <v>944</v>
      </c>
      <c r="K239" t="s">
        <v>868</v>
      </c>
    </row>
    <row r="240" spans="1:11">
      <c r="A240">
        <v>212</v>
      </c>
      <c r="B240" t="s">
        <v>1149</v>
      </c>
      <c r="C240" t="s">
        <v>1149</v>
      </c>
      <c r="D240" t="s">
        <v>864</v>
      </c>
      <c r="E240" t="s">
        <v>996</v>
      </c>
      <c r="F240" t="s">
        <v>997</v>
      </c>
      <c r="G240">
        <v>610</v>
      </c>
      <c r="H240">
        <v>580</v>
      </c>
      <c r="I240">
        <v>570</v>
      </c>
      <c r="J240" t="s">
        <v>944</v>
      </c>
      <c r="K240" t="s">
        <v>868</v>
      </c>
    </row>
    <row r="241" spans="1:11">
      <c r="A241">
        <v>214</v>
      </c>
      <c r="B241" t="s">
        <v>1150</v>
      </c>
      <c r="C241" t="s">
        <v>1151</v>
      </c>
      <c r="D241" t="s">
        <v>860</v>
      </c>
      <c r="E241" t="s">
        <v>1037</v>
      </c>
      <c r="F241" t="s">
        <v>1097</v>
      </c>
      <c r="G241">
        <v>609</v>
      </c>
      <c r="H241">
        <v>579</v>
      </c>
      <c r="I241">
        <v>570</v>
      </c>
      <c r="J241" t="s">
        <v>944</v>
      </c>
      <c r="K241" t="s">
        <v>868</v>
      </c>
    </row>
    <row r="242" spans="1:11">
      <c r="A242">
        <v>214</v>
      </c>
      <c r="B242" t="s">
        <v>1150</v>
      </c>
      <c r="C242" t="s">
        <v>1151</v>
      </c>
      <c r="D242" t="s">
        <v>882</v>
      </c>
      <c r="E242" t="s">
        <v>1054</v>
      </c>
      <c r="F242" t="s">
        <v>1094</v>
      </c>
      <c r="G242">
        <v>610</v>
      </c>
      <c r="H242">
        <v>580</v>
      </c>
      <c r="I242">
        <v>570</v>
      </c>
      <c r="J242" t="s">
        <v>944</v>
      </c>
      <c r="K242" t="s">
        <v>868</v>
      </c>
    </row>
    <row r="243" spans="1:11">
      <c r="A243">
        <v>214</v>
      </c>
      <c r="B243" t="s">
        <v>1150</v>
      </c>
      <c r="C243" t="s">
        <v>1151</v>
      </c>
      <c r="D243" t="s">
        <v>864</v>
      </c>
      <c r="E243" t="s">
        <v>996</v>
      </c>
      <c r="F243" t="s">
        <v>1020</v>
      </c>
      <c r="G243">
        <v>609</v>
      </c>
      <c r="H243">
        <v>579</v>
      </c>
      <c r="I243">
        <v>570</v>
      </c>
      <c r="J243" t="s">
        <v>944</v>
      </c>
      <c r="K243" t="s">
        <v>868</v>
      </c>
    </row>
    <row r="244" spans="1:11">
      <c r="A244">
        <v>215</v>
      </c>
      <c r="B244" t="s">
        <v>1152</v>
      </c>
      <c r="C244" t="s">
        <v>1152</v>
      </c>
      <c r="D244" t="s">
        <v>860</v>
      </c>
      <c r="E244" t="s">
        <v>1037</v>
      </c>
      <c r="F244" t="s">
        <v>1097</v>
      </c>
      <c r="G244">
        <v>609</v>
      </c>
      <c r="H244">
        <v>579</v>
      </c>
      <c r="I244">
        <v>570</v>
      </c>
      <c r="J244" t="s">
        <v>944</v>
      </c>
      <c r="K244" t="s">
        <v>868</v>
      </c>
    </row>
    <row r="245" spans="1:11">
      <c r="A245">
        <v>215</v>
      </c>
      <c r="B245" t="s">
        <v>1152</v>
      </c>
      <c r="C245" t="s">
        <v>1152</v>
      </c>
      <c r="D245" t="s">
        <v>882</v>
      </c>
      <c r="E245" t="s">
        <v>1054</v>
      </c>
      <c r="F245" t="s">
        <v>1094</v>
      </c>
      <c r="G245">
        <v>610</v>
      </c>
      <c r="H245">
        <v>580</v>
      </c>
      <c r="I245">
        <v>570</v>
      </c>
      <c r="J245" t="s">
        <v>944</v>
      </c>
      <c r="K245" t="s">
        <v>868</v>
      </c>
    </row>
    <row r="246" spans="1:11">
      <c r="A246">
        <v>215</v>
      </c>
      <c r="B246" t="s">
        <v>1152</v>
      </c>
      <c r="C246" t="s">
        <v>1152</v>
      </c>
      <c r="D246" t="s">
        <v>864</v>
      </c>
      <c r="E246" t="s">
        <v>976</v>
      </c>
      <c r="F246" t="s">
        <v>1020</v>
      </c>
      <c r="G246">
        <v>610</v>
      </c>
      <c r="H246">
        <v>580</v>
      </c>
      <c r="I246">
        <v>570</v>
      </c>
      <c r="J246" t="s">
        <v>944</v>
      </c>
      <c r="K246" t="s">
        <v>868</v>
      </c>
    </row>
    <row r="247" spans="1:11">
      <c r="A247">
        <v>217</v>
      </c>
      <c r="B247" t="s">
        <v>1153</v>
      </c>
      <c r="C247" t="s">
        <v>1153</v>
      </c>
      <c r="D247" t="s">
        <v>882</v>
      </c>
      <c r="E247" t="s">
        <v>1013</v>
      </c>
      <c r="F247" t="s">
        <v>986</v>
      </c>
      <c r="G247">
        <v>610</v>
      </c>
      <c r="H247">
        <v>580</v>
      </c>
      <c r="I247">
        <v>570</v>
      </c>
      <c r="J247" t="s">
        <v>944</v>
      </c>
      <c r="K247" t="s">
        <v>868</v>
      </c>
    </row>
    <row r="248" spans="1:11">
      <c r="A248">
        <v>217</v>
      </c>
      <c r="B248" t="s">
        <v>1153</v>
      </c>
      <c r="C248" t="s">
        <v>1153</v>
      </c>
      <c r="D248" t="s">
        <v>864</v>
      </c>
      <c r="E248" t="s">
        <v>1014</v>
      </c>
      <c r="F248" t="s">
        <v>952</v>
      </c>
      <c r="G248">
        <v>607</v>
      </c>
      <c r="H248">
        <v>577</v>
      </c>
      <c r="I248">
        <v>570</v>
      </c>
      <c r="J248" t="s">
        <v>944</v>
      </c>
      <c r="K248" t="s">
        <v>868</v>
      </c>
    </row>
    <row r="249" spans="1:11">
      <c r="A249">
        <v>220</v>
      </c>
      <c r="B249" t="s">
        <v>1154</v>
      </c>
      <c r="C249" t="s">
        <v>1155</v>
      </c>
      <c r="D249" t="s">
        <v>860</v>
      </c>
      <c r="E249" t="s">
        <v>889</v>
      </c>
      <c r="F249" t="s">
        <v>1156</v>
      </c>
      <c r="G249">
        <v>610</v>
      </c>
      <c r="H249">
        <v>580</v>
      </c>
      <c r="I249">
        <v>570</v>
      </c>
      <c r="J249" t="s">
        <v>944</v>
      </c>
      <c r="K249" t="s">
        <v>868</v>
      </c>
    </row>
    <row r="250" spans="1:11">
      <c r="A250">
        <v>220</v>
      </c>
      <c r="B250" t="s">
        <v>1154</v>
      </c>
      <c r="C250" t="s">
        <v>1155</v>
      </c>
      <c r="D250" t="s">
        <v>882</v>
      </c>
      <c r="E250" t="s">
        <v>1019</v>
      </c>
      <c r="F250" t="s">
        <v>986</v>
      </c>
      <c r="G250">
        <v>604</v>
      </c>
      <c r="H250">
        <v>574</v>
      </c>
      <c r="I250">
        <v>570</v>
      </c>
      <c r="J250" t="s">
        <v>944</v>
      </c>
      <c r="K250" t="s">
        <v>868</v>
      </c>
    </row>
    <row r="251" spans="1:11">
      <c r="A251">
        <v>222</v>
      </c>
      <c r="B251" t="s">
        <v>1157</v>
      </c>
      <c r="C251" t="s">
        <v>1157</v>
      </c>
      <c r="D251" t="s">
        <v>860</v>
      </c>
      <c r="E251" t="s">
        <v>1045</v>
      </c>
      <c r="F251" t="s">
        <v>1097</v>
      </c>
      <c r="G251">
        <v>608</v>
      </c>
      <c r="H251">
        <v>578</v>
      </c>
      <c r="I251">
        <v>570</v>
      </c>
      <c r="J251" t="s">
        <v>944</v>
      </c>
      <c r="K251" t="s">
        <v>868</v>
      </c>
    </row>
    <row r="252" spans="1:11">
      <c r="A252">
        <v>222</v>
      </c>
      <c r="B252" t="s">
        <v>1157</v>
      </c>
      <c r="C252" t="s">
        <v>1157</v>
      </c>
      <c r="D252" t="s">
        <v>882</v>
      </c>
      <c r="E252" t="s">
        <v>1019</v>
      </c>
      <c r="F252" t="s">
        <v>993</v>
      </c>
      <c r="G252">
        <v>600</v>
      </c>
      <c r="H252">
        <v>570</v>
      </c>
      <c r="I252">
        <v>570</v>
      </c>
      <c r="J252" t="s">
        <v>944</v>
      </c>
      <c r="K252" t="s">
        <v>868</v>
      </c>
    </row>
    <row r="253" spans="1:11">
      <c r="A253">
        <v>222</v>
      </c>
      <c r="B253" t="s">
        <v>1157</v>
      </c>
      <c r="C253" t="s">
        <v>1157</v>
      </c>
      <c r="D253" t="s">
        <v>864</v>
      </c>
      <c r="E253" t="s">
        <v>976</v>
      </c>
      <c r="F253" t="s">
        <v>997</v>
      </c>
      <c r="G253">
        <v>611</v>
      </c>
      <c r="H253">
        <v>581</v>
      </c>
      <c r="I253">
        <v>570</v>
      </c>
      <c r="J253" t="s">
        <v>944</v>
      </c>
      <c r="K253" t="s">
        <v>868</v>
      </c>
    </row>
    <row r="254" spans="1:11">
      <c r="A254">
        <v>223</v>
      </c>
      <c r="B254" t="s">
        <v>1158</v>
      </c>
      <c r="C254" t="s">
        <v>1158</v>
      </c>
      <c r="D254" t="s">
        <v>860</v>
      </c>
      <c r="E254" t="s">
        <v>991</v>
      </c>
      <c r="F254" t="s">
        <v>1072</v>
      </c>
      <c r="G254">
        <v>478</v>
      </c>
      <c r="H254">
        <v>448</v>
      </c>
      <c r="I254">
        <v>420</v>
      </c>
      <c r="J254" t="s">
        <v>944</v>
      </c>
      <c r="K254" t="s">
        <v>868</v>
      </c>
    </row>
    <row r="255" spans="1:11">
      <c r="A255">
        <v>223</v>
      </c>
      <c r="B255" t="s">
        <v>1158</v>
      </c>
      <c r="C255" t="s">
        <v>1158</v>
      </c>
      <c r="D255" t="s">
        <v>882</v>
      </c>
      <c r="E255" t="s">
        <v>925</v>
      </c>
      <c r="F255" t="s">
        <v>993</v>
      </c>
      <c r="G255">
        <v>599</v>
      </c>
      <c r="H255">
        <v>569</v>
      </c>
      <c r="I255">
        <v>540</v>
      </c>
      <c r="J255" t="s">
        <v>944</v>
      </c>
      <c r="K255" t="s">
        <v>868</v>
      </c>
    </row>
    <row r="256" spans="1:11">
      <c r="A256">
        <v>233</v>
      </c>
      <c r="B256" t="s">
        <v>936</v>
      </c>
      <c r="C256" t="s">
        <v>937</v>
      </c>
      <c r="D256" t="s">
        <v>860</v>
      </c>
      <c r="E256" t="s">
        <v>1159</v>
      </c>
      <c r="J256" t="s">
        <v>946</v>
      </c>
      <c r="K256" t="s">
        <v>863</v>
      </c>
    </row>
    <row r="257" spans="1:11">
      <c r="A257">
        <v>233</v>
      </c>
      <c r="B257" t="s">
        <v>936</v>
      </c>
      <c r="C257" t="s">
        <v>937</v>
      </c>
      <c r="D257" t="s">
        <v>882</v>
      </c>
      <c r="E257" t="s">
        <v>993</v>
      </c>
      <c r="J257" t="s">
        <v>946</v>
      </c>
      <c r="K257" t="s">
        <v>863</v>
      </c>
    </row>
    <row r="258" spans="1:11">
      <c r="A258">
        <v>233</v>
      </c>
      <c r="B258" t="s">
        <v>936</v>
      </c>
      <c r="C258" t="s">
        <v>937</v>
      </c>
      <c r="D258" t="s">
        <v>864</v>
      </c>
      <c r="E258" t="s">
        <v>1009</v>
      </c>
      <c r="F258" t="s">
        <v>963</v>
      </c>
      <c r="G258">
        <v>603</v>
      </c>
      <c r="H258">
        <v>573</v>
      </c>
      <c r="I258">
        <v>570</v>
      </c>
      <c r="J258" t="s">
        <v>944</v>
      </c>
      <c r="K258" t="s">
        <v>868</v>
      </c>
    </row>
    <row r="259" spans="1:11">
      <c r="A259">
        <v>234</v>
      </c>
      <c r="B259" t="s">
        <v>939</v>
      </c>
      <c r="C259" t="s">
        <v>939</v>
      </c>
      <c r="D259" t="s">
        <v>860</v>
      </c>
      <c r="E259" t="s">
        <v>1159</v>
      </c>
      <c r="J259" t="s">
        <v>946</v>
      </c>
      <c r="K259" t="s">
        <v>863</v>
      </c>
    </row>
    <row r="260" spans="1:11">
      <c r="A260">
        <v>234</v>
      </c>
      <c r="B260" t="s">
        <v>939</v>
      </c>
      <c r="C260" t="s">
        <v>939</v>
      </c>
      <c r="D260" t="s">
        <v>882</v>
      </c>
      <c r="E260" t="s">
        <v>993</v>
      </c>
      <c r="J260" t="s">
        <v>946</v>
      </c>
      <c r="K260" t="s">
        <v>863</v>
      </c>
    </row>
    <row r="261" spans="1:11">
      <c r="A261">
        <v>234</v>
      </c>
      <c r="B261" t="s">
        <v>939</v>
      </c>
      <c r="C261" t="s">
        <v>939</v>
      </c>
      <c r="D261" t="s">
        <v>864</v>
      </c>
      <c r="E261" t="s">
        <v>1009</v>
      </c>
      <c r="F261" t="s">
        <v>963</v>
      </c>
      <c r="G261">
        <v>604</v>
      </c>
      <c r="H261">
        <v>574</v>
      </c>
      <c r="I261">
        <v>570</v>
      </c>
      <c r="J261" t="s">
        <v>944</v>
      </c>
      <c r="K261" t="s">
        <v>868</v>
      </c>
    </row>
    <row r="262" spans="1:11">
      <c r="A262">
        <v>240</v>
      </c>
      <c r="B262" t="s">
        <v>1160</v>
      </c>
      <c r="C262" t="s">
        <v>1160</v>
      </c>
      <c r="D262" t="s">
        <v>860</v>
      </c>
      <c r="E262" t="s">
        <v>889</v>
      </c>
      <c r="F262" t="s">
        <v>1012</v>
      </c>
      <c r="G262">
        <v>605</v>
      </c>
      <c r="H262">
        <v>575</v>
      </c>
      <c r="I262">
        <v>570</v>
      </c>
      <c r="J262" t="s">
        <v>944</v>
      </c>
      <c r="K262" t="s">
        <v>868</v>
      </c>
    </row>
    <row r="263" spans="1:11">
      <c r="A263">
        <v>240</v>
      </c>
      <c r="B263" t="s">
        <v>1160</v>
      </c>
      <c r="C263" t="s">
        <v>1160</v>
      </c>
      <c r="D263" t="s">
        <v>864</v>
      </c>
      <c r="E263" t="s">
        <v>969</v>
      </c>
      <c r="F263" t="s">
        <v>963</v>
      </c>
      <c r="G263">
        <v>605</v>
      </c>
      <c r="H263">
        <v>575</v>
      </c>
      <c r="I263">
        <v>570</v>
      </c>
      <c r="J263" t="s">
        <v>944</v>
      </c>
      <c r="K263" t="s">
        <v>868</v>
      </c>
    </row>
    <row r="264" spans="1:11">
      <c r="A264">
        <v>242</v>
      </c>
      <c r="B264" t="s">
        <v>1161</v>
      </c>
      <c r="C264" t="s">
        <v>1161</v>
      </c>
      <c r="D264" t="s">
        <v>860</v>
      </c>
      <c r="E264" t="s">
        <v>1162</v>
      </c>
      <c r="F264" t="s">
        <v>949</v>
      </c>
      <c r="G264">
        <v>619</v>
      </c>
      <c r="H264">
        <v>589</v>
      </c>
      <c r="I264">
        <v>570</v>
      </c>
      <c r="J264" t="s">
        <v>944</v>
      </c>
      <c r="K264" t="s">
        <v>868</v>
      </c>
    </row>
    <row r="265" spans="1:11">
      <c r="A265">
        <v>242</v>
      </c>
      <c r="B265" t="s">
        <v>1161</v>
      </c>
      <c r="C265" t="s">
        <v>1161</v>
      </c>
      <c r="D265" t="s">
        <v>864</v>
      </c>
      <c r="E265" t="s">
        <v>1163</v>
      </c>
      <c r="F265" t="s">
        <v>977</v>
      </c>
      <c r="G265">
        <v>624</v>
      </c>
      <c r="H265">
        <v>594</v>
      </c>
      <c r="I265">
        <v>570</v>
      </c>
      <c r="J265" t="s">
        <v>944</v>
      </c>
      <c r="K265" t="s">
        <v>868</v>
      </c>
    </row>
    <row r="266" spans="1:11">
      <c r="A266">
        <v>243</v>
      </c>
      <c r="B266" t="s">
        <v>1164</v>
      </c>
      <c r="C266" t="s">
        <v>1164</v>
      </c>
      <c r="D266" t="s">
        <v>860</v>
      </c>
      <c r="E266" t="s">
        <v>1045</v>
      </c>
      <c r="F266" t="s">
        <v>1012</v>
      </c>
      <c r="G266">
        <v>606</v>
      </c>
      <c r="H266">
        <v>576</v>
      </c>
      <c r="I266">
        <v>570</v>
      </c>
      <c r="J266" t="s">
        <v>944</v>
      </c>
      <c r="K266" t="s">
        <v>868</v>
      </c>
    </row>
    <row r="267" spans="1:11">
      <c r="A267">
        <v>243</v>
      </c>
      <c r="B267" t="s">
        <v>1164</v>
      </c>
      <c r="C267" t="s">
        <v>1164</v>
      </c>
      <c r="D267" t="s">
        <v>882</v>
      </c>
      <c r="E267" t="s">
        <v>1054</v>
      </c>
      <c r="F267" t="s">
        <v>993</v>
      </c>
      <c r="G267">
        <v>606</v>
      </c>
      <c r="H267">
        <v>576</v>
      </c>
      <c r="I267">
        <v>570</v>
      </c>
      <c r="J267" t="s">
        <v>944</v>
      </c>
      <c r="K267" t="s">
        <v>868</v>
      </c>
    </row>
    <row r="268" spans="1:11">
      <c r="A268">
        <v>244</v>
      </c>
      <c r="B268" t="s">
        <v>1165</v>
      </c>
      <c r="C268" t="s">
        <v>1165</v>
      </c>
      <c r="D268" t="s">
        <v>882</v>
      </c>
      <c r="E268" t="s">
        <v>1019</v>
      </c>
      <c r="F268" t="s">
        <v>1166</v>
      </c>
      <c r="G268">
        <v>89</v>
      </c>
      <c r="J268" t="s">
        <v>1167</v>
      </c>
      <c r="K268" t="s">
        <v>863</v>
      </c>
    </row>
    <row r="269" spans="1:11">
      <c r="A269">
        <v>247</v>
      </c>
      <c r="B269" t="s">
        <v>1168</v>
      </c>
      <c r="C269" t="s">
        <v>1168</v>
      </c>
      <c r="D269" t="s">
        <v>860</v>
      </c>
      <c r="E269" t="s">
        <v>1011</v>
      </c>
      <c r="F269" t="s">
        <v>1012</v>
      </c>
      <c r="G269">
        <v>612</v>
      </c>
      <c r="H269">
        <v>582</v>
      </c>
      <c r="I269">
        <v>570</v>
      </c>
      <c r="J269" t="s">
        <v>944</v>
      </c>
      <c r="K269" t="s">
        <v>868</v>
      </c>
    </row>
    <row r="270" spans="1:11">
      <c r="A270">
        <v>247</v>
      </c>
      <c r="B270" t="s">
        <v>1168</v>
      </c>
      <c r="C270" t="s">
        <v>1168</v>
      </c>
      <c r="D270" t="s">
        <v>882</v>
      </c>
      <c r="E270" t="s">
        <v>1029</v>
      </c>
      <c r="F270" t="s">
        <v>961</v>
      </c>
      <c r="G270">
        <v>609</v>
      </c>
      <c r="H270">
        <v>579</v>
      </c>
      <c r="I270">
        <v>570</v>
      </c>
      <c r="J270" t="s">
        <v>944</v>
      </c>
      <c r="K270" t="s">
        <v>868</v>
      </c>
    </row>
    <row r="271" spans="1:11">
      <c r="A271">
        <v>247</v>
      </c>
      <c r="B271" t="s">
        <v>1168</v>
      </c>
      <c r="C271" t="s">
        <v>1168</v>
      </c>
      <c r="D271" t="s">
        <v>864</v>
      </c>
      <c r="E271" t="s">
        <v>1098</v>
      </c>
      <c r="F271" t="s">
        <v>963</v>
      </c>
      <c r="G271">
        <v>603</v>
      </c>
      <c r="H271">
        <v>573</v>
      </c>
      <c r="I271">
        <v>570</v>
      </c>
      <c r="J271" t="s">
        <v>944</v>
      </c>
      <c r="K271" t="s">
        <v>868</v>
      </c>
    </row>
    <row r="272" spans="1:11">
      <c r="A272">
        <v>248</v>
      </c>
      <c r="B272" t="s">
        <v>1169</v>
      </c>
      <c r="C272" t="s">
        <v>1169</v>
      </c>
      <c r="D272" t="s">
        <v>882</v>
      </c>
      <c r="E272" t="s">
        <v>1058</v>
      </c>
      <c r="F272" t="s">
        <v>950</v>
      </c>
      <c r="G272">
        <v>611</v>
      </c>
      <c r="H272">
        <v>581</v>
      </c>
      <c r="I272">
        <v>570</v>
      </c>
      <c r="J272" t="s">
        <v>944</v>
      </c>
      <c r="K272" t="s">
        <v>868</v>
      </c>
    </row>
    <row r="273" spans="1:11">
      <c r="A273">
        <v>248</v>
      </c>
      <c r="B273" t="s">
        <v>1169</v>
      </c>
      <c r="C273" t="s">
        <v>1169</v>
      </c>
      <c r="D273" t="s">
        <v>864</v>
      </c>
      <c r="E273" t="s">
        <v>1170</v>
      </c>
      <c r="F273" t="s">
        <v>952</v>
      </c>
      <c r="G273">
        <v>568</v>
      </c>
      <c r="H273">
        <v>538</v>
      </c>
      <c r="I273">
        <v>510</v>
      </c>
      <c r="J273" t="s">
        <v>944</v>
      </c>
      <c r="K273" t="s">
        <v>868</v>
      </c>
    </row>
    <row r="274" spans="1:11">
      <c r="A274">
        <v>249</v>
      </c>
      <c r="B274" t="s">
        <v>1171</v>
      </c>
      <c r="C274" t="s">
        <v>1172</v>
      </c>
      <c r="D274" t="s">
        <v>860</v>
      </c>
      <c r="E274" t="s">
        <v>1173</v>
      </c>
      <c r="F274" t="s">
        <v>949</v>
      </c>
      <c r="G274">
        <v>568</v>
      </c>
      <c r="H274">
        <v>538</v>
      </c>
      <c r="I274">
        <v>510</v>
      </c>
      <c r="J274" t="s">
        <v>944</v>
      </c>
      <c r="K274" t="s">
        <v>868</v>
      </c>
    </row>
    <row r="275" spans="1:11">
      <c r="A275">
        <v>249</v>
      </c>
      <c r="B275" t="s">
        <v>1171</v>
      </c>
      <c r="C275" t="s">
        <v>1172</v>
      </c>
      <c r="D275" t="s">
        <v>882</v>
      </c>
      <c r="E275" t="s">
        <v>1174</v>
      </c>
      <c r="F275" t="s">
        <v>1049</v>
      </c>
      <c r="G275">
        <v>566</v>
      </c>
      <c r="H275">
        <v>536</v>
      </c>
      <c r="I275">
        <v>510</v>
      </c>
      <c r="J275" t="s">
        <v>944</v>
      </c>
      <c r="K275" t="s">
        <v>868</v>
      </c>
    </row>
    <row r="276" spans="1:11">
      <c r="A276">
        <v>249</v>
      </c>
      <c r="B276" t="s">
        <v>1171</v>
      </c>
      <c r="C276" t="s">
        <v>1172</v>
      </c>
      <c r="D276" t="s">
        <v>864</v>
      </c>
      <c r="E276" t="s">
        <v>1175</v>
      </c>
      <c r="F276" t="s">
        <v>1176</v>
      </c>
      <c r="G276">
        <v>353</v>
      </c>
      <c r="H276">
        <v>323</v>
      </c>
      <c r="I276">
        <v>300</v>
      </c>
      <c r="J276" t="s">
        <v>944</v>
      </c>
      <c r="K276" t="s">
        <v>868</v>
      </c>
    </row>
    <row r="277" spans="1:11">
      <c r="A277">
        <v>250</v>
      </c>
      <c r="B277" t="s">
        <v>1177</v>
      </c>
      <c r="C277" t="s">
        <v>1178</v>
      </c>
      <c r="D277" t="s">
        <v>860</v>
      </c>
      <c r="E277" t="s">
        <v>1022</v>
      </c>
      <c r="F277" t="s">
        <v>1179</v>
      </c>
      <c r="G277">
        <v>614</v>
      </c>
      <c r="H277">
        <v>584</v>
      </c>
      <c r="I277">
        <v>570</v>
      </c>
      <c r="J277" t="s">
        <v>944</v>
      </c>
      <c r="K277" t="s">
        <v>868</v>
      </c>
    </row>
    <row r="278" spans="1:11">
      <c r="A278">
        <v>250</v>
      </c>
      <c r="B278" t="s">
        <v>1177</v>
      </c>
      <c r="C278" t="s">
        <v>1178</v>
      </c>
      <c r="D278" t="s">
        <v>882</v>
      </c>
      <c r="E278" t="s">
        <v>1024</v>
      </c>
      <c r="F278" t="s">
        <v>1025</v>
      </c>
      <c r="G278">
        <v>631</v>
      </c>
      <c r="H278">
        <v>601</v>
      </c>
      <c r="I278">
        <v>600</v>
      </c>
      <c r="J278" t="s">
        <v>944</v>
      </c>
      <c r="K278" t="s">
        <v>868</v>
      </c>
    </row>
    <row r="279" spans="1:11">
      <c r="A279">
        <v>250</v>
      </c>
      <c r="B279" t="s">
        <v>1177</v>
      </c>
      <c r="C279" t="s">
        <v>1178</v>
      </c>
      <c r="D279" t="s">
        <v>864</v>
      </c>
      <c r="E279" t="s">
        <v>1180</v>
      </c>
      <c r="J279" t="s">
        <v>946</v>
      </c>
      <c r="K279" t="s">
        <v>863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12"/>
  <sheetViews>
    <sheetView workbookViewId="0"/>
  </sheetViews>
  <sheetFormatPr baseColWidth="10" defaultColWidth="9" defaultRowHeight="14.25"/>
  <sheetData>
    <row r="1" spans="1:11" ht="15">
      <c r="A1" s="25" t="s">
        <v>848</v>
      </c>
      <c r="B1" s="25" t="s">
        <v>849</v>
      </c>
      <c r="C1" s="25" t="s">
        <v>850</v>
      </c>
      <c r="D1" s="25" t="s">
        <v>851</v>
      </c>
      <c r="E1" s="25" t="s">
        <v>852</v>
      </c>
      <c r="F1" s="25" t="s">
        <v>853</v>
      </c>
      <c r="G1" s="25" t="s">
        <v>854</v>
      </c>
      <c r="H1" s="25" t="s">
        <v>855</v>
      </c>
      <c r="I1" s="25" t="s">
        <v>856</v>
      </c>
      <c r="J1" s="25" t="s">
        <v>857</v>
      </c>
      <c r="K1" s="25" t="s">
        <v>858</v>
      </c>
    </row>
    <row r="2" spans="1:11">
      <c r="A2">
        <v>50</v>
      </c>
      <c r="B2" t="s">
        <v>904</v>
      </c>
      <c r="C2" t="s">
        <v>905</v>
      </c>
      <c r="D2" t="s">
        <v>1181</v>
      </c>
      <c r="E2" t="s">
        <v>1182</v>
      </c>
      <c r="F2" t="s">
        <v>1183</v>
      </c>
      <c r="G2">
        <v>482</v>
      </c>
      <c r="H2">
        <v>452</v>
      </c>
      <c r="I2">
        <v>450</v>
      </c>
      <c r="J2" t="s">
        <v>867</v>
      </c>
      <c r="K2" t="s">
        <v>868</v>
      </c>
    </row>
    <row r="3" spans="1:11">
      <c r="A3">
        <v>53</v>
      </c>
      <c r="B3" t="s">
        <v>1018</v>
      </c>
      <c r="C3" t="s">
        <v>1018</v>
      </c>
      <c r="D3" t="s">
        <v>1181</v>
      </c>
      <c r="E3" t="s">
        <v>1184</v>
      </c>
      <c r="F3" t="s">
        <v>1185</v>
      </c>
      <c r="G3">
        <v>610</v>
      </c>
      <c r="H3">
        <v>580</v>
      </c>
      <c r="I3">
        <v>570</v>
      </c>
      <c r="J3" t="s">
        <v>944</v>
      </c>
      <c r="K3" t="s">
        <v>868</v>
      </c>
    </row>
    <row r="4" spans="1:11">
      <c r="A4">
        <v>70</v>
      </c>
      <c r="B4" t="s">
        <v>887</v>
      </c>
      <c r="C4" t="s">
        <v>887</v>
      </c>
      <c r="D4" t="s">
        <v>1181</v>
      </c>
      <c r="E4" t="s">
        <v>1186</v>
      </c>
      <c r="J4" t="s">
        <v>862</v>
      </c>
      <c r="K4" t="s">
        <v>863</v>
      </c>
    </row>
    <row r="5" spans="1:11">
      <c r="A5">
        <v>71</v>
      </c>
      <c r="B5" t="s">
        <v>895</v>
      </c>
      <c r="C5" t="s">
        <v>896</v>
      </c>
      <c r="D5" t="s">
        <v>1181</v>
      </c>
      <c r="E5" t="s">
        <v>1187</v>
      </c>
      <c r="J5" t="s">
        <v>862</v>
      </c>
      <c r="K5" t="s">
        <v>863</v>
      </c>
    </row>
    <row r="6" spans="1:11">
      <c r="A6">
        <v>89</v>
      </c>
      <c r="B6" t="s">
        <v>1040</v>
      </c>
      <c r="C6" t="s">
        <v>1041</v>
      </c>
      <c r="D6" t="s">
        <v>1181</v>
      </c>
      <c r="E6" t="s">
        <v>1188</v>
      </c>
      <c r="F6" t="s">
        <v>1189</v>
      </c>
      <c r="G6">
        <v>606</v>
      </c>
      <c r="H6">
        <v>576</v>
      </c>
      <c r="I6">
        <v>570</v>
      </c>
      <c r="J6" t="s">
        <v>944</v>
      </c>
      <c r="K6" t="s">
        <v>868</v>
      </c>
    </row>
    <row r="7" spans="1:11">
      <c r="A7">
        <v>94</v>
      </c>
      <c r="B7" t="s">
        <v>928</v>
      </c>
      <c r="C7" t="s">
        <v>928</v>
      </c>
      <c r="D7" t="s">
        <v>1181</v>
      </c>
      <c r="J7" t="s">
        <v>1190</v>
      </c>
      <c r="K7" t="s">
        <v>12</v>
      </c>
    </row>
    <row r="8" spans="1:11">
      <c r="A8">
        <v>96</v>
      </c>
      <c r="B8" t="s">
        <v>1051</v>
      </c>
      <c r="C8" t="s">
        <v>1051</v>
      </c>
      <c r="D8" t="s">
        <v>1181</v>
      </c>
      <c r="E8" t="s">
        <v>1191</v>
      </c>
      <c r="F8" t="s">
        <v>1189</v>
      </c>
      <c r="G8">
        <v>603</v>
      </c>
      <c r="H8">
        <v>573</v>
      </c>
      <c r="I8">
        <v>570</v>
      </c>
      <c r="J8" t="s">
        <v>944</v>
      </c>
      <c r="K8" t="s">
        <v>868</v>
      </c>
    </row>
    <row r="9" spans="1:11">
      <c r="A9">
        <v>97</v>
      </c>
      <c r="B9" t="s">
        <v>1052</v>
      </c>
      <c r="C9" t="s">
        <v>1192</v>
      </c>
      <c r="D9" t="s">
        <v>1181</v>
      </c>
      <c r="E9" t="s">
        <v>1184</v>
      </c>
      <c r="F9" t="s">
        <v>1193</v>
      </c>
      <c r="G9">
        <v>607</v>
      </c>
      <c r="H9">
        <v>577</v>
      </c>
      <c r="I9">
        <v>570</v>
      </c>
      <c r="J9" t="s">
        <v>944</v>
      </c>
      <c r="K9" t="s">
        <v>868</v>
      </c>
    </row>
    <row r="10" spans="1:11">
      <c r="A10">
        <v>118</v>
      </c>
      <c r="B10" t="s">
        <v>935</v>
      </c>
      <c r="C10" t="s">
        <v>935</v>
      </c>
      <c r="D10" t="s">
        <v>1181</v>
      </c>
      <c r="E10" t="s">
        <v>1194</v>
      </c>
      <c r="F10" t="s">
        <v>1195</v>
      </c>
      <c r="G10">
        <v>595</v>
      </c>
      <c r="H10">
        <v>565</v>
      </c>
      <c r="I10">
        <v>540</v>
      </c>
      <c r="J10" t="s">
        <v>944</v>
      </c>
      <c r="K10" t="s">
        <v>868</v>
      </c>
    </row>
    <row r="11" spans="1:11">
      <c r="A11">
        <v>124</v>
      </c>
      <c r="B11" t="s">
        <v>1078</v>
      </c>
      <c r="C11" t="s">
        <v>1078</v>
      </c>
      <c r="D11" t="s">
        <v>1181</v>
      </c>
      <c r="E11" t="s">
        <v>1188</v>
      </c>
      <c r="F11" t="s">
        <v>1196</v>
      </c>
      <c r="G11">
        <v>609</v>
      </c>
      <c r="H11">
        <v>579</v>
      </c>
      <c r="I11">
        <v>570</v>
      </c>
      <c r="J11" t="s">
        <v>944</v>
      </c>
      <c r="K11" t="s">
        <v>868</v>
      </c>
    </row>
    <row r="12" spans="1:11">
      <c r="A12">
        <v>132</v>
      </c>
      <c r="B12" t="s">
        <v>1080</v>
      </c>
      <c r="C12" t="s">
        <v>1080</v>
      </c>
      <c r="D12" t="s">
        <v>1181</v>
      </c>
      <c r="E12" t="s">
        <v>1188</v>
      </c>
      <c r="F12" t="s">
        <v>1193</v>
      </c>
      <c r="G12">
        <v>609</v>
      </c>
      <c r="H12">
        <v>579</v>
      </c>
      <c r="I12">
        <v>570</v>
      </c>
      <c r="J12" t="s">
        <v>944</v>
      </c>
      <c r="K12" t="s">
        <v>868</v>
      </c>
    </row>
    <row r="13" spans="1:11">
      <c r="A13">
        <v>135</v>
      </c>
      <c r="B13" t="s">
        <v>878</v>
      </c>
      <c r="C13" t="s">
        <v>878</v>
      </c>
      <c r="D13" t="s">
        <v>1181</v>
      </c>
      <c r="E13" t="s">
        <v>1183</v>
      </c>
      <c r="F13" t="s">
        <v>1197</v>
      </c>
      <c r="G13">
        <v>487</v>
      </c>
      <c r="H13">
        <v>457</v>
      </c>
      <c r="I13">
        <v>450</v>
      </c>
      <c r="J13" t="s">
        <v>867</v>
      </c>
      <c r="K13" t="s">
        <v>868</v>
      </c>
    </row>
    <row r="14" spans="1:11">
      <c r="A14">
        <v>158</v>
      </c>
      <c r="B14" t="s">
        <v>1105</v>
      </c>
      <c r="C14" t="s">
        <v>1105</v>
      </c>
      <c r="D14" t="s">
        <v>1181</v>
      </c>
      <c r="E14" t="s">
        <v>1198</v>
      </c>
      <c r="F14" t="s">
        <v>1193</v>
      </c>
      <c r="G14">
        <v>607</v>
      </c>
      <c r="H14">
        <v>577</v>
      </c>
      <c r="I14">
        <v>570</v>
      </c>
      <c r="J14" t="s">
        <v>944</v>
      </c>
      <c r="K14" t="s">
        <v>868</v>
      </c>
    </row>
    <row r="15" spans="1:11">
      <c r="A15">
        <v>163</v>
      </c>
      <c r="B15" t="s">
        <v>1110</v>
      </c>
      <c r="C15" t="s">
        <v>1110</v>
      </c>
      <c r="D15" t="s">
        <v>1181</v>
      </c>
      <c r="E15" t="s">
        <v>1188</v>
      </c>
      <c r="F15" t="s">
        <v>1193</v>
      </c>
      <c r="G15">
        <v>610</v>
      </c>
      <c r="H15">
        <v>580</v>
      </c>
      <c r="I15">
        <v>570</v>
      </c>
      <c r="J15" t="s">
        <v>944</v>
      </c>
      <c r="K15" t="s">
        <v>868</v>
      </c>
    </row>
    <row r="16" spans="1:11">
      <c r="A16">
        <v>166</v>
      </c>
      <c r="B16" t="s">
        <v>1113</v>
      </c>
      <c r="C16" t="s">
        <v>1113</v>
      </c>
      <c r="D16" t="s">
        <v>1181</v>
      </c>
      <c r="E16" t="s">
        <v>1199</v>
      </c>
      <c r="F16" t="s">
        <v>1193</v>
      </c>
      <c r="G16">
        <v>608</v>
      </c>
      <c r="H16">
        <v>578</v>
      </c>
      <c r="I16">
        <v>570</v>
      </c>
      <c r="J16" t="s">
        <v>944</v>
      </c>
      <c r="K16" t="s">
        <v>868</v>
      </c>
    </row>
    <row r="17" spans="1:11">
      <c r="A17">
        <v>169</v>
      </c>
      <c r="B17" t="s">
        <v>1200</v>
      </c>
      <c r="C17" t="s">
        <v>1116</v>
      </c>
      <c r="D17" t="s">
        <v>1181</v>
      </c>
      <c r="E17" t="s">
        <v>1198</v>
      </c>
      <c r="F17" t="s">
        <v>1201</v>
      </c>
      <c r="G17">
        <v>608</v>
      </c>
      <c r="H17">
        <v>578</v>
      </c>
      <c r="I17">
        <v>570</v>
      </c>
      <c r="J17" t="s">
        <v>944</v>
      </c>
      <c r="K17" t="s">
        <v>868</v>
      </c>
    </row>
    <row r="18" spans="1:11">
      <c r="A18">
        <v>174</v>
      </c>
      <c r="B18" t="s">
        <v>1118</v>
      </c>
      <c r="C18" t="s">
        <v>1118</v>
      </c>
      <c r="D18" t="s">
        <v>1181</v>
      </c>
      <c r="E18" t="s">
        <v>1199</v>
      </c>
      <c r="F18" t="s">
        <v>1201</v>
      </c>
      <c r="G18">
        <v>609</v>
      </c>
      <c r="H18">
        <v>579</v>
      </c>
      <c r="I18">
        <v>570</v>
      </c>
      <c r="J18" t="s">
        <v>944</v>
      </c>
      <c r="K18" t="s">
        <v>868</v>
      </c>
    </row>
    <row r="19" spans="1:11">
      <c r="A19">
        <v>177</v>
      </c>
      <c r="B19" t="s">
        <v>1120</v>
      </c>
      <c r="C19" t="s">
        <v>1120</v>
      </c>
      <c r="D19" t="s">
        <v>1181</v>
      </c>
      <c r="E19" t="s">
        <v>1191</v>
      </c>
      <c r="F19" t="s">
        <v>1202</v>
      </c>
      <c r="G19">
        <v>603</v>
      </c>
      <c r="H19">
        <v>573</v>
      </c>
      <c r="I19">
        <v>570</v>
      </c>
      <c r="J19" t="s">
        <v>944</v>
      </c>
      <c r="K19" t="s">
        <v>868</v>
      </c>
    </row>
    <row r="20" spans="1:11">
      <c r="A20">
        <v>183</v>
      </c>
      <c r="C20" t="s">
        <v>1203</v>
      </c>
      <c r="D20" t="s">
        <v>1181</v>
      </c>
      <c r="J20" t="s">
        <v>1190</v>
      </c>
      <c r="K20" t="s">
        <v>12</v>
      </c>
    </row>
    <row r="21" spans="1:11">
      <c r="A21">
        <v>192</v>
      </c>
      <c r="B21" t="s">
        <v>1128</v>
      </c>
      <c r="C21" t="s">
        <v>1128</v>
      </c>
      <c r="D21" t="s">
        <v>1181</v>
      </c>
      <c r="E21" t="s">
        <v>1199</v>
      </c>
      <c r="F21" t="s">
        <v>1196</v>
      </c>
      <c r="G21">
        <v>608</v>
      </c>
      <c r="H21">
        <v>578</v>
      </c>
      <c r="I21">
        <v>570</v>
      </c>
      <c r="J21" t="s">
        <v>944</v>
      </c>
      <c r="K21" t="s">
        <v>868</v>
      </c>
    </row>
    <row r="22" spans="1:11">
      <c r="A22">
        <v>199</v>
      </c>
      <c r="B22" t="s">
        <v>1136</v>
      </c>
      <c r="C22" t="s">
        <v>1137</v>
      </c>
      <c r="D22" t="s">
        <v>1181</v>
      </c>
      <c r="E22" t="s">
        <v>1184</v>
      </c>
      <c r="F22" t="s">
        <v>1193</v>
      </c>
      <c r="G22">
        <v>608</v>
      </c>
      <c r="H22">
        <v>578</v>
      </c>
      <c r="I22">
        <v>570</v>
      </c>
      <c r="J22" t="s">
        <v>944</v>
      </c>
      <c r="K22" t="s">
        <v>868</v>
      </c>
    </row>
    <row r="23" spans="1:11">
      <c r="A23">
        <v>204</v>
      </c>
      <c r="B23" t="s">
        <v>1141</v>
      </c>
      <c r="C23" t="s">
        <v>1142</v>
      </c>
      <c r="D23" t="s">
        <v>1181</v>
      </c>
      <c r="E23" t="s">
        <v>1199</v>
      </c>
      <c r="F23" t="s">
        <v>1193</v>
      </c>
      <c r="G23">
        <v>609</v>
      </c>
      <c r="H23">
        <v>579</v>
      </c>
      <c r="I23">
        <v>570</v>
      </c>
      <c r="J23" t="s">
        <v>944</v>
      </c>
      <c r="K23" t="s">
        <v>868</v>
      </c>
    </row>
    <row r="24" spans="1:11">
      <c r="A24">
        <v>215</v>
      </c>
      <c r="B24" t="s">
        <v>1152</v>
      </c>
      <c r="C24" t="s">
        <v>1152</v>
      </c>
      <c r="D24" t="s">
        <v>1181</v>
      </c>
      <c r="E24" t="s">
        <v>1199</v>
      </c>
      <c r="F24" t="s">
        <v>1185</v>
      </c>
      <c r="G24">
        <v>610</v>
      </c>
      <c r="H24">
        <v>580</v>
      </c>
      <c r="I24">
        <v>570</v>
      </c>
      <c r="J24" t="s">
        <v>944</v>
      </c>
      <c r="K24" t="s">
        <v>868</v>
      </c>
    </row>
    <row r="25" spans="1:11">
      <c r="A25">
        <v>223</v>
      </c>
      <c r="B25" t="s">
        <v>1158</v>
      </c>
      <c r="C25" t="s">
        <v>1158</v>
      </c>
      <c r="D25" t="s">
        <v>1181</v>
      </c>
      <c r="E25" t="s">
        <v>1194</v>
      </c>
      <c r="F25" t="s">
        <v>1195</v>
      </c>
      <c r="G25">
        <v>596</v>
      </c>
      <c r="H25">
        <v>566</v>
      </c>
      <c r="I25">
        <v>540</v>
      </c>
      <c r="J25" t="s">
        <v>944</v>
      </c>
      <c r="K25" t="s">
        <v>868</v>
      </c>
    </row>
    <row r="26" spans="1:11">
      <c r="A26">
        <v>227</v>
      </c>
      <c r="B26" t="s">
        <v>859</v>
      </c>
      <c r="C26" t="s">
        <v>859</v>
      </c>
      <c r="D26" t="s">
        <v>1181</v>
      </c>
      <c r="E26" t="s">
        <v>1204</v>
      </c>
      <c r="F26" t="s">
        <v>1205</v>
      </c>
      <c r="G26">
        <v>478</v>
      </c>
      <c r="H26">
        <v>448</v>
      </c>
      <c r="I26">
        <v>420</v>
      </c>
      <c r="J26" t="s">
        <v>867</v>
      </c>
      <c r="K26" t="s">
        <v>868</v>
      </c>
    </row>
    <row r="27" spans="1:11">
      <c r="A27">
        <v>234</v>
      </c>
      <c r="B27" t="s">
        <v>939</v>
      </c>
      <c r="C27" t="s">
        <v>939</v>
      </c>
      <c r="D27" t="s">
        <v>1181</v>
      </c>
      <c r="E27" t="s">
        <v>1194</v>
      </c>
      <c r="F27" t="s">
        <v>1195</v>
      </c>
      <c r="G27">
        <v>595</v>
      </c>
      <c r="H27">
        <v>565</v>
      </c>
      <c r="I27">
        <v>540</v>
      </c>
      <c r="J27" t="s">
        <v>944</v>
      </c>
      <c r="K27" t="s">
        <v>868</v>
      </c>
    </row>
    <row r="28" spans="1:11">
      <c r="A28">
        <v>240</v>
      </c>
      <c r="B28" t="s">
        <v>1160</v>
      </c>
      <c r="C28" t="s">
        <v>1160</v>
      </c>
      <c r="D28" t="s">
        <v>1181</v>
      </c>
      <c r="E28" t="s">
        <v>1198</v>
      </c>
      <c r="F28" t="s">
        <v>1202</v>
      </c>
      <c r="G28">
        <v>605</v>
      </c>
      <c r="H28">
        <v>575</v>
      </c>
      <c r="I28">
        <v>570</v>
      </c>
      <c r="J28" t="s">
        <v>944</v>
      </c>
      <c r="K28" t="s">
        <v>868</v>
      </c>
    </row>
    <row r="29" spans="1:11">
      <c r="A29">
        <v>242</v>
      </c>
      <c r="B29" t="s">
        <v>1161</v>
      </c>
      <c r="C29" t="s">
        <v>1161</v>
      </c>
      <c r="D29" t="s">
        <v>1181</v>
      </c>
      <c r="E29" t="s">
        <v>1206</v>
      </c>
      <c r="F29" t="s">
        <v>1202</v>
      </c>
      <c r="G29">
        <v>617</v>
      </c>
      <c r="H29">
        <v>587</v>
      </c>
      <c r="I29">
        <v>570</v>
      </c>
      <c r="J29" t="s">
        <v>944</v>
      </c>
      <c r="K29" t="s">
        <v>868</v>
      </c>
    </row>
    <row r="30" spans="1:11">
      <c r="A30">
        <v>243</v>
      </c>
      <c r="B30" t="s">
        <v>1164</v>
      </c>
      <c r="C30" t="s">
        <v>1164</v>
      </c>
      <c r="D30" t="s">
        <v>1181</v>
      </c>
      <c r="E30" t="s">
        <v>1184</v>
      </c>
      <c r="F30" t="s">
        <v>1202</v>
      </c>
      <c r="G30">
        <v>606</v>
      </c>
      <c r="H30">
        <v>576</v>
      </c>
      <c r="I30">
        <v>570</v>
      </c>
      <c r="J30" t="s">
        <v>944</v>
      </c>
      <c r="K30" t="s">
        <v>868</v>
      </c>
    </row>
    <row r="31" spans="1:11">
      <c r="A31">
        <v>244</v>
      </c>
      <c r="B31" t="s">
        <v>1165</v>
      </c>
      <c r="C31" t="s">
        <v>1165</v>
      </c>
      <c r="D31" t="s">
        <v>1181</v>
      </c>
      <c r="J31" t="s">
        <v>1190</v>
      </c>
      <c r="K31" t="s">
        <v>12</v>
      </c>
    </row>
    <row r="32" spans="1:11">
      <c r="A32">
        <v>247</v>
      </c>
      <c r="B32" t="s">
        <v>1168</v>
      </c>
      <c r="C32" t="s">
        <v>1168</v>
      </c>
      <c r="D32" t="s">
        <v>1181</v>
      </c>
      <c r="E32" t="s">
        <v>1188</v>
      </c>
      <c r="F32" t="s">
        <v>1202</v>
      </c>
      <c r="G32">
        <v>608</v>
      </c>
      <c r="H32">
        <v>578</v>
      </c>
      <c r="I32">
        <v>570</v>
      </c>
      <c r="J32" t="s">
        <v>944</v>
      </c>
      <c r="K32" t="s">
        <v>868</v>
      </c>
    </row>
    <row r="33" spans="1:11">
      <c r="A33">
        <v>248</v>
      </c>
      <c r="B33" t="s">
        <v>1169</v>
      </c>
      <c r="C33" t="s">
        <v>1169</v>
      </c>
      <c r="D33" t="s">
        <v>1181</v>
      </c>
      <c r="E33" t="s">
        <v>1184</v>
      </c>
      <c r="F33" t="s">
        <v>1185</v>
      </c>
      <c r="G33">
        <v>609</v>
      </c>
      <c r="H33">
        <v>579</v>
      </c>
      <c r="I33">
        <v>570</v>
      </c>
      <c r="J33" t="s">
        <v>944</v>
      </c>
      <c r="K33" t="s">
        <v>868</v>
      </c>
    </row>
    <row r="34" spans="1:11">
      <c r="A34">
        <v>249</v>
      </c>
      <c r="B34" t="s">
        <v>1171</v>
      </c>
      <c r="C34" t="s">
        <v>1172</v>
      </c>
      <c r="D34" t="s">
        <v>1181</v>
      </c>
      <c r="E34" t="s">
        <v>1207</v>
      </c>
      <c r="F34" t="s">
        <v>1193</v>
      </c>
      <c r="G34">
        <v>575</v>
      </c>
      <c r="H34">
        <v>545</v>
      </c>
      <c r="I34">
        <v>540</v>
      </c>
      <c r="J34" t="s">
        <v>944</v>
      </c>
      <c r="K34" t="s">
        <v>868</v>
      </c>
    </row>
    <row r="35" spans="1:11">
      <c r="A35">
        <v>250</v>
      </c>
      <c r="B35" t="s">
        <v>1177</v>
      </c>
      <c r="C35" t="s">
        <v>1178</v>
      </c>
      <c r="D35" t="s">
        <v>1181</v>
      </c>
      <c r="E35" t="s">
        <v>1208</v>
      </c>
      <c r="J35" t="s">
        <v>946</v>
      </c>
      <c r="K35" t="s">
        <v>863</v>
      </c>
    </row>
    <row r="36" spans="1:11">
      <c r="A36">
        <v>251</v>
      </c>
      <c r="B36" t="s">
        <v>912</v>
      </c>
      <c r="C36" t="s">
        <v>912</v>
      </c>
      <c r="D36" t="s">
        <v>1181</v>
      </c>
      <c r="E36" t="s">
        <v>1182</v>
      </c>
      <c r="F36" t="s">
        <v>1209</v>
      </c>
      <c r="G36">
        <v>949</v>
      </c>
      <c r="H36">
        <v>919</v>
      </c>
      <c r="I36">
        <v>900</v>
      </c>
      <c r="J36" t="s">
        <v>867</v>
      </c>
      <c r="K36" t="s">
        <v>868</v>
      </c>
    </row>
    <row r="37" spans="1:11">
      <c r="A37">
        <v>3</v>
      </c>
      <c r="B37" t="s">
        <v>941</v>
      </c>
      <c r="C37" t="s">
        <v>941</v>
      </c>
      <c r="D37" t="s">
        <v>1181</v>
      </c>
      <c r="J37" t="s">
        <v>1190</v>
      </c>
      <c r="K37" t="s">
        <v>12</v>
      </c>
    </row>
    <row r="38" spans="1:11">
      <c r="A38">
        <v>4</v>
      </c>
      <c r="B38" t="s">
        <v>947</v>
      </c>
      <c r="C38" t="s">
        <v>947</v>
      </c>
      <c r="D38" t="s">
        <v>1181</v>
      </c>
      <c r="E38" t="s">
        <v>1210</v>
      </c>
      <c r="F38" t="s">
        <v>1211</v>
      </c>
      <c r="G38">
        <v>597</v>
      </c>
      <c r="H38">
        <v>567</v>
      </c>
      <c r="I38">
        <v>540</v>
      </c>
      <c r="J38" t="s">
        <v>944</v>
      </c>
      <c r="K38" t="s">
        <v>868</v>
      </c>
    </row>
    <row r="39" spans="1:11">
      <c r="A39">
        <v>6</v>
      </c>
      <c r="B39" t="s">
        <v>869</v>
      </c>
      <c r="C39" t="s">
        <v>870</v>
      </c>
      <c r="D39" t="s">
        <v>1181</v>
      </c>
      <c r="E39" t="s">
        <v>1182</v>
      </c>
      <c r="F39" t="s">
        <v>1212</v>
      </c>
      <c r="G39">
        <v>486</v>
      </c>
      <c r="H39">
        <v>456</v>
      </c>
      <c r="I39">
        <v>450</v>
      </c>
      <c r="J39" t="s">
        <v>867</v>
      </c>
      <c r="K39" t="s">
        <v>868</v>
      </c>
    </row>
    <row r="40" spans="1:11">
      <c r="A40">
        <v>10</v>
      </c>
      <c r="C40" t="s">
        <v>1213</v>
      </c>
      <c r="D40" t="s">
        <v>1181</v>
      </c>
      <c r="J40" t="s">
        <v>1190</v>
      </c>
      <c r="K40" t="s">
        <v>12</v>
      </c>
    </row>
    <row r="41" spans="1:11">
      <c r="A41">
        <v>12</v>
      </c>
      <c r="B41" t="s">
        <v>953</v>
      </c>
      <c r="C41" t="s">
        <v>953</v>
      </c>
      <c r="D41" t="s">
        <v>1181</v>
      </c>
      <c r="E41" t="s">
        <v>1214</v>
      </c>
      <c r="F41" t="s">
        <v>1215</v>
      </c>
      <c r="G41">
        <v>265</v>
      </c>
      <c r="H41">
        <v>235</v>
      </c>
      <c r="I41">
        <v>210</v>
      </c>
      <c r="J41" t="s">
        <v>944</v>
      </c>
      <c r="K41" t="s">
        <v>868</v>
      </c>
    </row>
    <row r="42" spans="1:11">
      <c r="A42">
        <v>13</v>
      </c>
      <c r="B42" t="s">
        <v>964</v>
      </c>
      <c r="C42" t="s">
        <v>965</v>
      </c>
      <c r="D42" t="s">
        <v>1181</v>
      </c>
      <c r="E42" t="s">
        <v>1210</v>
      </c>
      <c r="F42" t="s">
        <v>1196</v>
      </c>
      <c r="G42">
        <v>593</v>
      </c>
      <c r="H42">
        <v>563</v>
      </c>
      <c r="I42">
        <v>540</v>
      </c>
      <c r="J42" t="s">
        <v>944</v>
      </c>
      <c r="K42" t="s">
        <v>868</v>
      </c>
    </row>
    <row r="43" spans="1:11">
      <c r="A43">
        <v>14</v>
      </c>
      <c r="B43" t="s">
        <v>971</v>
      </c>
      <c r="C43" t="s">
        <v>971</v>
      </c>
      <c r="D43" t="s">
        <v>1181</v>
      </c>
      <c r="E43" t="s">
        <v>1216</v>
      </c>
      <c r="F43" t="s">
        <v>1195</v>
      </c>
      <c r="G43">
        <v>588</v>
      </c>
      <c r="H43">
        <v>558</v>
      </c>
      <c r="I43">
        <v>540</v>
      </c>
      <c r="J43" t="s">
        <v>944</v>
      </c>
      <c r="K43" t="s">
        <v>868</v>
      </c>
    </row>
    <row r="44" spans="1:11">
      <c r="A44">
        <v>16</v>
      </c>
      <c r="B44" t="s">
        <v>923</v>
      </c>
      <c r="C44" t="s">
        <v>923</v>
      </c>
      <c r="D44" t="s">
        <v>1181</v>
      </c>
      <c r="E44" t="s">
        <v>1194</v>
      </c>
      <c r="F44" t="s">
        <v>1195</v>
      </c>
      <c r="G44">
        <v>596</v>
      </c>
      <c r="H44">
        <v>566</v>
      </c>
      <c r="I44">
        <v>540</v>
      </c>
      <c r="J44" t="s">
        <v>944</v>
      </c>
      <c r="K44" t="s">
        <v>868</v>
      </c>
    </row>
    <row r="45" spans="1:11">
      <c r="A45">
        <v>17</v>
      </c>
      <c r="B45" t="s">
        <v>917</v>
      </c>
      <c r="C45" t="s">
        <v>917</v>
      </c>
      <c r="D45" t="s">
        <v>1181</v>
      </c>
      <c r="E45" t="s">
        <v>1217</v>
      </c>
      <c r="F45" t="s">
        <v>1195</v>
      </c>
      <c r="G45">
        <v>599</v>
      </c>
      <c r="H45">
        <v>569</v>
      </c>
      <c r="I45">
        <v>540</v>
      </c>
      <c r="J45" t="s">
        <v>944</v>
      </c>
      <c r="K45" t="s">
        <v>868</v>
      </c>
    </row>
    <row r="46" spans="1:11">
      <c r="A46">
        <v>19</v>
      </c>
      <c r="B46" t="s">
        <v>978</v>
      </c>
      <c r="C46" t="s">
        <v>978</v>
      </c>
      <c r="D46" t="s">
        <v>1181</v>
      </c>
      <c r="E46" t="s">
        <v>1217</v>
      </c>
      <c r="F46" t="s">
        <v>1202</v>
      </c>
      <c r="G46">
        <v>601</v>
      </c>
      <c r="H46">
        <v>571</v>
      </c>
      <c r="I46">
        <v>570</v>
      </c>
      <c r="J46" t="s">
        <v>944</v>
      </c>
      <c r="K46" t="s">
        <v>868</v>
      </c>
    </row>
    <row r="47" spans="1:11">
      <c r="A47">
        <v>20</v>
      </c>
      <c r="B47" t="s">
        <v>984</v>
      </c>
      <c r="C47" t="s">
        <v>984</v>
      </c>
      <c r="D47" t="s">
        <v>1181</v>
      </c>
      <c r="E47" t="s">
        <v>1210</v>
      </c>
      <c r="F47" t="s">
        <v>1185</v>
      </c>
      <c r="G47">
        <v>595</v>
      </c>
      <c r="H47">
        <v>565</v>
      </c>
      <c r="I47">
        <v>540</v>
      </c>
      <c r="J47" t="s">
        <v>944</v>
      </c>
      <c r="K47" t="s">
        <v>868</v>
      </c>
    </row>
    <row r="48" spans="1:11">
      <c r="A48">
        <v>22</v>
      </c>
      <c r="B48" t="s">
        <v>399</v>
      </c>
      <c r="C48" t="s">
        <v>989</v>
      </c>
      <c r="D48" t="s">
        <v>1181</v>
      </c>
      <c r="E48" t="s">
        <v>1210</v>
      </c>
      <c r="F48" t="s">
        <v>1193</v>
      </c>
      <c r="G48">
        <v>594</v>
      </c>
      <c r="H48">
        <v>564</v>
      </c>
      <c r="I48">
        <v>540</v>
      </c>
      <c r="J48" t="s">
        <v>944</v>
      </c>
      <c r="K48" t="s">
        <v>868</v>
      </c>
    </row>
    <row r="49" spans="1:11">
      <c r="A49">
        <v>23</v>
      </c>
      <c r="B49" t="s">
        <v>990</v>
      </c>
      <c r="C49" t="s">
        <v>990</v>
      </c>
      <c r="D49" t="s">
        <v>1181</v>
      </c>
      <c r="E49" t="s">
        <v>1194</v>
      </c>
      <c r="F49" t="s">
        <v>1195</v>
      </c>
      <c r="G49">
        <v>596</v>
      </c>
      <c r="H49">
        <v>566</v>
      </c>
      <c r="I49">
        <v>540</v>
      </c>
      <c r="J49" t="s">
        <v>944</v>
      </c>
      <c r="K49" t="s">
        <v>868</v>
      </c>
    </row>
    <row r="50" spans="1:11">
      <c r="A50">
        <v>24</v>
      </c>
      <c r="B50" t="s">
        <v>994</v>
      </c>
      <c r="C50" t="s">
        <v>995</v>
      </c>
      <c r="D50" t="s">
        <v>1181</v>
      </c>
      <c r="E50" t="s">
        <v>1210</v>
      </c>
      <c r="F50" t="s">
        <v>1201</v>
      </c>
      <c r="G50">
        <v>595</v>
      </c>
      <c r="H50">
        <v>565</v>
      </c>
      <c r="I50">
        <v>540</v>
      </c>
      <c r="J50" t="s">
        <v>944</v>
      </c>
      <c r="K50" t="s">
        <v>868</v>
      </c>
    </row>
    <row r="51" spans="1:11">
      <c r="A51">
        <v>25</v>
      </c>
      <c r="B51" t="s">
        <v>998</v>
      </c>
      <c r="C51" t="s">
        <v>998</v>
      </c>
      <c r="D51" t="s">
        <v>1181</v>
      </c>
      <c r="E51" t="s">
        <v>1218</v>
      </c>
      <c r="F51" t="s">
        <v>1219</v>
      </c>
      <c r="G51">
        <v>452</v>
      </c>
      <c r="H51">
        <v>422</v>
      </c>
      <c r="I51">
        <v>420</v>
      </c>
      <c r="J51" t="s">
        <v>944</v>
      </c>
      <c r="K51" t="s">
        <v>868</v>
      </c>
    </row>
    <row r="52" spans="1:11">
      <c r="A52">
        <v>29</v>
      </c>
      <c r="B52" t="s">
        <v>1004</v>
      </c>
      <c r="C52" t="s">
        <v>1005</v>
      </c>
      <c r="D52" t="s">
        <v>1181</v>
      </c>
      <c r="E52" t="s">
        <v>1220</v>
      </c>
      <c r="F52" t="s">
        <v>1202</v>
      </c>
      <c r="G52">
        <v>609</v>
      </c>
      <c r="H52">
        <v>579</v>
      </c>
      <c r="I52">
        <v>570</v>
      </c>
      <c r="J52" t="s">
        <v>944</v>
      </c>
      <c r="K52" t="s">
        <v>868</v>
      </c>
    </row>
    <row r="53" spans="1:11">
      <c r="A53">
        <v>31</v>
      </c>
      <c r="B53" t="s">
        <v>1010</v>
      </c>
      <c r="C53" t="s">
        <v>1010</v>
      </c>
      <c r="D53" t="s">
        <v>1181</v>
      </c>
      <c r="E53" t="s">
        <v>1188</v>
      </c>
      <c r="F53" t="s">
        <v>1185</v>
      </c>
      <c r="G53">
        <v>611</v>
      </c>
      <c r="H53">
        <v>581</v>
      </c>
      <c r="I53">
        <v>570</v>
      </c>
      <c r="J53" t="s">
        <v>944</v>
      </c>
      <c r="K53" t="s">
        <v>868</v>
      </c>
    </row>
    <row r="54" spans="1:11">
      <c r="A54">
        <v>33</v>
      </c>
      <c r="B54" t="s">
        <v>406</v>
      </c>
      <c r="C54" t="s">
        <v>1015</v>
      </c>
      <c r="D54" t="s">
        <v>1181</v>
      </c>
      <c r="J54" t="s">
        <v>1190</v>
      </c>
      <c r="K54" t="s">
        <v>12</v>
      </c>
    </row>
    <row r="55" spans="1:11">
      <c r="A55">
        <v>47</v>
      </c>
      <c r="B55" t="s">
        <v>926</v>
      </c>
      <c r="C55" t="s">
        <v>926</v>
      </c>
      <c r="D55" t="s">
        <v>1181</v>
      </c>
      <c r="J55" t="s">
        <v>1190</v>
      </c>
      <c r="K55" t="s">
        <v>12</v>
      </c>
    </row>
    <row r="56" spans="1:11">
      <c r="A56">
        <v>52</v>
      </c>
      <c r="C56" t="s">
        <v>1221</v>
      </c>
      <c r="D56" t="s">
        <v>1181</v>
      </c>
      <c r="J56" t="s">
        <v>1190</v>
      </c>
      <c r="K56" t="s">
        <v>12</v>
      </c>
    </row>
    <row r="57" spans="1:11">
      <c r="A57">
        <v>61</v>
      </c>
      <c r="C57" t="s">
        <v>1222</v>
      </c>
      <c r="D57" t="s">
        <v>1181</v>
      </c>
      <c r="J57" t="s">
        <v>1190</v>
      </c>
      <c r="K57" t="s">
        <v>12</v>
      </c>
    </row>
    <row r="58" spans="1:11">
      <c r="A58">
        <v>66</v>
      </c>
      <c r="B58" t="s">
        <v>1021</v>
      </c>
      <c r="C58" t="s">
        <v>1021</v>
      </c>
      <c r="D58" t="s">
        <v>1181</v>
      </c>
      <c r="E58" t="s">
        <v>1223</v>
      </c>
      <c r="F58" t="s">
        <v>1208</v>
      </c>
      <c r="G58">
        <v>605</v>
      </c>
      <c r="H58">
        <v>575</v>
      </c>
      <c r="I58">
        <v>570</v>
      </c>
      <c r="J58" t="s">
        <v>944</v>
      </c>
      <c r="K58" t="s">
        <v>868</v>
      </c>
    </row>
    <row r="59" spans="1:11">
      <c r="A59">
        <v>67</v>
      </c>
      <c r="B59" t="s">
        <v>1028</v>
      </c>
      <c r="C59" t="s">
        <v>1028</v>
      </c>
      <c r="D59" t="s">
        <v>1181</v>
      </c>
      <c r="J59" t="s">
        <v>1190</v>
      </c>
      <c r="K59" t="s">
        <v>12</v>
      </c>
    </row>
    <row r="60" spans="1:11">
      <c r="A60">
        <v>81</v>
      </c>
      <c r="B60" t="s">
        <v>1030</v>
      </c>
      <c r="C60" t="s">
        <v>1030</v>
      </c>
      <c r="D60" t="s">
        <v>1181</v>
      </c>
      <c r="E60" t="s">
        <v>1224</v>
      </c>
      <c r="F60" t="s">
        <v>1225</v>
      </c>
      <c r="G60">
        <v>665</v>
      </c>
      <c r="H60">
        <v>635</v>
      </c>
      <c r="I60">
        <v>630</v>
      </c>
      <c r="J60" t="s">
        <v>944</v>
      </c>
      <c r="K60" t="s">
        <v>868</v>
      </c>
    </row>
    <row r="61" spans="1:11">
      <c r="A61">
        <v>92</v>
      </c>
      <c r="B61" t="s">
        <v>1044</v>
      </c>
      <c r="C61" t="s">
        <v>1044</v>
      </c>
      <c r="D61" t="s">
        <v>1181</v>
      </c>
      <c r="E61" t="s">
        <v>1184</v>
      </c>
      <c r="F61" t="s">
        <v>1211</v>
      </c>
      <c r="G61">
        <v>612</v>
      </c>
      <c r="H61">
        <v>582</v>
      </c>
      <c r="I61">
        <v>570</v>
      </c>
      <c r="J61" t="s">
        <v>944</v>
      </c>
      <c r="K61" t="s">
        <v>868</v>
      </c>
    </row>
    <row r="62" spans="1:11">
      <c r="A62">
        <v>93</v>
      </c>
      <c r="B62" t="s">
        <v>1226</v>
      </c>
      <c r="C62" t="s">
        <v>1048</v>
      </c>
      <c r="D62" t="s">
        <v>1181</v>
      </c>
      <c r="E62" t="s">
        <v>1188</v>
      </c>
      <c r="F62" t="s">
        <v>1211</v>
      </c>
      <c r="G62">
        <v>613</v>
      </c>
      <c r="H62">
        <v>583</v>
      </c>
      <c r="I62">
        <v>570</v>
      </c>
      <c r="J62" t="s">
        <v>944</v>
      </c>
      <c r="K62" t="s">
        <v>868</v>
      </c>
    </row>
    <row r="63" spans="1:11">
      <c r="A63">
        <v>94</v>
      </c>
      <c r="B63" t="s">
        <v>928</v>
      </c>
      <c r="C63" t="s">
        <v>1076</v>
      </c>
      <c r="D63" t="s">
        <v>1181</v>
      </c>
      <c r="J63" t="s">
        <v>1190</v>
      </c>
      <c r="K63" t="s">
        <v>12</v>
      </c>
    </row>
    <row r="64" spans="1:11">
      <c r="A64">
        <v>100</v>
      </c>
      <c r="B64" t="s">
        <v>1056</v>
      </c>
      <c r="C64" t="s">
        <v>1036</v>
      </c>
      <c r="D64" t="s">
        <v>1181</v>
      </c>
      <c r="E64" t="s">
        <v>1198</v>
      </c>
      <c r="F64" t="s">
        <v>1189</v>
      </c>
      <c r="G64">
        <v>603</v>
      </c>
      <c r="H64">
        <v>573</v>
      </c>
      <c r="I64">
        <v>570</v>
      </c>
      <c r="J64" t="s">
        <v>944</v>
      </c>
      <c r="K64" t="s">
        <v>868</v>
      </c>
    </row>
    <row r="65" spans="1:11">
      <c r="A65">
        <v>100</v>
      </c>
      <c r="B65" t="s">
        <v>1056</v>
      </c>
      <c r="C65" t="s">
        <v>1061</v>
      </c>
      <c r="D65" t="s">
        <v>1181</v>
      </c>
      <c r="E65" t="s">
        <v>1198</v>
      </c>
      <c r="F65" t="s">
        <v>1189</v>
      </c>
      <c r="G65">
        <v>603</v>
      </c>
      <c r="H65">
        <v>573</v>
      </c>
      <c r="I65">
        <v>570</v>
      </c>
      <c r="J65" t="s">
        <v>944</v>
      </c>
      <c r="K65" t="s">
        <v>868</v>
      </c>
    </row>
    <row r="66" spans="1:11">
      <c r="A66">
        <v>104</v>
      </c>
      <c r="B66" t="s">
        <v>1060</v>
      </c>
      <c r="C66" t="s">
        <v>1057</v>
      </c>
      <c r="D66" t="s">
        <v>1181</v>
      </c>
      <c r="E66" t="s">
        <v>1191</v>
      </c>
      <c r="F66" t="s">
        <v>1189</v>
      </c>
      <c r="G66">
        <v>603</v>
      </c>
      <c r="H66">
        <v>573</v>
      </c>
      <c r="I66">
        <v>570</v>
      </c>
      <c r="J66" t="s">
        <v>944</v>
      </c>
      <c r="K66" t="s">
        <v>868</v>
      </c>
    </row>
    <row r="67" spans="1:11">
      <c r="A67">
        <v>107</v>
      </c>
      <c r="C67" t="s">
        <v>1086</v>
      </c>
      <c r="D67" t="s">
        <v>1181</v>
      </c>
      <c r="J67" t="s">
        <v>1190</v>
      </c>
      <c r="K67" t="s">
        <v>12</v>
      </c>
    </row>
    <row r="68" spans="1:11">
      <c r="A68">
        <v>109</v>
      </c>
      <c r="B68" t="s">
        <v>1066</v>
      </c>
      <c r="C68" t="s">
        <v>1066</v>
      </c>
      <c r="D68" t="s">
        <v>1181</v>
      </c>
      <c r="E68" t="s">
        <v>1198</v>
      </c>
      <c r="F68" t="s">
        <v>1193</v>
      </c>
      <c r="G68">
        <v>607</v>
      </c>
      <c r="H68">
        <v>577</v>
      </c>
      <c r="I68">
        <v>570</v>
      </c>
      <c r="J68" t="s">
        <v>944</v>
      </c>
      <c r="K68" t="s">
        <v>868</v>
      </c>
    </row>
    <row r="69" spans="1:11">
      <c r="A69">
        <v>111</v>
      </c>
      <c r="B69" t="s">
        <v>1069</v>
      </c>
      <c r="C69" t="s">
        <v>1070</v>
      </c>
      <c r="D69" t="s">
        <v>1181</v>
      </c>
      <c r="J69" t="s">
        <v>1190</v>
      </c>
      <c r="K69" t="s">
        <v>12</v>
      </c>
    </row>
    <row r="70" spans="1:11">
      <c r="A70">
        <v>113</v>
      </c>
      <c r="B70" t="s">
        <v>1073</v>
      </c>
      <c r="C70" t="s">
        <v>1073</v>
      </c>
      <c r="D70" t="s">
        <v>1181</v>
      </c>
      <c r="E70" t="s">
        <v>1194</v>
      </c>
      <c r="F70" t="s">
        <v>1195</v>
      </c>
      <c r="G70">
        <v>596</v>
      </c>
      <c r="H70">
        <v>566</v>
      </c>
      <c r="I70">
        <v>540</v>
      </c>
      <c r="J70" t="s">
        <v>944</v>
      </c>
      <c r="K70" t="s">
        <v>868</v>
      </c>
    </row>
    <row r="71" spans="1:11">
      <c r="A71">
        <v>115</v>
      </c>
      <c r="B71" t="s">
        <v>934</v>
      </c>
      <c r="C71" t="s">
        <v>934</v>
      </c>
      <c r="D71" t="s">
        <v>1181</v>
      </c>
      <c r="E71" t="s">
        <v>1188</v>
      </c>
      <c r="F71" t="s">
        <v>1195</v>
      </c>
      <c r="G71">
        <v>605</v>
      </c>
      <c r="H71">
        <v>575</v>
      </c>
      <c r="I71">
        <v>570</v>
      </c>
      <c r="J71" t="s">
        <v>944</v>
      </c>
      <c r="K71" t="s">
        <v>868</v>
      </c>
    </row>
    <row r="72" spans="1:11">
      <c r="A72">
        <v>116</v>
      </c>
      <c r="C72" t="s">
        <v>1063</v>
      </c>
      <c r="D72" t="s">
        <v>1181</v>
      </c>
      <c r="J72" t="s">
        <v>1190</v>
      </c>
      <c r="K72" t="s">
        <v>12</v>
      </c>
    </row>
    <row r="73" spans="1:11">
      <c r="A73">
        <v>119</v>
      </c>
      <c r="B73" t="s">
        <v>1074</v>
      </c>
      <c r="C73" t="s">
        <v>1075</v>
      </c>
      <c r="D73" t="s">
        <v>1181</v>
      </c>
      <c r="E73" t="s">
        <v>1194</v>
      </c>
      <c r="F73" t="s">
        <v>1195</v>
      </c>
      <c r="G73">
        <v>595</v>
      </c>
      <c r="H73">
        <v>565</v>
      </c>
      <c r="I73">
        <v>540</v>
      </c>
      <c r="J73" t="s">
        <v>944</v>
      </c>
      <c r="K73" t="s">
        <v>868</v>
      </c>
    </row>
    <row r="74" spans="1:11">
      <c r="A74">
        <v>121</v>
      </c>
      <c r="B74" t="s">
        <v>1076</v>
      </c>
      <c r="C74" t="s">
        <v>1083</v>
      </c>
      <c r="D74" t="s">
        <v>1181</v>
      </c>
      <c r="E74" t="s">
        <v>1188</v>
      </c>
      <c r="F74" t="s">
        <v>1202</v>
      </c>
      <c r="G74">
        <v>607</v>
      </c>
      <c r="H74">
        <v>577</v>
      </c>
      <c r="I74">
        <v>570</v>
      </c>
      <c r="J74" t="s">
        <v>944</v>
      </c>
      <c r="K74" t="s">
        <v>868</v>
      </c>
    </row>
    <row r="75" spans="1:11">
      <c r="A75">
        <v>133</v>
      </c>
      <c r="C75" t="s">
        <v>1053</v>
      </c>
      <c r="D75" t="s">
        <v>1181</v>
      </c>
      <c r="J75" t="s">
        <v>1190</v>
      </c>
      <c r="K75" t="s">
        <v>12</v>
      </c>
    </row>
    <row r="76" spans="1:11">
      <c r="A76">
        <v>136</v>
      </c>
      <c r="B76" t="s">
        <v>1085</v>
      </c>
      <c r="C76" t="s">
        <v>932</v>
      </c>
      <c r="D76" t="s">
        <v>1181</v>
      </c>
      <c r="E76" t="s">
        <v>1227</v>
      </c>
      <c r="F76" t="s">
        <v>1228</v>
      </c>
      <c r="G76">
        <v>659</v>
      </c>
      <c r="H76">
        <v>629</v>
      </c>
      <c r="I76">
        <v>600</v>
      </c>
      <c r="J76" t="s">
        <v>944</v>
      </c>
      <c r="K76" t="s">
        <v>868</v>
      </c>
    </row>
    <row r="77" spans="1:11">
      <c r="A77">
        <v>140</v>
      </c>
      <c r="C77" t="s">
        <v>1229</v>
      </c>
      <c r="D77" t="s">
        <v>1181</v>
      </c>
      <c r="J77" t="s">
        <v>1190</v>
      </c>
      <c r="K77" t="s">
        <v>12</v>
      </c>
    </row>
    <row r="78" spans="1:11">
      <c r="A78">
        <v>141</v>
      </c>
      <c r="B78" t="s">
        <v>1082</v>
      </c>
      <c r="C78" t="s">
        <v>1082</v>
      </c>
      <c r="D78" t="s">
        <v>1181</v>
      </c>
      <c r="E78" t="s">
        <v>1230</v>
      </c>
      <c r="F78" t="s">
        <v>1201</v>
      </c>
      <c r="G78">
        <v>614</v>
      </c>
      <c r="H78">
        <v>584</v>
      </c>
      <c r="I78">
        <v>570</v>
      </c>
      <c r="J78" t="s">
        <v>944</v>
      </c>
      <c r="K78" t="s">
        <v>868</v>
      </c>
    </row>
    <row r="79" spans="1:11">
      <c r="A79">
        <v>143</v>
      </c>
      <c r="B79" t="s">
        <v>1090</v>
      </c>
      <c r="C79" t="s">
        <v>1091</v>
      </c>
      <c r="D79" t="s">
        <v>1181</v>
      </c>
      <c r="J79" t="s">
        <v>1190</v>
      </c>
      <c r="K79" t="s">
        <v>12</v>
      </c>
    </row>
    <row r="80" spans="1:11">
      <c r="A80">
        <v>148</v>
      </c>
      <c r="B80" t="s">
        <v>1093</v>
      </c>
      <c r="C80" t="s">
        <v>1093</v>
      </c>
      <c r="D80" t="s">
        <v>1181</v>
      </c>
      <c r="E80" t="s">
        <v>1198</v>
      </c>
      <c r="F80" t="s">
        <v>1201</v>
      </c>
      <c r="G80">
        <v>608</v>
      </c>
      <c r="H80">
        <v>578</v>
      </c>
      <c r="I80">
        <v>570</v>
      </c>
      <c r="J80" t="s">
        <v>944</v>
      </c>
      <c r="K80" t="s">
        <v>868</v>
      </c>
    </row>
    <row r="81" spans="1:11">
      <c r="A81">
        <v>150</v>
      </c>
      <c r="B81" t="s">
        <v>1095</v>
      </c>
      <c r="C81" t="s">
        <v>1096</v>
      </c>
      <c r="D81" t="s">
        <v>1181</v>
      </c>
      <c r="E81" t="s">
        <v>1198</v>
      </c>
      <c r="F81" t="s">
        <v>1196</v>
      </c>
      <c r="G81">
        <v>605</v>
      </c>
      <c r="H81">
        <v>575</v>
      </c>
      <c r="I81">
        <v>570</v>
      </c>
      <c r="J81" t="s">
        <v>944</v>
      </c>
      <c r="K81" t="s">
        <v>868</v>
      </c>
    </row>
    <row r="82" spans="1:11">
      <c r="A82">
        <v>152</v>
      </c>
      <c r="B82" t="s">
        <v>1099</v>
      </c>
      <c r="C82" t="s">
        <v>1099</v>
      </c>
      <c r="D82" t="s">
        <v>1181</v>
      </c>
      <c r="E82" t="s">
        <v>1198</v>
      </c>
      <c r="F82" t="s">
        <v>1201</v>
      </c>
      <c r="G82">
        <v>607</v>
      </c>
      <c r="H82">
        <v>577</v>
      </c>
      <c r="I82">
        <v>570</v>
      </c>
      <c r="J82" t="s">
        <v>944</v>
      </c>
      <c r="K82" t="s">
        <v>868</v>
      </c>
    </row>
    <row r="83" spans="1:11">
      <c r="A83">
        <v>154</v>
      </c>
      <c r="B83" t="s">
        <v>1100</v>
      </c>
      <c r="C83" t="s">
        <v>1100</v>
      </c>
      <c r="D83" t="s">
        <v>1181</v>
      </c>
      <c r="E83" t="s">
        <v>1184</v>
      </c>
      <c r="F83" t="s">
        <v>1189</v>
      </c>
      <c r="G83">
        <v>604</v>
      </c>
      <c r="H83">
        <v>574</v>
      </c>
      <c r="I83">
        <v>570</v>
      </c>
      <c r="J83" t="s">
        <v>944</v>
      </c>
      <c r="K83" t="s">
        <v>868</v>
      </c>
    </row>
    <row r="84" spans="1:11">
      <c r="A84">
        <v>155</v>
      </c>
      <c r="B84" t="s">
        <v>1101</v>
      </c>
      <c r="C84" t="s">
        <v>1102</v>
      </c>
      <c r="D84" t="s">
        <v>1181</v>
      </c>
      <c r="E84" t="s">
        <v>1184</v>
      </c>
      <c r="F84" t="s">
        <v>1193</v>
      </c>
      <c r="G84">
        <v>607</v>
      </c>
      <c r="H84">
        <v>577</v>
      </c>
      <c r="I84">
        <v>570</v>
      </c>
      <c r="J84" t="s">
        <v>944</v>
      </c>
      <c r="K84" t="s">
        <v>868</v>
      </c>
    </row>
    <row r="85" spans="1:11">
      <c r="A85">
        <v>156</v>
      </c>
      <c r="B85" t="s">
        <v>1103</v>
      </c>
      <c r="C85" t="s">
        <v>1104</v>
      </c>
      <c r="D85" t="s">
        <v>1181</v>
      </c>
      <c r="E85" t="s">
        <v>1184</v>
      </c>
      <c r="F85" t="s">
        <v>1201</v>
      </c>
      <c r="G85">
        <v>608</v>
      </c>
      <c r="H85">
        <v>578</v>
      </c>
      <c r="I85">
        <v>570</v>
      </c>
      <c r="J85" t="s">
        <v>944</v>
      </c>
      <c r="K85" t="s">
        <v>868</v>
      </c>
    </row>
    <row r="86" spans="1:11">
      <c r="A86">
        <v>159</v>
      </c>
      <c r="B86" t="s">
        <v>1107</v>
      </c>
      <c r="C86" t="s">
        <v>1108</v>
      </c>
      <c r="D86" t="s">
        <v>1181</v>
      </c>
      <c r="E86" t="s">
        <v>1188</v>
      </c>
      <c r="F86" t="s">
        <v>1193</v>
      </c>
      <c r="G86">
        <v>610</v>
      </c>
      <c r="H86">
        <v>580</v>
      </c>
      <c r="I86">
        <v>570</v>
      </c>
      <c r="J86" t="s">
        <v>944</v>
      </c>
      <c r="K86" t="s">
        <v>868</v>
      </c>
    </row>
    <row r="87" spans="1:11">
      <c r="A87">
        <v>162</v>
      </c>
      <c r="B87" t="s">
        <v>1109</v>
      </c>
      <c r="C87" t="s">
        <v>1109</v>
      </c>
      <c r="D87" t="s">
        <v>1181</v>
      </c>
      <c r="J87" t="s">
        <v>1190</v>
      </c>
      <c r="K87" t="s">
        <v>12</v>
      </c>
    </row>
    <row r="88" spans="1:11">
      <c r="A88">
        <v>167</v>
      </c>
      <c r="B88" t="s">
        <v>1114</v>
      </c>
      <c r="C88" t="s">
        <v>1114</v>
      </c>
      <c r="D88" t="s">
        <v>1181</v>
      </c>
      <c r="E88" t="s">
        <v>1198</v>
      </c>
      <c r="F88" t="s">
        <v>1189</v>
      </c>
      <c r="G88">
        <v>604</v>
      </c>
      <c r="H88">
        <v>574</v>
      </c>
      <c r="I88">
        <v>570</v>
      </c>
      <c r="J88" t="s">
        <v>944</v>
      </c>
      <c r="K88" t="s">
        <v>868</v>
      </c>
    </row>
    <row r="89" spans="1:11">
      <c r="A89">
        <v>172</v>
      </c>
      <c r="B89" t="s">
        <v>1117</v>
      </c>
      <c r="C89" t="s">
        <v>1117</v>
      </c>
      <c r="D89" t="s">
        <v>1181</v>
      </c>
      <c r="E89" t="s">
        <v>1198</v>
      </c>
      <c r="F89" t="s">
        <v>1201</v>
      </c>
      <c r="G89">
        <v>608</v>
      </c>
      <c r="H89">
        <v>578</v>
      </c>
      <c r="I89">
        <v>570</v>
      </c>
      <c r="J89" t="s">
        <v>944</v>
      </c>
      <c r="K89" t="s">
        <v>868</v>
      </c>
    </row>
    <row r="90" spans="1:11">
      <c r="A90">
        <v>175</v>
      </c>
      <c r="B90" t="s">
        <v>1119</v>
      </c>
      <c r="C90" t="s">
        <v>1119</v>
      </c>
      <c r="D90" t="s">
        <v>1181</v>
      </c>
      <c r="E90" t="s">
        <v>1231</v>
      </c>
      <c r="F90" t="s">
        <v>1202</v>
      </c>
      <c r="G90">
        <v>512</v>
      </c>
      <c r="H90">
        <v>482</v>
      </c>
      <c r="I90">
        <v>480</v>
      </c>
      <c r="J90" t="s">
        <v>944</v>
      </c>
      <c r="K90" t="s">
        <v>868</v>
      </c>
    </row>
    <row r="91" spans="1:11">
      <c r="A91">
        <v>176</v>
      </c>
      <c r="B91" t="s">
        <v>1232</v>
      </c>
      <c r="C91" t="s">
        <v>1232</v>
      </c>
      <c r="D91" t="s">
        <v>1181</v>
      </c>
      <c r="E91" t="s">
        <v>1198</v>
      </c>
      <c r="F91" t="s">
        <v>1202</v>
      </c>
      <c r="G91">
        <v>604</v>
      </c>
      <c r="H91">
        <v>574</v>
      </c>
      <c r="I91">
        <v>570</v>
      </c>
      <c r="J91" t="s">
        <v>944</v>
      </c>
      <c r="K91" t="s">
        <v>868</v>
      </c>
    </row>
    <row r="92" spans="1:11">
      <c r="A92">
        <v>179</v>
      </c>
      <c r="B92" t="s">
        <v>1121</v>
      </c>
      <c r="C92" t="s">
        <v>1122</v>
      </c>
      <c r="D92" t="s">
        <v>1181</v>
      </c>
      <c r="E92" t="s">
        <v>1199</v>
      </c>
      <c r="F92" t="s">
        <v>1193</v>
      </c>
      <c r="G92">
        <v>608</v>
      </c>
      <c r="H92">
        <v>578</v>
      </c>
      <c r="I92">
        <v>570</v>
      </c>
      <c r="J92" t="s">
        <v>944</v>
      </c>
      <c r="K92" t="s">
        <v>868</v>
      </c>
    </row>
    <row r="93" spans="1:11">
      <c r="A93">
        <v>182</v>
      </c>
      <c r="B93" t="s">
        <v>1123</v>
      </c>
      <c r="C93" t="s">
        <v>1123</v>
      </c>
      <c r="D93" t="s">
        <v>1181</v>
      </c>
      <c r="E93" t="s">
        <v>1184</v>
      </c>
      <c r="F93" t="s">
        <v>1196</v>
      </c>
      <c r="G93">
        <v>607</v>
      </c>
      <c r="H93">
        <v>577</v>
      </c>
      <c r="I93">
        <v>570</v>
      </c>
      <c r="J93" t="s">
        <v>944</v>
      </c>
      <c r="K93" t="s">
        <v>868</v>
      </c>
    </row>
    <row r="94" spans="1:11">
      <c r="A94">
        <v>185</v>
      </c>
      <c r="B94" t="s">
        <v>1124</v>
      </c>
      <c r="C94" t="s">
        <v>1125</v>
      </c>
      <c r="D94" t="s">
        <v>1181</v>
      </c>
      <c r="E94" t="s">
        <v>1184</v>
      </c>
      <c r="F94" t="s">
        <v>1193</v>
      </c>
      <c r="G94">
        <v>608</v>
      </c>
      <c r="H94">
        <v>578</v>
      </c>
      <c r="I94">
        <v>570</v>
      </c>
      <c r="J94" t="s">
        <v>944</v>
      </c>
      <c r="K94" t="s">
        <v>868</v>
      </c>
    </row>
    <row r="95" spans="1:11">
      <c r="A95">
        <v>187</v>
      </c>
      <c r="B95" t="s">
        <v>1126</v>
      </c>
      <c r="C95" t="s">
        <v>1126</v>
      </c>
      <c r="D95" t="s">
        <v>1181</v>
      </c>
      <c r="E95" t="s">
        <v>1188</v>
      </c>
      <c r="F95" t="s">
        <v>1201</v>
      </c>
      <c r="G95">
        <v>611</v>
      </c>
      <c r="H95">
        <v>581</v>
      </c>
      <c r="I95">
        <v>570</v>
      </c>
      <c r="J95" t="s">
        <v>944</v>
      </c>
      <c r="K95" t="s">
        <v>868</v>
      </c>
    </row>
    <row r="96" spans="1:11">
      <c r="A96">
        <v>191</v>
      </c>
      <c r="B96" t="s">
        <v>1127</v>
      </c>
      <c r="C96" t="s">
        <v>1127</v>
      </c>
      <c r="D96" t="s">
        <v>1181</v>
      </c>
      <c r="E96" t="s">
        <v>1199</v>
      </c>
      <c r="F96" t="s">
        <v>1196</v>
      </c>
      <c r="G96">
        <v>608</v>
      </c>
      <c r="H96">
        <v>578</v>
      </c>
      <c r="I96">
        <v>570</v>
      </c>
      <c r="J96" t="s">
        <v>944</v>
      </c>
      <c r="K96" t="s">
        <v>868</v>
      </c>
    </row>
    <row r="97" spans="1:11">
      <c r="A97">
        <v>192</v>
      </c>
      <c r="B97" t="s">
        <v>1128</v>
      </c>
      <c r="C97" t="s">
        <v>937</v>
      </c>
      <c r="D97" t="s">
        <v>1181</v>
      </c>
      <c r="E97" t="s">
        <v>1199</v>
      </c>
      <c r="F97" t="s">
        <v>1196</v>
      </c>
      <c r="G97">
        <v>608</v>
      </c>
      <c r="H97">
        <v>578</v>
      </c>
      <c r="I97">
        <v>570</v>
      </c>
      <c r="J97" t="s">
        <v>944</v>
      </c>
      <c r="K97" t="s">
        <v>868</v>
      </c>
    </row>
    <row r="98" spans="1:11">
      <c r="A98">
        <v>196</v>
      </c>
      <c r="B98" t="s">
        <v>1129</v>
      </c>
      <c r="C98" t="s">
        <v>1130</v>
      </c>
      <c r="D98" t="s">
        <v>1181</v>
      </c>
      <c r="E98" t="s">
        <v>1198</v>
      </c>
      <c r="F98" t="s">
        <v>1201</v>
      </c>
      <c r="G98">
        <v>608</v>
      </c>
      <c r="H98">
        <v>578</v>
      </c>
      <c r="I98">
        <v>570</v>
      </c>
      <c r="J98" t="s">
        <v>944</v>
      </c>
      <c r="K98" t="s">
        <v>868</v>
      </c>
    </row>
    <row r="99" spans="1:11">
      <c r="A99">
        <v>197</v>
      </c>
      <c r="B99" t="s">
        <v>1131</v>
      </c>
      <c r="C99" t="s">
        <v>1132</v>
      </c>
      <c r="D99" t="s">
        <v>1181</v>
      </c>
      <c r="E99" t="s">
        <v>1188</v>
      </c>
      <c r="F99" t="s">
        <v>1201</v>
      </c>
      <c r="G99">
        <v>610</v>
      </c>
      <c r="H99">
        <v>580</v>
      </c>
      <c r="I99">
        <v>570</v>
      </c>
      <c r="J99" t="s">
        <v>944</v>
      </c>
      <c r="K99" t="s">
        <v>868</v>
      </c>
    </row>
    <row r="100" spans="1:11">
      <c r="A100">
        <v>198</v>
      </c>
      <c r="B100" t="s">
        <v>1133</v>
      </c>
      <c r="C100" t="s">
        <v>1134</v>
      </c>
      <c r="D100" t="s">
        <v>1181</v>
      </c>
      <c r="J100" t="s">
        <v>1190</v>
      </c>
      <c r="K100" t="s">
        <v>12</v>
      </c>
    </row>
    <row r="101" spans="1:11">
      <c r="A101">
        <v>200</v>
      </c>
      <c r="B101" t="s">
        <v>1138</v>
      </c>
      <c r="C101" t="s">
        <v>1138</v>
      </c>
      <c r="D101" t="s">
        <v>1181</v>
      </c>
      <c r="E101" t="s">
        <v>1184</v>
      </c>
      <c r="F101" t="s">
        <v>1201</v>
      </c>
      <c r="G101">
        <v>609</v>
      </c>
      <c r="H101">
        <v>579</v>
      </c>
      <c r="I101">
        <v>570</v>
      </c>
      <c r="J101" t="s">
        <v>944</v>
      </c>
      <c r="K101" t="s">
        <v>868</v>
      </c>
    </row>
    <row r="102" spans="1:11">
      <c r="A102">
        <v>201</v>
      </c>
      <c r="B102" t="s">
        <v>1139</v>
      </c>
      <c r="C102" t="s">
        <v>1139</v>
      </c>
      <c r="D102" t="s">
        <v>1181</v>
      </c>
      <c r="E102" t="s">
        <v>1188</v>
      </c>
      <c r="F102" t="s">
        <v>1233</v>
      </c>
      <c r="G102">
        <v>613</v>
      </c>
      <c r="H102">
        <v>583</v>
      </c>
      <c r="I102">
        <v>570</v>
      </c>
      <c r="J102" t="s">
        <v>944</v>
      </c>
      <c r="K102" t="s">
        <v>868</v>
      </c>
    </row>
    <row r="103" spans="1:11">
      <c r="A103">
        <v>202</v>
      </c>
      <c r="B103" t="s">
        <v>1140</v>
      </c>
      <c r="C103" t="s">
        <v>1140</v>
      </c>
      <c r="D103" t="s">
        <v>1181</v>
      </c>
      <c r="J103" t="s">
        <v>1190</v>
      </c>
      <c r="K103" t="s">
        <v>12</v>
      </c>
    </row>
    <row r="104" spans="1:11">
      <c r="A104">
        <v>205</v>
      </c>
      <c r="B104" t="s">
        <v>1143</v>
      </c>
      <c r="C104" t="s">
        <v>1144</v>
      </c>
      <c r="D104" t="s">
        <v>1181</v>
      </c>
      <c r="E104" t="s">
        <v>1198</v>
      </c>
      <c r="F104" t="s">
        <v>1189</v>
      </c>
      <c r="G104">
        <v>603</v>
      </c>
      <c r="H104">
        <v>573</v>
      </c>
      <c r="I104">
        <v>570</v>
      </c>
      <c r="J104" t="s">
        <v>944</v>
      </c>
      <c r="K104" t="s">
        <v>868</v>
      </c>
    </row>
    <row r="105" spans="1:11">
      <c r="A105">
        <v>208</v>
      </c>
      <c r="B105" t="s">
        <v>1145</v>
      </c>
      <c r="C105" t="s">
        <v>1146</v>
      </c>
      <c r="D105" t="s">
        <v>1181</v>
      </c>
      <c r="E105" t="s">
        <v>1184</v>
      </c>
      <c r="F105" t="s">
        <v>1195</v>
      </c>
      <c r="G105">
        <v>604</v>
      </c>
      <c r="H105">
        <v>574</v>
      </c>
      <c r="I105">
        <v>570</v>
      </c>
      <c r="J105" t="s">
        <v>944</v>
      </c>
      <c r="K105" t="s">
        <v>868</v>
      </c>
    </row>
    <row r="106" spans="1:11">
      <c r="A106">
        <v>210</v>
      </c>
      <c r="B106" t="s">
        <v>1147</v>
      </c>
      <c r="C106" t="s">
        <v>1147</v>
      </c>
      <c r="D106" t="s">
        <v>1181</v>
      </c>
      <c r="E106" t="s">
        <v>1198</v>
      </c>
      <c r="F106" t="s">
        <v>1201</v>
      </c>
      <c r="G106">
        <v>607</v>
      </c>
      <c r="H106">
        <v>577</v>
      </c>
      <c r="I106">
        <v>570</v>
      </c>
      <c r="J106" t="s">
        <v>944</v>
      </c>
      <c r="K106" t="s">
        <v>868</v>
      </c>
    </row>
    <row r="107" spans="1:11">
      <c r="A107">
        <v>211</v>
      </c>
      <c r="B107" t="s">
        <v>1148</v>
      </c>
      <c r="C107" t="s">
        <v>1148</v>
      </c>
      <c r="D107" t="s">
        <v>1181</v>
      </c>
      <c r="E107" t="s">
        <v>1198</v>
      </c>
      <c r="F107" t="s">
        <v>1189</v>
      </c>
      <c r="G107">
        <v>604</v>
      </c>
      <c r="H107">
        <v>574</v>
      </c>
      <c r="I107">
        <v>570</v>
      </c>
      <c r="J107" t="s">
        <v>944</v>
      </c>
      <c r="K107" t="s">
        <v>868</v>
      </c>
    </row>
    <row r="108" spans="1:11">
      <c r="A108">
        <v>212</v>
      </c>
      <c r="B108" t="s">
        <v>1149</v>
      </c>
      <c r="C108" t="s">
        <v>1149</v>
      </c>
      <c r="D108" t="s">
        <v>1181</v>
      </c>
      <c r="E108" t="s">
        <v>1199</v>
      </c>
      <c r="F108" t="s">
        <v>1201</v>
      </c>
      <c r="G108">
        <v>609</v>
      </c>
      <c r="H108">
        <v>579</v>
      </c>
      <c r="I108">
        <v>570</v>
      </c>
      <c r="J108" t="s">
        <v>944</v>
      </c>
      <c r="K108" t="s">
        <v>868</v>
      </c>
    </row>
    <row r="109" spans="1:11">
      <c r="A109">
        <v>214</v>
      </c>
      <c r="B109" t="s">
        <v>1150</v>
      </c>
      <c r="C109" t="s">
        <v>1151</v>
      </c>
      <c r="D109" t="s">
        <v>1181</v>
      </c>
      <c r="E109" t="s">
        <v>1199</v>
      </c>
      <c r="F109" t="s">
        <v>1201</v>
      </c>
      <c r="G109">
        <v>609</v>
      </c>
      <c r="H109">
        <v>579</v>
      </c>
      <c r="I109">
        <v>570</v>
      </c>
      <c r="J109" t="s">
        <v>944</v>
      </c>
      <c r="K109" t="s">
        <v>868</v>
      </c>
    </row>
    <row r="110" spans="1:11">
      <c r="A110">
        <v>217</v>
      </c>
      <c r="B110" t="s">
        <v>1153</v>
      </c>
      <c r="C110" t="s">
        <v>1153</v>
      </c>
      <c r="D110" t="s">
        <v>1181</v>
      </c>
      <c r="E110" t="s">
        <v>1184</v>
      </c>
      <c r="F110" t="s">
        <v>1196</v>
      </c>
      <c r="G110">
        <v>607</v>
      </c>
      <c r="H110">
        <v>577</v>
      </c>
      <c r="I110">
        <v>570</v>
      </c>
      <c r="J110" t="s">
        <v>944</v>
      </c>
      <c r="K110" t="s">
        <v>868</v>
      </c>
    </row>
    <row r="111" spans="1:11">
      <c r="A111">
        <v>220</v>
      </c>
      <c r="B111" t="s">
        <v>1154</v>
      </c>
      <c r="C111" t="s">
        <v>1155</v>
      </c>
      <c r="D111" t="s">
        <v>1181</v>
      </c>
      <c r="J111" t="s">
        <v>1190</v>
      </c>
      <c r="K111" t="s">
        <v>12</v>
      </c>
    </row>
    <row r="112" spans="1:11">
      <c r="A112">
        <v>222</v>
      </c>
      <c r="B112" t="s">
        <v>1157</v>
      </c>
      <c r="C112" t="s">
        <v>1157</v>
      </c>
      <c r="D112" t="s">
        <v>1181</v>
      </c>
      <c r="E112" t="s">
        <v>1188</v>
      </c>
      <c r="F112" t="s">
        <v>1193</v>
      </c>
      <c r="G112">
        <v>609</v>
      </c>
      <c r="H112">
        <v>579</v>
      </c>
      <c r="I112">
        <v>570</v>
      </c>
      <c r="J112" t="s">
        <v>944</v>
      </c>
      <c r="K112" t="s">
        <v>868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93"/>
  <sheetViews>
    <sheetView workbookViewId="0"/>
  </sheetViews>
  <sheetFormatPr baseColWidth="10" defaultColWidth="9" defaultRowHeight="14.25"/>
  <cols>
    <col min="1" max="1" width="12" customWidth="1"/>
    <col min="2" max="2" width="28" customWidth="1"/>
    <col min="3" max="3" width="30" customWidth="1"/>
    <col min="4" max="4" width="25" customWidth="1"/>
    <col min="5" max="5" width="18" customWidth="1"/>
    <col min="6" max="6" width="28" customWidth="1"/>
  </cols>
  <sheetData>
    <row r="1" spans="1:6" ht="15">
      <c r="A1" s="29" t="s">
        <v>848</v>
      </c>
      <c r="B1" s="29" t="s">
        <v>849</v>
      </c>
      <c r="C1" s="29" t="s">
        <v>850</v>
      </c>
      <c r="D1" s="29" t="s">
        <v>1475</v>
      </c>
      <c r="E1" s="29" t="s">
        <v>1476</v>
      </c>
      <c r="F1" s="29" t="s">
        <v>858</v>
      </c>
    </row>
    <row r="2" spans="1:6">
      <c r="A2">
        <v>4</v>
      </c>
      <c r="B2" t="s">
        <v>947</v>
      </c>
      <c r="C2" t="s">
        <v>947</v>
      </c>
      <c r="D2" t="s">
        <v>1477</v>
      </c>
      <c r="E2" t="s">
        <v>1478</v>
      </c>
      <c r="F2" t="s">
        <v>1479</v>
      </c>
    </row>
    <row r="3" spans="1:6">
      <c r="A3">
        <v>6</v>
      </c>
      <c r="B3" t="s">
        <v>869</v>
      </c>
      <c r="C3" t="s">
        <v>870</v>
      </c>
      <c r="D3" t="s">
        <v>1480</v>
      </c>
      <c r="E3" t="s">
        <v>1239</v>
      </c>
      <c r="F3" t="s">
        <v>1479</v>
      </c>
    </row>
    <row r="4" spans="1:6">
      <c r="A4">
        <v>10</v>
      </c>
      <c r="B4" t="s">
        <v>1213</v>
      </c>
      <c r="C4" t="s">
        <v>1213</v>
      </c>
      <c r="D4" t="s">
        <v>1481</v>
      </c>
      <c r="E4" t="s">
        <v>1482</v>
      </c>
      <c r="F4" t="s">
        <v>1479</v>
      </c>
    </row>
    <row r="5" spans="1:6">
      <c r="A5">
        <v>12</v>
      </c>
      <c r="B5" t="s">
        <v>953</v>
      </c>
      <c r="C5" t="s">
        <v>953</v>
      </c>
      <c r="D5" t="s">
        <v>1483</v>
      </c>
      <c r="E5" t="s">
        <v>1484</v>
      </c>
      <c r="F5" t="s">
        <v>1479</v>
      </c>
    </row>
    <row r="6" spans="1:6">
      <c r="A6">
        <v>13</v>
      </c>
      <c r="B6" t="s">
        <v>964</v>
      </c>
      <c r="C6" t="s">
        <v>965</v>
      </c>
      <c r="D6" t="s">
        <v>1485</v>
      </c>
      <c r="E6" t="s">
        <v>1486</v>
      </c>
      <c r="F6" t="s">
        <v>1479</v>
      </c>
    </row>
    <row r="7" spans="1:6">
      <c r="A7">
        <v>14</v>
      </c>
      <c r="B7" t="s">
        <v>971</v>
      </c>
      <c r="C7" t="s">
        <v>971</v>
      </c>
      <c r="D7" t="s">
        <v>1487</v>
      </c>
      <c r="E7" t="s">
        <v>1488</v>
      </c>
      <c r="F7" t="s">
        <v>1479</v>
      </c>
    </row>
    <row r="8" spans="1:6">
      <c r="A8">
        <v>16</v>
      </c>
      <c r="B8" t="s">
        <v>923</v>
      </c>
      <c r="C8" t="s">
        <v>923</v>
      </c>
      <c r="D8" t="s">
        <v>1489</v>
      </c>
      <c r="E8" t="s">
        <v>1236</v>
      </c>
      <c r="F8" t="s">
        <v>1479</v>
      </c>
    </row>
    <row r="9" spans="1:6">
      <c r="A9">
        <v>17</v>
      </c>
      <c r="B9" t="s">
        <v>917</v>
      </c>
      <c r="C9" t="s">
        <v>917</v>
      </c>
      <c r="D9" t="s">
        <v>1490</v>
      </c>
      <c r="E9" t="s">
        <v>1237</v>
      </c>
      <c r="F9" t="s">
        <v>1479</v>
      </c>
    </row>
    <row r="10" spans="1:6">
      <c r="A10">
        <v>19</v>
      </c>
      <c r="B10" t="s">
        <v>978</v>
      </c>
      <c r="C10" t="s">
        <v>978</v>
      </c>
      <c r="D10" t="s">
        <v>1491</v>
      </c>
      <c r="E10" t="s">
        <v>1492</v>
      </c>
      <c r="F10" t="s">
        <v>1479</v>
      </c>
    </row>
    <row r="11" spans="1:6">
      <c r="A11">
        <v>20</v>
      </c>
      <c r="B11" t="s">
        <v>984</v>
      </c>
      <c r="C11" t="s">
        <v>984</v>
      </c>
      <c r="D11" t="s">
        <v>1493</v>
      </c>
      <c r="E11" t="s">
        <v>1488</v>
      </c>
      <c r="F11" t="s">
        <v>1479</v>
      </c>
    </row>
    <row r="12" spans="1:6">
      <c r="A12">
        <v>22</v>
      </c>
      <c r="B12" t="s">
        <v>399</v>
      </c>
      <c r="C12" t="s">
        <v>989</v>
      </c>
      <c r="D12" t="s">
        <v>1494</v>
      </c>
      <c r="E12" t="s">
        <v>1488</v>
      </c>
      <c r="F12" t="s">
        <v>1479</v>
      </c>
    </row>
    <row r="13" spans="1:6">
      <c r="A13">
        <v>23</v>
      </c>
      <c r="B13" t="s">
        <v>990</v>
      </c>
      <c r="C13" t="s">
        <v>990</v>
      </c>
      <c r="D13" t="s">
        <v>1495</v>
      </c>
      <c r="E13" t="s">
        <v>1236</v>
      </c>
      <c r="F13" t="s">
        <v>1479</v>
      </c>
    </row>
    <row r="14" spans="1:6">
      <c r="A14">
        <v>24</v>
      </c>
      <c r="B14" t="s">
        <v>994</v>
      </c>
      <c r="C14" t="s">
        <v>995</v>
      </c>
      <c r="D14" t="s">
        <v>1496</v>
      </c>
      <c r="E14" t="s">
        <v>1488</v>
      </c>
      <c r="F14" t="s">
        <v>1479</v>
      </c>
    </row>
    <row r="15" spans="1:6">
      <c r="A15">
        <v>25</v>
      </c>
      <c r="B15" t="s">
        <v>998</v>
      </c>
      <c r="C15" t="s">
        <v>998</v>
      </c>
      <c r="D15" t="s">
        <v>1497</v>
      </c>
      <c r="E15" t="s">
        <v>1498</v>
      </c>
      <c r="F15" t="s">
        <v>1479</v>
      </c>
    </row>
    <row r="16" spans="1:6">
      <c r="A16">
        <v>29</v>
      </c>
      <c r="B16" t="s">
        <v>1004</v>
      </c>
      <c r="C16" t="s">
        <v>1005</v>
      </c>
      <c r="D16" t="s">
        <v>1499</v>
      </c>
      <c r="E16" t="s">
        <v>1240</v>
      </c>
      <c r="F16" t="s">
        <v>1479</v>
      </c>
    </row>
    <row r="17" spans="1:6">
      <c r="A17">
        <v>31</v>
      </c>
      <c r="B17" t="s">
        <v>1010</v>
      </c>
      <c r="C17" t="s">
        <v>1010</v>
      </c>
      <c r="D17" t="s">
        <v>1500</v>
      </c>
      <c r="E17" t="s">
        <v>1501</v>
      </c>
      <c r="F17" t="s">
        <v>1479</v>
      </c>
    </row>
    <row r="18" spans="1:6">
      <c r="A18">
        <v>33</v>
      </c>
      <c r="B18" t="s">
        <v>406</v>
      </c>
      <c r="C18" t="s">
        <v>1015</v>
      </c>
      <c r="D18" t="s">
        <v>1502</v>
      </c>
      <c r="E18" t="s">
        <v>1240</v>
      </c>
      <c r="F18" t="s">
        <v>1479</v>
      </c>
    </row>
    <row r="19" spans="1:6">
      <c r="A19">
        <v>47</v>
      </c>
      <c r="B19" t="s">
        <v>926</v>
      </c>
      <c r="C19" t="s">
        <v>926</v>
      </c>
      <c r="D19" t="s">
        <v>1503</v>
      </c>
      <c r="E19" t="s">
        <v>1504</v>
      </c>
      <c r="F19" t="s">
        <v>1479</v>
      </c>
    </row>
    <row r="20" spans="1:6">
      <c r="A20">
        <v>50</v>
      </c>
      <c r="B20" t="s">
        <v>904</v>
      </c>
      <c r="C20" t="s">
        <v>905</v>
      </c>
      <c r="D20" t="s">
        <v>1505</v>
      </c>
      <c r="E20" t="s">
        <v>1506</v>
      </c>
      <c r="F20" t="s">
        <v>1479</v>
      </c>
    </row>
    <row r="21" spans="1:6">
      <c r="A21">
        <v>53</v>
      </c>
      <c r="B21" t="s">
        <v>1018</v>
      </c>
      <c r="C21" t="s">
        <v>1018</v>
      </c>
      <c r="D21" t="s">
        <v>1507</v>
      </c>
      <c r="E21" t="s">
        <v>1234</v>
      </c>
      <c r="F21" t="s">
        <v>1479</v>
      </c>
    </row>
    <row r="22" spans="1:6">
      <c r="A22">
        <v>66</v>
      </c>
      <c r="B22" t="s">
        <v>1021</v>
      </c>
      <c r="C22" t="s">
        <v>1021</v>
      </c>
      <c r="D22" t="s">
        <v>1508</v>
      </c>
      <c r="E22" t="s">
        <v>1238</v>
      </c>
      <c r="F22" t="s">
        <v>1479</v>
      </c>
    </row>
    <row r="23" spans="1:6">
      <c r="A23">
        <v>70</v>
      </c>
      <c r="B23" t="s">
        <v>887</v>
      </c>
      <c r="C23" t="s">
        <v>887</v>
      </c>
      <c r="D23" t="s">
        <v>1509</v>
      </c>
      <c r="E23" t="s">
        <v>1235</v>
      </c>
      <c r="F23" t="s">
        <v>1479</v>
      </c>
    </row>
    <row r="24" spans="1:6">
      <c r="A24">
        <v>71</v>
      </c>
      <c r="B24" t="s">
        <v>895</v>
      </c>
      <c r="C24" t="s">
        <v>896</v>
      </c>
      <c r="D24" t="s">
        <v>1510</v>
      </c>
      <c r="E24" t="s">
        <v>1511</v>
      </c>
      <c r="F24" t="s">
        <v>1479</v>
      </c>
    </row>
    <row r="25" spans="1:6">
      <c r="A25">
        <v>81</v>
      </c>
      <c r="B25" t="s">
        <v>1030</v>
      </c>
      <c r="C25" t="s">
        <v>1030</v>
      </c>
      <c r="D25" t="s">
        <v>1512</v>
      </c>
      <c r="E25" t="s">
        <v>1513</v>
      </c>
      <c r="F25" t="s">
        <v>1479</v>
      </c>
    </row>
    <row r="26" spans="1:6">
      <c r="A26">
        <v>83</v>
      </c>
      <c r="B26" t="s">
        <v>1036</v>
      </c>
      <c r="C26" t="s">
        <v>1036</v>
      </c>
      <c r="D26" t="s">
        <v>1514</v>
      </c>
      <c r="E26" t="s">
        <v>1515</v>
      </c>
      <c r="F26" t="s">
        <v>1479</v>
      </c>
    </row>
    <row r="27" spans="1:6">
      <c r="A27">
        <v>89</v>
      </c>
      <c r="B27" t="s">
        <v>1040</v>
      </c>
      <c r="C27" t="s">
        <v>1041</v>
      </c>
      <c r="D27" t="s">
        <v>1516</v>
      </c>
      <c r="E27" t="s">
        <v>1517</v>
      </c>
      <c r="F27" t="s">
        <v>1479</v>
      </c>
    </row>
    <row r="28" spans="1:6">
      <c r="A28">
        <v>92</v>
      </c>
      <c r="B28" t="s">
        <v>1044</v>
      </c>
      <c r="C28" t="s">
        <v>1044</v>
      </c>
      <c r="D28" t="s">
        <v>1518</v>
      </c>
      <c r="E28" t="s">
        <v>1515</v>
      </c>
      <c r="F28" t="s">
        <v>1479</v>
      </c>
    </row>
    <row r="29" spans="1:6">
      <c r="A29">
        <v>93</v>
      </c>
      <c r="B29" t="s">
        <v>1048</v>
      </c>
      <c r="C29" t="s">
        <v>1048</v>
      </c>
      <c r="D29" t="s">
        <v>1519</v>
      </c>
      <c r="E29" t="s">
        <v>1501</v>
      </c>
      <c r="F29" t="s">
        <v>1479</v>
      </c>
    </row>
    <row r="30" spans="1:6">
      <c r="A30">
        <v>94</v>
      </c>
      <c r="B30" t="s">
        <v>928</v>
      </c>
      <c r="C30" t="s">
        <v>928</v>
      </c>
      <c r="D30" t="s">
        <v>1520</v>
      </c>
      <c r="E30" t="s">
        <v>1236</v>
      </c>
      <c r="F30" t="s">
        <v>1479</v>
      </c>
    </row>
    <row r="31" spans="1:6">
      <c r="A31">
        <v>96</v>
      </c>
      <c r="B31" t="s">
        <v>1051</v>
      </c>
      <c r="C31" t="s">
        <v>1051</v>
      </c>
      <c r="D31" t="s">
        <v>1521</v>
      </c>
      <c r="E31" t="s">
        <v>1237</v>
      </c>
      <c r="F31" t="s">
        <v>1479</v>
      </c>
    </row>
    <row r="32" spans="1:6">
      <c r="A32">
        <v>100</v>
      </c>
      <c r="B32" t="s">
        <v>1056</v>
      </c>
      <c r="C32" t="s">
        <v>1057</v>
      </c>
      <c r="D32" t="s">
        <v>1522</v>
      </c>
      <c r="E32" t="s">
        <v>1237</v>
      </c>
      <c r="F32" t="s">
        <v>1479</v>
      </c>
    </row>
    <row r="33" spans="1:6">
      <c r="A33">
        <v>104</v>
      </c>
      <c r="B33" t="s">
        <v>1060</v>
      </c>
      <c r="C33" t="s">
        <v>1061</v>
      </c>
      <c r="D33" t="s">
        <v>1523</v>
      </c>
      <c r="E33" t="s">
        <v>1237</v>
      </c>
      <c r="F33" t="s">
        <v>1479</v>
      </c>
    </row>
    <row r="34" spans="1:6">
      <c r="A34">
        <v>108</v>
      </c>
      <c r="B34" t="s">
        <v>1063</v>
      </c>
      <c r="C34" t="s">
        <v>1063</v>
      </c>
      <c r="D34" t="s">
        <v>1524</v>
      </c>
      <c r="E34" t="s">
        <v>1515</v>
      </c>
      <c r="F34" t="s">
        <v>1479</v>
      </c>
    </row>
    <row r="35" spans="1:6">
      <c r="A35">
        <v>109</v>
      </c>
      <c r="B35" t="s">
        <v>1066</v>
      </c>
      <c r="C35" t="s">
        <v>1066</v>
      </c>
      <c r="D35" t="s">
        <v>1525</v>
      </c>
      <c r="E35" t="s">
        <v>1504</v>
      </c>
      <c r="F35" t="s">
        <v>1479</v>
      </c>
    </row>
    <row r="36" spans="1:6">
      <c r="A36">
        <v>113</v>
      </c>
      <c r="B36" t="s">
        <v>1073</v>
      </c>
      <c r="C36" t="s">
        <v>1073</v>
      </c>
      <c r="D36" t="s">
        <v>1526</v>
      </c>
      <c r="E36" t="s">
        <v>1237</v>
      </c>
      <c r="F36" t="s">
        <v>1479</v>
      </c>
    </row>
    <row r="37" spans="1:6">
      <c r="A37">
        <v>115</v>
      </c>
      <c r="B37" t="s">
        <v>934</v>
      </c>
      <c r="C37" t="s">
        <v>934</v>
      </c>
      <c r="D37" t="s">
        <v>1527</v>
      </c>
      <c r="E37" t="s">
        <v>1504</v>
      </c>
      <c r="F37" t="s">
        <v>1479</v>
      </c>
    </row>
    <row r="38" spans="1:6">
      <c r="A38">
        <v>118</v>
      </c>
      <c r="B38" t="s">
        <v>935</v>
      </c>
      <c r="C38" t="s">
        <v>935</v>
      </c>
      <c r="D38" t="s">
        <v>1528</v>
      </c>
      <c r="E38" t="s">
        <v>1236</v>
      </c>
      <c r="F38" t="s">
        <v>1479</v>
      </c>
    </row>
    <row r="39" spans="1:6">
      <c r="A39">
        <v>119</v>
      </c>
      <c r="B39" t="s">
        <v>1074</v>
      </c>
      <c r="C39" t="s">
        <v>1075</v>
      </c>
      <c r="D39" t="s">
        <v>1529</v>
      </c>
      <c r="E39" t="s">
        <v>1237</v>
      </c>
      <c r="F39" t="s">
        <v>1479</v>
      </c>
    </row>
    <row r="40" spans="1:6">
      <c r="A40">
        <v>121</v>
      </c>
      <c r="B40" t="s">
        <v>1076</v>
      </c>
      <c r="C40" t="s">
        <v>1076</v>
      </c>
      <c r="D40" t="s">
        <v>1530</v>
      </c>
      <c r="E40" t="s">
        <v>1501</v>
      </c>
      <c r="F40" t="s">
        <v>1479</v>
      </c>
    </row>
    <row r="41" spans="1:6">
      <c r="A41">
        <v>124</v>
      </c>
      <c r="B41" t="s">
        <v>1078</v>
      </c>
      <c r="C41" t="s">
        <v>1078</v>
      </c>
      <c r="D41" t="s">
        <v>1531</v>
      </c>
      <c r="E41" t="s">
        <v>1501</v>
      </c>
      <c r="F41" t="s">
        <v>1479</v>
      </c>
    </row>
    <row r="42" spans="1:6">
      <c r="A42">
        <v>136</v>
      </c>
      <c r="B42" t="s">
        <v>1085</v>
      </c>
      <c r="C42" t="s">
        <v>1086</v>
      </c>
      <c r="D42" t="s">
        <v>1532</v>
      </c>
      <c r="E42" t="s">
        <v>1240</v>
      </c>
      <c r="F42" t="s">
        <v>1479</v>
      </c>
    </row>
    <row r="43" spans="1:6">
      <c r="A43">
        <v>137</v>
      </c>
      <c r="B43" t="s">
        <v>1083</v>
      </c>
      <c r="C43" t="s">
        <v>1083</v>
      </c>
      <c r="D43" t="s">
        <v>1533</v>
      </c>
      <c r="E43" t="s">
        <v>1234</v>
      </c>
      <c r="F43" t="s">
        <v>1479</v>
      </c>
    </row>
    <row r="44" spans="1:6">
      <c r="A44">
        <v>141</v>
      </c>
      <c r="B44" t="s">
        <v>1082</v>
      </c>
      <c r="C44" t="s">
        <v>1082</v>
      </c>
      <c r="D44" t="s">
        <v>1534</v>
      </c>
      <c r="E44" t="s">
        <v>1535</v>
      </c>
      <c r="F44" t="s">
        <v>1479</v>
      </c>
    </row>
    <row r="45" spans="1:6">
      <c r="A45">
        <v>143</v>
      </c>
      <c r="B45" t="s">
        <v>1090</v>
      </c>
      <c r="C45" t="s">
        <v>1091</v>
      </c>
      <c r="D45" t="s">
        <v>1536</v>
      </c>
      <c r="E45" t="s">
        <v>1237</v>
      </c>
      <c r="F45" t="s">
        <v>1479</v>
      </c>
    </row>
    <row r="46" spans="1:6">
      <c r="A46">
        <v>148</v>
      </c>
      <c r="B46" t="s">
        <v>1093</v>
      </c>
      <c r="C46" t="s">
        <v>1093</v>
      </c>
      <c r="D46" t="s">
        <v>1537</v>
      </c>
      <c r="E46" t="s">
        <v>1504</v>
      </c>
      <c r="F46" t="s">
        <v>1479</v>
      </c>
    </row>
    <row r="47" spans="1:6">
      <c r="A47">
        <v>150</v>
      </c>
      <c r="B47" t="s">
        <v>1095</v>
      </c>
      <c r="C47" t="s">
        <v>1096</v>
      </c>
      <c r="D47" t="s">
        <v>1538</v>
      </c>
      <c r="E47" t="s">
        <v>1234</v>
      </c>
      <c r="F47" t="s">
        <v>1479</v>
      </c>
    </row>
    <row r="48" spans="1:6">
      <c r="A48">
        <v>152</v>
      </c>
      <c r="B48" t="s">
        <v>1099</v>
      </c>
      <c r="C48" t="s">
        <v>1099</v>
      </c>
      <c r="D48" t="s">
        <v>1539</v>
      </c>
      <c r="E48" t="s">
        <v>1236</v>
      </c>
      <c r="F48" t="s">
        <v>1479</v>
      </c>
    </row>
    <row r="49" spans="1:6">
      <c r="A49">
        <v>154</v>
      </c>
      <c r="B49" t="s">
        <v>1100</v>
      </c>
      <c r="C49" t="s">
        <v>1100</v>
      </c>
      <c r="D49" t="s">
        <v>1540</v>
      </c>
      <c r="E49" t="s">
        <v>1515</v>
      </c>
      <c r="F49" t="s">
        <v>1479</v>
      </c>
    </row>
    <row r="50" spans="1:6">
      <c r="A50">
        <v>155</v>
      </c>
      <c r="B50" t="s">
        <v>1101</v>
      </c>
      <c r="C50" t="s">
        <v>1102</v>
      </c>
      <c r="D50" t="s">
        <v>1541</v>
      </c>
      <c r="E50" t="s">
        <v>1515</v>
      </c>
      <c r="F50" t="s">
        <v>1479</v>
      </c>
    </row>
    <row r="51" spans="1:6">
      <c r="A51">
        <v>156</v>
      </c>
      <c r="B51" t="s">
        <v>1103</v>
      </c>
      <c r="C51" t="s">
        <v>1104</v>
      </c>
      <c r="D51" t="s">
        <v>1542</v>
      </c>
      <c r="E51" t="s">
        <v>1515</v>
      </c>
      <c r="F51" t="s">
        <v>1479</v>
      </c>
    </row>
    <row r="52" spans="1:6">
      <c r="A52">
        <v>158</v>
      </c>
      <c r="B52" t="s">
        <v>1105</v>
      </c>
      <c r="C52" t="s">
        <v>1105</v>
      </c>
      <c r="D52" t="s">
        <v>1543</v>
      </c>
      <c r="E52" t="s">
        <v>1504</v>
      </c>
      <c r="F52" t="s">
        <v>1479</v>
      </c>
    </row>
    <row r="53" spans="1:6">
      <c r="A53">
        <v>159</v>
      </c>
      <c r="B53" t="s">
        <v>1107</v>
      </c>
      <c r="C53" t="s">
        <v>1108</v>
      </c>
      <c r="D53" t="s">
        <v>1544</v>
      </c>
      <c r="E53" t="s">
        <v>1501</v>
      </c>
      <c r="F53" t="s">
        <v>1479</v>
      </c>
    </row>
    <row r="54" spans="1:6">
      <c r="A54">
        <v>163</v>
      </c>
      <c r="B54" t="s">
        <v>1110</v>
      </c>
      <c r="C54" t="s">
        <v>1110</v>
      </c>
      <c r="D54" t="s">
        <v>1545</v>
      </c>
      <c r="E54" t="s">
        <v>1237</v>
      </c>
      <c r="F54" t="s">
        <v>1479</v>
      </c>
    </row>
    <row r="55" spans="1:6">
      <c r="A55">
        <v>166</v>
      </c>
      <c r="B55" t="s">
        <v>1113</v>
      </c>
      <c r="C55" t="s">
        <v>1113</v>
      </c>
      <c r="D55" t="s">
        <v>1546</v>
      </c>
      <c r="E55" t="s">
        <v>1236</v>
      </c>
      <c r="F55" t="s">
        <v>1479</v>
      </c>
    </row>
    <row r="56" spans="1:6">
      <c r="A56">
        <v>167</v>
      </c>
      <c r="B56" t="s">
        <v>1114</v>
      </c>
      <c r="C56" t="s">
        <v>1114</v>
      </c>
      <c r="D56" t="s">
        <v>1547</v>
      </c>
      <c r="E56" t="s">
        <v>1515</v>
      </c>
      <c r="F56" t="s">
        <v>1479</v>
      </c>
    </row>
    <row r="57" spans="1:6">
      <c r="A57">
        <v>169</v>
      </c>
      <c r="B57" t="s">
        <v>1116</v>
      </c>
      <c r="C57" t="s">
        <v>1116</v>
      </c>
      <c r="D57" t="s">
        <v>1548</v>
      </c>
      <c r="E57" t="s">
        <v>1515</v>
      </c>
      <c r="F57" t="s">
        <v>1479</v>
      </c>
    </row>
    <row r="58" spans="1:6">
      <c r="A58">
        <v>172</v>
      </c>
      <c r="B58" t="s">
        <v>1117</v>
      </c>
      <c r="C58" t="s">
        <v>1117</v>
      </c>
      <c r="D58" t="s">
        <v>1549</v>
      </c>
      <c r="E58" t="s">
        <v>1236</v>
      </c>
      <c r="F58" t="s">
        <v>1479</v>
      </c>
    </row>
    <row r="59" spans="1:6">
      <c r="A59">
        <v>174</v>
      </c>
      <c r="B59" t="s">
        <v>1118</v>
      </c>
      <c r="C59" t="s">
        <v>1118</v>
      </c>
      <c r="D59" t="s">
        <v>1550</v>
      </c>
      <c r="E59" t="s">
        <v>1504</v>
      </c>
      <c r="F59" t="s">
        <v>1479</v>
      </c>
    </row>
    <row r="60" spans="1:6">
      <c r="A60">
        <v>175</v>
      </c>
      <c r="B60" t="s">
        <v>1119</v>
      </c>
      <c r="C60" t="s">
        <v>1119</v>
      </c>
      <c r="D60" t="s">
        <v>1551</v>
      </c>
      <c r="E60" t="s">
        <v>1515</v>
      </c>
      <c r="F60" t="s">
        <v>1479</v>
      </c>
    </row>
    <row r="61" spans="1:6">
      <c r="A61">
        <v>176</v>
      </c>
      <c r="B61" t="s">
        <v>1232</v>
      </c>
      <c r="C61" t="s">
        <v>1232</v>
      </c>
      <c r="D61" t="s">
        <v>1552</v>
      </c>
      <c r="E61" t="s">
        <v>1234</v>
      </c>
      <c r="F61" t="s">
        <v>1479</v>
      </c>
    </row>
    <row r="62" spans="1:6">
      <c r="A62">
        <v>177</v>
      </c>
      <c r="B62" t="s">
        <v>1120</v>
      </c>
      <c r="C62" t="s">
        <v>1120</v>
      </c>
      <c r="D62" t="s">
        <v>1553</v>
      </c>
      <c r="E62" t="s">
        <v>1237</v>
      </c>
      <c r="F62" t="s">
        <v>1479</v>
      </c>
    </row>
    <row r="63" spans="1:6">
      <c r="A63">
        <v>179</v>
      </c>
      <c r="B63" t="s">
        <v>1121</v>
      </c>
      <c r="C63" t="s">
        <v>1122</v>
      </c>
      <c r="D63" t="s">
        <v>1554</v>
      </c>
      <c r="E63" t="s">
        <v>1515</v>
      </c>
      <c r="F63" t="s">
        <v>1479</v>
      </c>
    </row>
    <row r="64" spans="1:6">
      <c r="A64">
        <v>182</v>
      </c>
      <c r="B64" t="s">
        <v>1123</v>
      </c>
      <c r="C64" t="s">
        <v>1123</v>
      </c>
      <c r="D64" t="s">
        <v>1555</v>
      </c>
      <c r="E64" t="s">
        <v>1237</v>
      </c>
      <c r="F64" t="s">
        <v>1479</v>
      </c>
    </row>
    <row r="65" spans="1:6">
      <c r="A65">
        <v>185</v>
      </c>
      <c r="B65" t="s">
        <v>1124</v>
      </c>
      <c r="C65" t="s">
        <v>1125</v>
      </c>
      <c r="D65" t="s">
        <v>1556</v>
      </c>
      <c r="E65" t="s">
        <v>1515</v>
      </c>
      <c r="F65" t="s">
        <v>1479</v>
      </c>
    </row>
    <row r="66" spans="1:6">
      <c r="A66">
        <v>187</v>
      </c>
      <c r="B66" t="s">
        <v>1126</v>
      </c>
      <c r="C66" t="s">
        <v>1126</v>
      </c>
      <c r="D66" t="s">
        <v>1557</v>
      </c>
      <c r="E66" t="s">
        <v>1501</v>
      </c>
      <c r="F66" t="s">
        <v>1479</v>
      </c>
    </row>
    <row r="67" spans="1:6">
      <c r="A67">
        <v>191</v>
      </c>
      <c r="B67" t="s">
        <v>1127</v>
      </c>
      <c r="C67" t="s">
        <v>1127</v>
      </c>
      <c r="D67" t="s">
        <v>1558</v>
      </c>
      <c r="E67" t="s">
        <v>1236</v>
      </c>
      <c r="F67" t="s">
        <v>1479</v>
      </c>
    </row>
    <row r="68" spans="1:6">
      <c r="A68">
        <v>192</v>
      </c>
      <c r="B68" t="s">
        <v>1128</v>
      </c>
      <c r="C68" t="s">
        <v>1128</v>
      </c>
      <c r="D68" t="s">
        <v>1559</v>
      </c>
      <c r="E68" t="s">
        <v>1236</v>
      </c>
      <c r="F68" t="s">
        <v>1479</v>
      </c>
    </row>
    <row r="69" spans="1:6">
      <c r="A69">
        <v>196</v>
      </c>
      <c r="B69" t="s">
        <v>1129</v>
      </c>
      <c r="C69" t="s">
        <v>1130</v>
      </c>
      <c r="D69" t="s">
        <v>1560</v>
      </c>
      <c r="E69" t="s">
        <v>1234</v>
      </c>
      <c r="F69" t="s">
        <v>1479</v>
      </c>
    </row>
    <row r="70" spans="1:6">
      <c r="A70">
        <v>199</v>
      </c>
      <c r="B70" t="s">
        <v>1136</v>
      </c>
      <c r="C70" t="s">
        <v>1137</v>
      </c>
      <c r="D70" t="s">
        <v>1561</v>
      </c>
      <c r="E70" t="s">
        <v>1234</v>
      </c>
      <c r="F70" t="s">
        <v>1479</v>
      </c>
    </row>
    <row r="71" spans="1:6">
      <c r="A71">
        <v>202</v>
      </c>
      <c r="B71" t="s">
        <v>1140</v>
      </c>
      <c r="C71" t="s">
        <v>1140</v>
      </c>
      <c r="D71" t="s">
        <v>1562</v>
      </c>
      <c r="E71" t="s">
        <v>1234</v>
      </c>
      <c r="F71" t="s">
        <v>1479</v>
      </c>
    </row>
    <row r="72" spans="1:6">
      <c r="A72">
        <v>204</v>
      </c>
      <c r="B72" t="s">
        <v>1141</v>
      </c>
      <c r="C72" t="s">
        <v>1142</v>
      </c>
      <c r="D72" t="s">
        <v>1563</v>
      </c>
      <c r="E72" t="s">
        <v>1515</v>
      </c>
      <c r="F72" t="s">
        <v>1479</v>
      </c>
    </row>
    <row r="73" spans="1:6">
      <c r="A73">
        <v>205</v>
      </c>
      <c r="B73" t="s">
        <v>1143</v>
      </c>
      <c r="C73" t="s">
        <v>1144</v>
      </c>
      <c r="D73" t="s">
        <v>1564</v>
      </c>
      <c r="E73" t="s">
        <v>1515</v>
      </c>
      <c r="F73" t="s">
        <v>1479</v>
      </c>
    </row>
    <row r="74" spans="1:6">
      <c r="A74">
        <v>208</v>
      </c>
      <c r="B74" t="s">
        <v>1145</v>
      </c>
      <c r="C74" t="s">
        <v>1146</v>
      </c>
      <c r="D74" t="s">
        <v>1565</v>
      </c>
      <c r="E74" t="s">
        <v>1517</v>
      </c>
      <c r="F74" t="s">
        <v>1479</v>
      </c>
    </row>
    <row r="75" spans="1:6">
      <c r="A75">
        <v>210</v>
      </c>
      <c r="B75" t="s">
        <v>1147</v>
      </c>
      <c r="C75" t="s">
        <v>1147</v>
      </c>
      <c r="D75" t="s">
        <v>1566</v>
      </c>
      <c r="E75" t="s">
        <v>1234</v>
      </c>
      <c r="F75" t="s">
        <v>1479</v>
      </c>
    </row>
    <row r="76" spans="1:6">
      <c r="A76">
        <v>211</v>
      </c>
      <c r="B76" t="s">
        <v>1148</v>
      </c>
      <c r="C76" t="s">
        <v>1148</v>
      </c>
      <c r="D76" t="s">
        <v>1567</v>
      </c>
      <c r="E76" t="s">
        <v>1236</v>
      </c>
      <c r="F76" t="s">
        <v>1479</v>
      </c>
    </row>
    <row r="77" spans="1:6">
      <c r="A77">
        <v>212</v>
      </c>
      <c r="B77" t="s">
        <v>1149</v>
      </c>
      <c r="C77" t="s">
        <v>1149</v>
      </c>
      <c r="D77" t="s">
        <v>1568</v>
      </c>
      <c r="E77" t="s">
        <v>1515</v>
      </c>
      <c r="F77" t="s">
        <v>1479</v>
      </c>
    </row>
    <row r="78" spans="1:6">
      <c r="A78">
        <v>214</v>
      </c>
      <c r="B78" t="s">
        <v>1150</v>
      </c>
      <c r="C78" t="s">
        <v>1151</v>
      </c>
      <c r="D78" t="s">
        <v>1569</v>
      </c>
      <c r="E78" t="s">
        <v>1504</v>
      </c>
      <c r="F78" t="s">
        <v>1479</v>
      </c>
    </row>
    <row r="79" spans="1:6">
      <c r="A79">
        <v>215</v>
      </c>
      <c r="B79" t="s">
        <v>1152</v>
      </c>
      <c r="C79" t="s">
        <v>1152</v>
      </c>
      <c r="D79" t="s">
        <v>1570</v>
      </c>
      <c r="E79" t="s">
        <v>1504</v>
      </c>
      <c r="F79" t="s">
        <v>1479</v>
      </c>
    </row>
    <row r="80" spans="1:6">
      <c r="A80">
        <v>217</v>
      </c>
      <c r="B80" t="s">
        <v>1153</v>
      </c>
      <c r="C80" t="s">
        <v>1153</v>
      </c>
      <c r="D80" t="s">
        <v>1571</v>
      </c>
      <c r="E80" t="s">
        <v>1237</v>
      </c>
      <c r="F80" t="s">
        <v>1479</v>
      </c>
    </row>
    <row r="81" spans="1:6">
      <c r="A81">
        <v>220</v>
      </c>
      <c r="B81" t="s">
        <v>1154</v>
      </c>
      <c r="C81" t="s">
        <v>1155</v>
      </c>
      <c r="D81" t="s">
        <v>1572</v>
      </c>
      <c r="E81" t="s">
        <v>1234</v>
      </c>
      <c r="F81" t="s">
        <v>1479</v>
      </c>
    </row>
    <row r="82" spans="1:6">
      <c r="A82">
        <v>222</v>
      </c>
      <c r="B82" t="s">
        <v>1157</v>
      </c>
      <c r="C82" t="s">
        <v>1157</v>
      </c>
      <c r="D82" t="s">
        <v>1573</v>
      </c>
      <c r="E82" t="s">
        <v>1574</v>
      </c>
      <c r="F82" t="s">
        <v>1479</v>
      </c>
    </row>
    <row r="83" spans="1:6">
      <c r="A83">
        <v>223</v>
      </c>
      <c r="B83" t="s">
        <v>1158</v>
      </c>
      <c r="C83" t="s">
        <v>1158</v>
      </c>
      <c r="D83" t="s">
        <v>1558</v>
      </c>
      <c r="E83" t="s">
        <v>1236</v>
      </c>
      <c r="F83" t="s">
        <v>1479</v>
      </c>
    </row>
    <row r="84" spans="1:6">
      <c r="A84">
        <v>233</v>
      </c>
      <c r="B84" t="s">
        <v>936</v>
      </c>
      <c r="C84" t="s">
        <v>937</v>
      </c>
      <c r="D84" t="s">
        <v>1575</v>
      </c>
      <c r="E84" t="s">
        <v>1236</v>
      </c>
      <c r="F84" t="s">
        <v>1479</v>
      </c>
    </row>
    <row r="85" spans="1:6">
      <c r="A85">
        <v>234</v>
      </c>
      <c r="B85" t="s">
        <v>939</v>
      </c>
      <c r="C85" t="s">
        <v>939</v>
      </c>
      <c r="D85" t="s">
        <v>1576</v>
      </c>
      <c r="E85" t="s">
        <v>1237</v>
      </c>
      <c r="F85" t="s">
        <v>1479</v>
      </c>
    </row>
    <row r="86" spans="1:6">
      <c r="A86">
        <v>240</v>
      </c>
      <c r="B86" t="s">
        <v>1160</v>
      </c>
      <c r="C86" t="s">
        <v>1160</v>
      </c>
      <c r="D86" t="s">
        <v>1577</v>
      </c>
      <c r="E86" t="s">
        <v>1515</v>
      </c>
      <c r="F86" t="s">
        <v>1479</v>
      </c>
    </row>
    <row r="87" spans="1:6">
      <c r="A87">
        <v>242</v>
      </c>
      <c r="B87" t="s">
        <v>1161</v>
      </c>
      <c r="C87" t="s">
        <v>1161</v>
      </c>
      <c r="D87" t="s">
        <v>1578</v>
      </c>
      <c r="E87" t="s">
        <v>1579</v>
      </c>
      <c r="F87" t="s">
        <v>1479</v>
      </c>
    </row>
    <row r="88" spans="1:6">
      <c r="A88">
        <v>243</v>
      </c>
      <c r="B88" t="s">
        <v>1164</v>
      </c>
      <c r="C88" t="s">
        <v>1164</v>
      </c>
      <c r="D88" t="s">
        <v>1580</v>
      </c>
      <c r="E88" t="s">
        <v>1515</v>
      </c>
      <c r="F88" t="s">
        <v>1479</v>
      </c>
    </row>
    <row r="89" spans="1:6">
      <c r="A89">
        <v>247</v>
      </c>
      <c r="B89" t="s">
        <v>1168</v>
      </c>
      <c r="C89" t="s">
        <v>1168</v>
      </c>
      <c r="D89" t="s">
        <v>1581</v>
      </c>
      <c r="E89" t="s">
        <v>1501</v>
      </c>
      <c r="F89" t="s">
        <v>1479</v>
      </c>
    </row>
    <row r="90" spans="1:6">
      <c r="A90">
        <v>248</v>
      </c>
      <c r="B90" t="s">
        <v>1169</v>
      </c>
      <c r="C90" t="s">
        <v>1169</v>
      </c>
      <c r="D90" t="s">
        <v>1582</v>
      </c>
      <c r="E90" t="s">
        <v>1234</v>
      </c>
      <c r="F90" t="s">
        <v>1479</v>
      </c>
    </row>
    <row r="91" spans="1:6">
      <c r="A91">
        <v>249</v>
      </c>
      <c r="B91" t="s">
        <v>1171</v>
      </c>
      <c r="C91" t="s">
        <v>1172</v>
      </c>
      <c r="D91" t="s">
        <v>1583</v>
      </c>
      <c r="E91" t="s">
        <v>1584</v>
      </c>
      <c r="F91" t="s">
        <v>1479</v>
      </c>
    </row>
    <row r="92" spans="1:6">
      <c r="A92">
        <v>250</v>
      </c>
      <c r="B92" t="s">
        <v>1177</v>
      </c>
      <c r="C92" t="s">
        <v>1178</v>
      </c>
      <c r="D92" t="s">
        <v>1585</v>
      </c>
      <c r="E92" t="s">
        <v>1238</v>
      </c>
      <c r="F92" t="s">
        <v>1479</v>
      </c>
    </row>
    <row r="93" spans="1:6">
      <c r="A93">
        <v>251</v>
      </c>
      <c r="B93" t="s">
        <v>912</v>
      </c>
      <c r="C93" t="s">
        <v>912</v>
      </c>
      <c r="D93" t="s">
        <v>1586</v>
      </c>
      <c r="E93" t="s">
        <v>1482</v>
      </c>
      <c r="F93" t="s">
        <v>1479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94"/>
  <sheetViews>
    <sheetView workbookViewId="0"/>
  </sheetViews>
  <sheetFormatPr baseColWidth="10" defaultColWidth="9" defaultRowHeight="14.25"/>
  <cols>
    <col min="1" max="1" width="12" customWidth="1"/>
    <col min="2" max="2" width="28" customWidth="1"/>
    <col min="3" max="3" width="30" customWidth="1"/>
    <col min="4" max="4" width="20" customWidth="1"/>
    <col min="5" max="5" width="28" customWidth="1"/>
    <col min="6" max="7" width="16" customWidth="1"/>
  </cols>
  <sheetData>
    <row r="1" spans="1:7" ht="15">
      <c r="A1" s="30" t="s">
        <v>848</v>
      </c>
      <c r="B1" s="30" t="s">
        <v>849</v>
      </c>
      <c r="C1" s="30" t="s">
        <v>850</v>
      </c>
      <c r="D1" s="30" t="s">
        <v>1587</v>
      </c>
      <c r="E1" s="30" t="s">
        <v>1588</v>
      </c>
      <c r="F1" s="30" t="s">
        <v>1589</v>
      </c>
      <c r="G1" s="30" t="s">
        <v>858</v>
      </c>
    </row>
    <row r="2" spans="1:7">
      <c r="A2">
        <v>4</v>
      </c>
      <c r="B2" t="s">
        <v>947</v>
      </c>
      <c r="C2" t="s">
        <v>947</v>
      </c>
      <c r="D2" t="s">
        <v>1590</v>
      </c>
      <c r="E2" t="s">
        <v>1591</v>
      </c>
      <c r="F2" t="s">
        <v>1592</v>
      </c>
      <c r="G2" t="s">
        <v>868</v>
      </c>
    </row>
    <row r="3" spans="1:7">
      <c r="A3">
        <v>6</v>
      </c>
      <c r="B3" t="s">
        <v>869</v>
      </c>
      <c r="C3" t="s">
        <v>870</v>
      </c>
      <c r="D3" t="s">
        <v>1593</v>
      </c>
      <c r="E3" t="s">
        <v>1594</v>
      </c>
      <c r="G3" t="s">
        <v>863</v>
      </c>
    </row>
    <row r="4" spans="1:7">
      <c r="A4">
        <v>10</v>
      </c>
      <c r="B4" t="s">
        <v>1213</v>
      </c>
      <c r="C4" t="s">
        <v>1213</v>
      </c>
      <c r="D4" t="s">
        <v>1590</v>
      </c>
      <c r="E4" t="s">
        <v>1595</v>
      </c>
      <c r="F4" t="s">
        <v>1596</v>
      </c>
      <c r="G4" t="s">
        <v>868</v>
      </c>
    </row>
    <row r="5" spans="1:7">
      <c r="A5">
        <v>12</v>
      </c>
      <c r="B5" t="s">
        <v>953</v>
      </c>
      <c r="C5" t="s">
        <v>953</v>
      </c>
      <c r="D5" t="s">
        <v>1590</v>
      </c>
      <c r="E5" t="s">
        <v>1597</v>
      </c>
      <c r="F5" t="s">
        <v>1598</v>
      </c>
      <c r="G5" t="s">
        <v>868</v>
      </c>
    </row>
    <row r="6" spans="1:7">
      <c r="A6">
        <v>13</v>
      </c>
      <c r="B6" t="s">
        <v>964</v>
      </c>
      <c r="C6" t="s">
        <v>965</v>
      </c>
      <c r="D6" t="s">
        <v>1590</v>
      </c>
      <c r="E6" t="s">
        <v>1599</v>
      </c>
      <c r="F6" t="s">
        <v>1592</v>
      </c>
      <c r="G6" t="s">
        <v>868</v>
      </c>
    </row>
    <row r="7" spans="1:7">
      <c r="A7">
        <v>14</v>
      </c>
      <c r="B7" t="s">
        <v>971</v>
      </c>
      <c r="C7" t="s">
        <v>971</v>
      </c>
      <c r="D7" t="s">
        <v>1590</v>
      </c>
      <c r="E7" t="s">
        <v>1600</v>
      </c>
      <c r="F7" t="s">
        <v>1592</v>
      </c>
      <c r="G7" t="s">
        <v>868</v>
      </c>
    </row>
    <row r="8" spans="1:7">
      <c r="A8">
        <v>16</v>
      </c>
      <c r="B8" t="s">
        <v>923</v>
      </c>
      <c r="C8" t="s">
        <v>923</v>
      </c>
      <c r="D8" t="s">
        <v>1590</v>
      </c>
      <c r="E8" t="s">
        <v>1601</v>
      </c>
      <c r="F8" t="s">
        <v>1592</v>
      </c>
      <c r="G8" t="s">
        <v>868</v>
      </c>
    </row>
    <row r="9" spans="1:7">
      <c r="A9">
        <v>17</v>
      </c>
      <c r="B9" t="s">
        <v>917</v>
      </c>
      <c r="C9" t="s">
        <v>917</v>
      </c>
      <c r="D9" t="s">
        <v>1590</v>
      </c>
      <c r="E9" t="s">
        <v>1602</v>
      </c>
      <c r="F9" t="s">
        <v>1592</v>
      </c>
      <c r="G9" t="s">
        <v>868</v>
      </c>
    </row>
    <row r="10" spans="1:7">
      <c r="A10">
        <v>19</v>
      </c>
      <c r="B10" t="s">
        <v>978</v>
      </c>
      <c r="C10" t="s">
        <v>978</v>
      </c>
      <c r="D10" t="s">
        <v>1590</v>
      </c>
      <c r="E10" t="s">
        <v>1603</v>
      </c>
      <c r="F10" t="s">
        <v>1604</v>
      </c>
      <c r="G10" t="s">
        <v>868</v>
      </c>
    </row>
    <row r="11" spans="1:7">
      <c r="A11">
        <v>20</v>
      </c>
      <c r="B11" t="s">
        <v>984</v>
      </c>
      <c r="C11" t="s">
        <v>984</v>
      </c>
      <c r="D11" t="s">
        <v>1590</v>
      </c>
      <c r="E11" t="s">
        <v>1600</v>
      </c>
      <c r="F11" t="s">
        <v>1592</v>
      </c>
      <c r="G11" t="s">
        <v>868</v>
      </c>
    </row>
    <row r="12" spans="1:7">
      <c r="A12">
        <v>22</v>
      </c>
      <c r="B12" t="s">
        <v>399</v>
      </c>
      <c r="C12" t="s">
        <v>989</v>
      </c>
      <c r="D12" t="s">
        <v>1590</v>
      </c>
      <c r="E12" t="s">
        <v>1605</v>
      </c>
      <c r="F12" t="s">
        <v>1606</v>
      </c>
      <c r="G12" t="s">
        <v>868</v>
      </c>
    </row>
    <row r="13" spans="1:7">
      <c r="A13">
        <v>23</v>
      </c>
      <c r="B13" t="s">
        <v>990</v>
      </c>
      <c r="C13" t="s">
        <v>990</v>
      </c>
      <c r="D13" t="s">
        <v>1590</v>
      </c>
      <c r="E13" t="s">
        <v>1607</v>
      </c>
      <c r="F13" t="s">
        <v>1592</v>
      </c>
      <c r="G13" t="s">
        <v>868</v>
      </c>
    </row>
    <row r="14" spans="1:7">
      <c r="A14">
        <v>24</v>
      </c>
      <c r="B14" t="s">
        <v>994</v>
      </c>
      <c r="C14" t="s">
        <v>995</v>
      </c>
      <c r="D14" t="s">
        <v>1590</v>
      </c>
      <c r="E14" t="s">
        <v>1608</v>
      </c>
      <c r="F14" t="s">
        <v>1604</v>
      </c>
      <c r="G14" t="s">
        <v>868</v>
      </c>
    </row>
    <row r="15" spans="1:7">
      <c r="A15">
        <v>25</v>
      </c>
      <c r="B15" t="s">
        <v>998</v>
      </c>
      <c r="C15" t="s">
        <v>998</v>
      </c>
      <c r="D15" t="s">
        <v>1590</v>
      </c>
      <c r="E15" t="s">
        <v>1609</v>
      </c>
      <c r="F15" t="s">
        <v>1604</v>
      </c>
      <c r="G15" t="s">
        <v>868</v>
      </c>
    </row>
    <row r="16" spans="1:7">
      <c r="A16">
        <v>29</v>
      </c>
      <c r="B16" t="s">
        <v>1004</v>
      </c>
      <c r="C16" t="s">
        <v>1005</v>
      </c>
      <c r="D16" t="s">
        <v>1590</v>
      </c>
      <c r="E16" t="s">
        <v>1610</v>
      </c>
      <c r="F16" t="s">
        <v>1592</v>
      </c>
      <c r="G16" t="s">
        <v>868</v>
      </c>
    </row>
    <row r="17" spans="1:7">
      <c r="A17">
        <v>31</v>
      </c>
      <c r="B17" t="s">
        <v>1010</v>
      </c>
      <c r="C17" t="s">
        <v>1010</v>
      </c>
      <c r="D17" t="s">
        <v>1590</v>
      </c>
      <c r="E17" t="s">
        <v>1611</v>
      </c>
      <c r="F17" t="s">
        <v>1592</v>
      </c>
      <c r="G17" t="s">
        <v>868</v>
      </c>
    </row>
    <row r="18" spans="1:7">
      <c r="A18">
        <v>33</v>
      </c>
      <c r="B18" t="s">
        <v>406</v>
      </c>
      <c r="C18" t="s">
        <v>1015</v>
      </c>
      <c r="D18" t="s">
        <v>1593</v>
      </c>
      <c r="E18" t="s">
        <v>1612</v>
      </c>
      <c r="G18" t="s">
        <v>863</v>
      </c>
    </row>
    <row r="19" spans="1:7">
      <c r="A19">
        <v>47</v>
      </c>
      <c r="B19" t="s">
        <v>926</v>
      </c>
      <c r="C19" t="s">
        <v>926</v>
      </c>
      <c r="D19" t="s">
        <v>1590</v>
      </c>
      <c r="E19" t="s">
        <v>1613</v>
      </c>
      <c r="F19" t="s">
        <v>1592</v>
      </c>
      <c r="G19" t="s">
        <v>868</v>
      </c>
    </row>
    <row r="20" spans="1:7">
      <c r="A20">
        <v>50</v>
      </c>
      <c r="B20" t="s">
        <v>904</v>
      </c>
      <c r="C20" t="s">
        <v>905</v>
      </c>
      <c r="D20" t="s">
        <v>1590</v>
      </c>
      <c r="E20" t="s">
        <v>1614</v>
      </c>
      <c r="F20" t="s">
        <v>1596</v>
      </c>
      <c r="G20" t="s">
        <v>868</v>
      </c>
    </row>
    <row r="21" spans="1:7">
      <c r="A21">
        <v>53</v>
      </c>
      <c r="B21" t="s">
        <v>1018</v>
      </c>
      <c r="C21" t="s">
        <v>1018</v>
      </c>
      <c r="D21" t="s">
        <v>1593</v>
      </c>
      <c r="E21" t="s">
        <v>1615</v>
      </c>
      <c r="G21" t="s">
        <v>863</v>
      </c>
    </row>
    <row r="22" spans="1:7">
      <c r="A22">
        <v>66</v>
      </c>
      <c r="B22" t="s">
        <v>1021</v>
      </c>
      <c r="C22" t="s">
        <v>1021</v>
      </c>
      <c r="D22" t="s">
        <v>1590</v>
      </c>
      <c r="E22" t="s">
        <v>1616</v>
      </c>
      <c r="F22" t="s">
        <v>1592</v>
      </c>
      <c r="G22" t="s">
        <v>868</v>
      </c>
    </row>
    <row r="23" spans="1:7">
      <c r="A23">
        <v>70</v>
      </c>
      <c r="B23" t="s">
        <v>887</v>
      </c>
      <c r="C23" t="s">
        <v>887</v>
      </c>
      <c r="D23" t="s">
        <v>1593</v>
      </c>
      <c r="E23" t="s">
        <v>1617</v>
      </c>
      <c r="G23" t="s">
        <v>863</v>
      </c>
    </row>
    <row r="24" spans="1:7">
      <c r="A24">
        <v>71</v>
      </c>
      <c r="B24" t="s">
        <v>895</v>
      </c>
      <c r="C24" t="s">
        <v>896</v>
      </c>
      <c r="D24" t="s">
        <v>1593</v>
      </c>
      <c r="E24" t="s">
        <v>1618</v>
      </c>
      <c r="G24" t="s">
        <v>863</v>
      </c>
    </row>
    <row r="25" spans="1:7">
      <c r="A25">
        <v>81</v>
      </c>
      <c r="B25" t="s">
        <v>1030</v>
      </c>
      <c r="C25" t="s">
        <v>1030</v>
      </c>
      <c r="D25" t="s">
        <v>1590</v>
      </c>
      <c r="E25" t="s">
        <v>1619</v>
      </c>
      <c r="F25" t="s">
        <v>1604</v>
      </c>
      <c r="G25" t="s">
        <v>868</v>
      </c>
    </row>
    <row r="26" spans="1:7">
      <c r="A26">
        <v>83</v>
      </c>
      <c r="B26" t="s">
        <v>1036</v>
      </c>
      <c r="C26" t="s">
        <v>1036</v>
      </c>
      <c r="D26" t="s">
        <v>1590</v>
      </c>
      <c r="E26" t="s">
        <v>1620</v>
      </c>
      <c r="F26" t="s">
        <v>1592</v>
      </c>
      <c r="G26" t="s">
        <v>868</v>
      </c>
    </row>
    <row r="27" spans="1:7">
      <c r="A27">
        <v>89</v>
      </c>
      <c r="B27" t="s">
        <v>1040</v>
      </c>
      <c r="C27" t="s">
        <v>1041</v>
      </c>
      <c r="D27" t="s">
        <v>1590</v>
      </c>
      <c r="E27" t="s">
        <v>1621</v>
      </c>
      <c r="F27" t="s">
        <v>1592</v>
      </c>
      <c r="G27" t="s">
        <v>868</v>
      </c>
    </row>
    <row r="28" spans="1:7">
      <c r="A28">
        <v>92</v>
      </c>
      <c r="B28" t="s">
        <v>1044</v>
      </c>
      <c r="C28" t="s">
        <v>1044</v>
      </c>
      <c r="D28" t="s">
        <v>1590</v>
      </c>
      <c r="E28" t="s">
        <v>1622</v>
      </c>
      <c r="F28" t="s">
        <v>1592</v>
      </c>
      <c r="G28" t="s">
        <v>868</v>
      </c>
    </row>
    <row r="29" spans="1:7">
      <c r="A29">
        <v>93</v>
      </c>
      <c r="B29" t="s">
        <v>1048</v>
      </c>
      <c r="C29" t="s">
        <v>1048</v>
      </c>
      <c r="D29" t="s">
        <v>1590</v>
      </c>
      <c r="E29" t="s">
        <v>1623</v>
      </c>
      <c r="F29" t="s">
        <v>1592</v>
      </c>
      <c r="G29" t="s">
        <v>868</v>
      </c>
    </row>
    <row r="30" spans="1:7">
      <c r="A30">
        <v>94</v>
      </c>
      <c r="B30" t="s">
        <v>928</v>
      </c>
      <c r="C30" t="s">
        <v>928</v>
      </c>
      <c r="D30" t="s">
        <v>1593</v>
      </c>
      <c r="E30" t="s">
        <v>1624</v>
      </c>
      <c r="G30" t="s">
        <v>863</v>
      </c>
    </row>
    <row r="31" spans="1:7">
      <c r="A31">
        <v>96</v>
      </c>
      <c r="B31" t="s">
        <v>1051</v>
      </c>
      <c r="C31" t="s">
        <v>1051</v>
      </c>
      <c r="D31" t="s">
        <v>1590</v>
      </c>
      <c r="E31" t="s">
        <v>1625</v>
      </c>
      <c r="F31" t="s">
        <v>1592</v>
      </c>
      <c r="G31" t="s">
        <v>868</v>
      </c>
    </row>
    <row r="32" spans="1:7">
      <c r="A32">
        <v>100</v>
      </c>
      <c r="B32" t="s">
        <v>1056</v>
      </c>
      <c r="C32" t="s">
        <v>1057</v>
      </c>
      <c r="D32" t="s">
        <v>1590</v>
      </c>
      <c r="E32" t="s">
        <v>1626</v>
      </c>
      <c r="F32" t="s">
        <v>1592</v>
      </c>
      <c r="G32" t="s">
        <v>868</v>
      </c>
    </row>
    <row r="33" spans="1:7">
      <c r="A33">
        <v>104</v>
      </c>
      <c r="B33" t="s">
        <v>1060</v>
      </c>
      <c r="C33" t="s">
        <v>1061</v>
      </c>
      <c r="D33" t="s">
        <v>1590</v>
      </c>
      <c r="E33" t="s">
        <v>1627</v>
      </c>
      <c r="F33" t="s">
        <v>1592</v>
      </c>
      <c r="G33" t="s">
        <v>868</v>
      </c>
    </row>
    <row r="34" spans="1:7">
      <c r="A34">
        <v>108</v>
      </c>
      <c r="B34" t="s">
        <v>1063</v>
      </c>
      <c r="C34" t="s">
        <v>1063</v>
      </c>
      <c r="D34" t="s">
        <v>1590</v>
      </c>
      <c r="E34" t="s">
        <v>1628</v>
      </c>
      <c r="F34" t="s">
        <v>1592</v>
      </c>
      <c r="G34" t="s">
        <v>868</v>
      </c>
    </row>
    <row r="35" spans="1:7">
      <c r="A35">
        <v>109</v>
      </c>
      <c r="B35" t="s">
        <v>1066</v>
      </c>
      <c r="C35" t="s">
        <v>1066</v>
      </c>
      <c r="D35" t="s">
        <v>1590</v>
      </c>
      <c r="E35" t="s">
        <v>1629</v>
      </c>
      <c r="F35" t="s">
        <v>1592</v>
      </c>
      <c r="G35" t="s">
        <v>868</v>
      </c>
    </row>
    <row r="36" spans="1:7">
      <c r="A36">
        <v>113</v>
      </c>
      <c r="B36" t="s">
        <v>1073</v>
      </c>
      <c r="C36" t="s">
        <v>1073</v>
      </c>
      <c r="D36" t="s">
        <v>1590</v>
      </c>
      <c r="E36" t="s">
        <v>1630</v>
      </c>
      <c r="F36" t="s">
        <v>1592</v>
      </c>
      <c r="G36" t="s">
        <v>868</v>
      </c>
    </row>
    <row r="37" spans="1:7">
      <c r="A37">
        <v>115</v>
      </c>
      <c r="B37" t="s">
        <v>934</v>
      </c>
      <c r="C37" t="s">
        <v>934</v>
      </c>
      <c r="D37" t="s">
        <v>1590</v>
      </c>
      <c r="E37" t="s">
        <v>1631</v>
      </c>
      <c r="F37" t="s">
        <v>1604</v>
      </c>
      <c r="G37" t="s">
        <v>868</v>
      </c>
    </row>
    <row r="38" spans="1:7">
      <c r="A38">
        <v>118</v>
      </c>
      <c r="B38" t="s">
        <v>935</v>
      </c>
      <c r="C38" t="s">
        <v>935</v>
      </c>
      <c r="D38" t="s">
        <v>1590</v>
      </c>
      <c r="E38" t="s">
        <v>1632</v>
      </c>
      <c r="F38" t="s">
        <v>1592</v>
      </c>
      <c r="G38" t="s">
        <v>868</v>
      </c>
    </row>
    <row r="39" spans="1:7">
      <c r="A39">
        <v>119</v>
      </c>
      <c r="B39" t="s">
        <v>1074</v>
      </c>
      <c r="C39" t="s">
        <v>1075</v>
      </c>
      <c r="D39" t="s">
        <v>1590</v>
      </c>
      <c r="E39" t="s">
        <v>1633</v>
      </c>
      <c r="F39" t="s">
        <v>1592</v>
      </c>
      <c r="G39" t="s">
        <v>868</v>
      </c>
    </row>
    <row r="40" spans="1:7">
      <c r="A40">
        <v>121</v>
      </c>
      <c r="B40" t="s">
        <v>1076</v>
      </c>
      <c r="C40" t="s">
        <v>1076</v>
      </c>
      <c r="D40" t="s">
        <v>1590</v>
      </c>
      <c r="E40" t="s">
        <v>1634</v>
      </c>
      <c r="F40" t="s">
        <v>1596</v>
      </c>
      <c r="G40" t="s">
        <v>868</v>
      </c>
    </row>
    <row r="41" spans="1:7">
      <c r="A41">
        <v>124</v>
      </c>
      <c r="B41" t="s">
        <v>1078</v>
      </c>
      <c r="C41" t="s">
        <v>1078</v>
      </c>
      <c r="D41" t="s">
        <v>1590</v>
      </c>
      <c r="E41" t="s">
        <v>1635</v>
      </c>
      <c r="F41" t="s">
        <v>1598</v>
      </c>
      <c r="G41" t="s">
        <v>868</v>
      </c>
    </row>
    <row r="42" spans="1:7">
      <c r="A42">
        <v>136</v>
      </c>
      <c r="B42" t="s">
        <v>1085</v>
      </c>
      <c r="C42" t="s">
        <v>1086</v>
      </c>
      <c r="D42" t="s">
        <v>1590</v>
      </c>
      <c r="E42" t="s">
        <v>1636</v>
      </c>
      <c r="F42" t="s">
        <v>1596</v>
      </c>
      <c r="G42" t="s">
        <v>868</v>
      </c>
    </row>
    <row r="43" spans="1:7">
      <c r="A43">
        <v>137</v>
      </c>
      <c r="B43" t="s">
        <v>1083</v>
      </c>
      <c r="C43" t="s">
        <v>1083</v>
      </c>
      <c r="D43" t="s">
        <v>1590</v>
      </c>
      <c r="E43" t="s">
        <v>1637</v>
      </c>
      <c r="F43" t="s">
        <v>1592</v>
      </c>
      <c r="G43" t="s">
        <v>868</v>
      </c>
    </row>
    <row r="44" spans="1:7">
      <c r="A44">
        <v>141</v>
      </c>
      <c r="B44" t="s">
        <v>1082</v>
      </c>
      <c r="C44" t="s">
        <v>1082</v>
      </c>
      <c r="D44" t="s">
        <v>1590</v>
      </c>
      <c r="E44" t="s">
        <v>1638</v>
      </c>
      <c r="F44" t="s">
        <v>1592</v>
      </c>
      <c r="G44" t="s">
        <v>868</v>
      </c>
    </row>
    <row r="45" spans="1:7">
      <c r="A45">
        <v>143</v>
      </c>
      <c r="B45" t="s">
        <v>1090</v>
      </c>
      <c r="C45" t="s">
        <v>1091</v>
      </c>
      <c r="D45" t="s">
        <v>1593</v>
      </c>
      <c r="E45" t="s">
        <v>1639</v>
      </c>
      <c r="G45" t="s">
        <v>863</v>
      </c>
    </row>
    <row r="46" spans="1:7">
      <c r="A46">
        <v>148</v>
      </c>
      <c r="B46" t="s">
        <v>1093</v>
      </c>
      <c r="C46" t="s">
        <v>1093</v>
      </c>
      <c r="D46" t="s">
        <v>1590</v>
      </c>
      <c r="E46" t="s">
        <v>1640</v>
      </c>
      <c r="F46" t="s">
        <v>1592</v>
      </c>
      <c r="G46" t="s">
        <v>868</v>
      </c>
    </row>
    <row r="47" spans="1:7">
      <c r="A47">
        <v>150</v>
      </c>
      <c r="B47" t="s">
        <v>1095</v>
      </c>
      <c r="C47" t="s">
        <v>1096</v>
      </c>
      <c r="D47" t="s">
        <v>1590</v>
      </c>
      <c r="E47" t="s">
        <v>1637</v>
      </c>
      <c r="F47" t="s">
        <v>1592</v>
      </c>
      <c r="G47" t="s">
        <v>868</v>
      </c>
    </row>
    <row r="48" spans="1:7">
      <c r="A48">
        <v>152</v>
      </c>
      <c r="B48" t="s">
        <v>1099</v>
      </c>
      <c r="C48" t="s">
        <v>1099</v>
      </c>
      <c r="D48" t="s">
        <v>1590</v>
      </c>
      <c r="E48" t="s">
        <v>1641</v>
      </c>
      <c r="F48" t="s">
        <v>1592</v>
      </c>
      <c r="G48" t="s">
        <v>868</v>
      </c>
    </row>
    <row r="49" spans="1:7">
      <c r="A49">
        <v>154</v>
      </c>
      <c r="B49" t="s">
        <v>1100</v>
      </c>
      <c r="C49" t="s">
        <v>1100</v>
      </c>
      <c r="D49" t="s">
        <v>1590</v>
      </c>
      <c r="E49" t="s">
        <v>1642</v>
      </c>
      <c r="F49" t="s">
        <v>1592</v>
      </c>
      <c r="G49" t="s">
        <v>868</v>
      </c>
    </row>
    <row r="50" spans="1:7">
      <c r="A50">
        <v>155</v>
      </c>
      <c r="B50" t="s">
        <v>1101</v>
      </c>
      <c r="C50" t="s">
        <v>1102</v>
      </c>
      <c r="D50" t="s">
        <v>1590</v>
      </c>
      <c r="E50" t="s">
        <v>1622</v>
      </c>
      <c r="F50" t="s">
        <v>1592</v>
      </c>
      <c r="G50" t="s">
        <v>868</v>
      </c>
    </row>
    <row r="51" spans="1:7">
      <c r="A51">
        <v>156</v>
      </c>
      <c r="B51" t="s">
        <v>1103</v>
      </c>
      <c r="C51" t="s">
        <v>1104</v>
      </c>
      <c r="D51" t="s">
        <v>1590</v>
      </c>
      <c r="E51" t="s">
        <v>1622</v>
      </c>
      <c r="F51" t="s">
        <v>1592</v>
      </c>
      <c r="G51" t="s">
        <v>868</v>
      </c>
    </row>
    <row r="52" spans="1:7">
      <c r="A52">
        <v>158</v>
      </c>
      <c r="B52" t="s">
        <v>1105</v>
      </c>
      <c r="C52" t="s">
        <v>1105</v>
      </c>
      <c r="D52" t="s">
        <v>1590</v>
      </c>
      <c r="E52" t="s">
        <v>1643</v>
      </c>
      <c r="F52" t="s">
        <v>1592</v>
      </c>
      <c r="G52" t="s">
        <v>868</v>
      </c>
    </row>
    <row r="53" spans="1:7">
      <c r="A53">
        <v>159</v>
      </c>
      <c r="B53" t="s">
        <v>1107</v>
      </c>
      <c r="C53" t="s">
        <v>1108</v>
      </c>
      <c r="D53" t="s">
        <v>1590</v>
      </c>
      <c r="E53" t="s">
        <v>1644</v>
      </c>
      <c r="F53" t="s">
        <v>1592</v>
      </c>
      <c r="G53" t="s">
        <v>868</v>
      </c>
    </row>
    <row r="54" spans="1:7">
      <c r="A54">
        <v>163</v>
      </c>
      <c r="B54" t="s">
        <v>1110</v>
      </c>
      <c r="C54" t="s">
        <v>1110</v>
      </c>
      <c r="D54" t="s">
        <v>1590</v>
      </c>
      <c r="E54" t="s">
        <v>1625</v>
      </c>
      <c r="F54" t="s">
        <v>1592</v>
      </c>
      <c r="G54" t="s">
        <v>868</v>
      </c>
    </row>
    <row r="55" spans="1:7">
      <c r="A55">
        <v>166</v>
      </c>
      <c r="B55" t="s">
        <v>1113</v>
      </c>
      <c r="C55" t="s">
        <v>1113</v>
      </c>
      <c r="D55" t="s">
        <v>1590</v>
      </c>
      <c r="E55" t="s">
        <v>1645</v>
      </c>
      <c r="F55" t="s">
        <v>1592</v>
      </c>
      <c r="G55" t="s">
        <v>868</v>
      </c>
    </row>
    <row r="56" spans="1:7">
      <c r="A56">
        <v>167</v>
      </c>
      <c r="B56" t="s">
        <v>1114</v>
      </c>
      <c r="C56" t="s">
        <v>1114</v>
      </c>
      <c r="D56" t="s">
        <v>1590</v>
      </c>
      <c r="E56" t="s">
        <v>1622</v>
      </c>
      <c r="F56" t="s">
        <v>1592</v>
      </c>
      <c r="G56" t="s">
        <v>868</v>
      </c>
    </row>
    <row r="57" spans="1:7">
      <c r="A57">
        <v>169</v>
      </c>
      <c r="B57" t="s">
        <v>1116</v>
      </c>
      <c r="C57" t="s">
        <v>1116</v>
      </c>
      <c r="D57" t="s">
        <v>1590</v>
      </c>
      <c r="E57" t="s">
        <v>1646</v>
      </c>
      <c r="F57" t="s">
        <v>1592</v>
      </c>
      <c r="G57" t="s">
        <v>868</v>
      </c>
    </row>
    <row r="58" spans="1:7">
      <c r="A58">
        <v>172</v>
      </c>
      <c r="B58" t="s">
        <v>1117</v>
      </c>
      <c r="C58" t="s">
        <v>1117</v>
      </c>
      <c r="D58" t="s">
        <v>1590</v>
      </c>
      <c r="E58" t="s">
        <v>1647</v>
      </c>
      <c r="F58" t="s">
        <v>1592</v>
      </c>
      <c r="G58" t="s">
        <v>868</v>
      </c>
    </row>
    <row r="59" spans="1:7">
      <c r="A59">
        <v>174</v>
      </c>
      <c r="B59" t="s">
        <v>1118</v>
      </c>
      <c r="C59" t="s">
        <v>1118</v>
      </c>
      <c r="D59" t="s">
        <v>1590</v>
      </c>
      <c r="E59" t="s">
        <v>1648</v>
      </c>
      <c r="F59" t="s">
        <v>1592</v>
      </c>
      <c r="G59" t="s">
        <v>868</v>
      </c>
    </row>
    <row r="60" spans="1:7">
      <c r="A60">
        <v>175</v>
      </c>
      <c r="B60" t="s">
        <v>1119</v>
      </c>
      <c r="C60" t="s">
        <v>1119</v>
      </c>
      <c r="D60" t="s">
        <v>1590</v>
      </c>
      <c r="E60" t="s">
        <v>1649</v>
      </c>
      <c r="F60" t="s">
        <v>1592</v>
      </c>
      <c r="G60" t="s">
        <v>868</v>
      </c>
    </row>
    <row r="61" spans="1:7">
      <c r="A61">
        <v>176</v>
      </c>
      <c r="B61" t="s">
        <v>1232</v>
      </c>
      <c r="C61" t="s">
        <v>1232</v>
      </c>
      <c r="D61" t="s">
        <v>1590</v>
      </c>
      <c r="E61" t="s">
        <v>1650</v>
      </c>
      <c r="F61" t="s">
        <v>1592</v>
      </c>
      <c r="G61" t="s">
        <v>868</v>
      </c>
    </row>
    <row r="62" spans="1:7">
      <c r="A62">
        <v>177</v>
      </c>
      <c r="B62" t="s">
        <v>1120</v>
      </c>
      <c r="C62" t="s">
        <v>1120</v>
      </c>
      <c r="D62" t="s">
        <v>1590</v>
      </c>
      <c r="E62" t="s">
        <v>1651</v>
      </c>
      <c r="F62" t="s">
        <v>1592</v>
      </c>
      <c r="G62" t="s">
        <v>868</v>
      </c>
    </row>
    <row r="63" spans="1:7">
      <c r="A63">
        <v>179</v>
      </c>
      <c r="B63" t="s">
        <v>1121</v>
      </c>
      <c r="C63" t="s">
        <v>1122</v>
      </c>
      <c r="D63" t="s">
        <v>1590</v>
      </c>
      <c r="E63" t="s">
        <v>1652</v>
      </c>
      <c r="F63" t="s">
        <v>1592</v>
      </c>
      <c r="G63" t="s">
        <v>868</v>
      </c>
    </row>
    <row r="64" spans="1:7">
      <c r="A64">
        <v>182</v>
      </c>
      <c r="B64" t="s">
        <v>1123</v>
      </c>
      <c r="C64" t="s">
        <v>1123</v>
      </c>
      <c r="D64" t="s">
        <v>1590</v>
      </c>
      <c r="E64" t="s">
        <v>1653</v>
      </c>
      <c r="F64" t="s">
        <v>1592</v>
      </c>
      <c r="G64" t="s">
        <v>868</v>
      </c>
    </row>
    <row r="65" spans="1:7">
      <c r="A65">
        <v>185</v>
      </c>
      <c r="B65" t="s">
        <v>1124</v>
      </c>
      <c r="C65" t="s">
        <v>1125</v>
      </c>
      <c r="D65" t="s">
        <v>1593</v>
      </c>
      <c r="E65" t="s">
        <v>1654</v>
      </c>
      <c r="G65" t="s">
        <v>863</v>
      </c>
    </row>
    <row r="66" spans="1:7">
      <c r="A66">
        <v>187</v>
      </c>
      <c r="B66" t="s">
        <v>1126</v>
      </c>
      <c r="C66" t="s">
        <v>1126</v>
      </c>
      <c r="D66" t="s">
        <v>1590</v>
      </c>
      <c r="E66" t="s">
        <v>1655</v>
      </c>
      <c r="F66" t="s">
        <v>1592</v>
      </c>
      <c r="G66" t="s">
        <v>868</v>
      </c>
    </row>
    <row r="67" spans="1:7">
      <c r="A67">
        <v>191</v>
      </c>
      <c r="B67" t="s">
        <v>1127</v>
      </c>
      <c r="C67" t="s">
        <v>1127</v>
      </c>
      <c r="D67" t="s">
        <v>1590</v>
      </c>
      <c r="E67" t="s">
        <v>1656</v>
      </c>
      <c r="F67" t="s">
        <v>1592</v>
      </c>
      <c r="G67" t="s">
        <v>868</v>
      </c>
    </row>
    <row r="68" spans="1:7">
      <c r="A68">
        <v>192</v>
      </c>
      <c r="B68" t="s">
        <v>1128</v>
      </c>
      <c r="C68" t="s">
        <v>1128</v>
      </c>
      <c r="D68" t="s">
        <v>1590</v>
      </c>
      <c r="E68" t="s">
        <v>1645</v>
      </c>
      <c r="F68" t="s">
        <v>1592</v>
      </c>
      <c r="G68" t="s">
        <v>868</v>
      </c>
    </row>
    <row r="69" spans="1:7">
      <c r="A69">
        <v>196</v>
      </c>
      <c r="B69" t="s">
        <v>1129</v>
      </c>
      <c r="C69" t="s">
        <v>1130</v>
      </c>
      <c r="D69" t="s">
        <v>1590</v>
      </c>
      <c r="E69" t="s">
        <v>1637</v>
      </c>
      <c r="F69" t="s">
        <v>1592</v>
      </c>
      <c r="G69" t="s">
        <v>868</v>
      </c>
    </row>
    <row r="70" spans="1:7">
      <c r="A70">
        <v>199</v>
      </c>
      <c r="B70" t="s">
        <v>1136</v>
      </c>
      <c r="C70" t="s">
        <v>1137</v>
      </c>
      <c r="D70" t="s">
        <v>1590</v>
      </c>
      <c r="E70" t="s">
        <v>1657</v>
      </c>
      <c r="F70" t="s">
        <v>1592</v>
      </c>
      <c r="G70" t="s">
        <v>868</v>
      </c>
    </row>
    <row r="71" spans="1:7">
      <c r="A71">
        <v>202</v>
      </c>
      <c r="B71" t="s">
        <v>1140</v>
      </c>
      <c r="C71" t="s">
        <v>1140</v>
      </c>
      <c r="D71" t="s">
        <v>1590</v>
      </c>
      <c r="E71" t="s">
        <v>1658</v>
      </c>
      <c r="F71" t="s">
        <v>1592</v>
      </c>
      <c r="G71" t="s">
        <v>868</v>
      </c>
    </row>
    <row r="72" spans="1:7">
      <c r="A72">
        <v>204</v>
      </c>
      <c r="B72" t="s">
        <v>1141</v>
      </c>
      <c r="C72" t="s">
        <v>1142</v>
      </c>
      <c r="D72" t="s">
        <v>1590</v>
      </c>
      <c r="E72" t="s">
        <v>1622</v>
      </c>
      <c r="F72" t="s">
        <v>1592</v>
      </c>
      <c r="G72" t="s">
        <v>868</v>
      </c>
    </row>
    <row r="73" spans="1:7">
      <c r="A73">
        <v>205</v>
      </c>
      <c r="B73" t="s">
        <v>1143</v>
      </c>
      <c r="C73" t="s">
        <v>1144</v>
      </c>
      <c r="D73" t="s">
        <v>1590</v>
      </c>
      <c r="E73" t="s">
        <v>1659</v>
      </c>
      <c r="F73" t="s">
        <v>1592</v>
      </c>
      <c r="G73" t="s">
        <v>868</v>
      </c>
    </row>
    <row r="74" spans="1:7">
      <c r="A74">
        <v>208</v>
      </c>
      <c r="B74" t="s">
        <v>1145</v>
      </c>
      <c r="C74" t="s">
        <v>1146</v>
      </c>
      <c r="D74" t="s">
        <v>1590</v>
      </c>
      <c r="E74" t="s">
        <v>1660</v>
      </c>
      <c r="F74" t="s">
        <v>1592</v>
      </c>
      <c r="G74" t="s">
        <v>868</v>
      </c>
    </row>
    <row r="75" spans="1:7">
      <c r="A75">
        <v>210</v>
      </c>
      <c r="B75" t="s">
        <v>1147</v>
      </c>
      <c r="C75" t="s">
        <v>1147</v>
      </c>
      <c r="D75" t="s">
        <v>1590</v>
      </c>
      <c r="E75" t="s">
        <v>1657</v>
      </c>
      <c r="F75" t="s">
        <v>1592</v>
      </c>
      <c r="G75" t="s">
        <v>868</v>
      </c>
    </row>
    <row r="76" spans="1:7">
      <c r="A76">
        <v>211</v>
      </c>
      <c r="B76" t="s">
        <v>1148</v>
      </c>
      <c r="C76" t="s">
        <v>1148</v>
      </c>
      <c r="D76" t="s">
        <v>1590</v>
      </c>
      <c r="E76" t="s">
        <v>1647</v>
      </c>
      <c r="F76" t="s">
        <v>1592</v>
      </c>
      <c r="G76" t="s">
        <v>868</v>
      </c>
    </row>
    <row r="77" spans="1:7">
      <c r="A77">
        <v>212</v>
      </c>
      <c r="B77" t="s">
        <v>1149</v>
      </c>
      <c r="C77" t="s">
        <v>1149</v>
      </c>
      <c r="D77" t="s">
        <v>1590</v>
      </c>
      <c r="E77" t="s">
        <v>1661</v>
      </c>
      <c r="F77" t="s">
        <v>1592</v>
      </c>
      <c r="G77" t="s">
        <v>868</v>
      </c>
    </row>
    <row r="78" spans="1:7">
      <c r="A78">
        <v>214</v>
      </c>
      <c r="B78" t="s">
        <v>1150</v>
      </c>
      <c r="C78" t="s">
        <v>1151</v>
      </c>
      <c r="D78" t="s">
        <v>1590</v>
      </c>
      <c r="E78" t="s">
        <v>1662</v>
      </c>
      <c r="F78" t="s">
        <v>1592</v>
      </c>
      <c r="G78" t="s">
        <v>868</v>
      </c>
    </row>
    <row r="79" spans="1:7">
      <c r="A79">
        <v>215</v>
      </c>
      <c r="B79" t="s">
        <v>1152</v>
      </c>
      <c r="C79" t="s">
        <v>1152</v>
      </c>
      <c r="D79" t="s">
        <v>1590</v>
      </c>
      <c r="E79" t="s">
        <v>1662</v>
      </c>
      <c r="F79" t="s">
        <v>1592</v>
      </c>
      <c r="G79" t="s">
        <v>868</v>
      </c>
    </row>
    <row r="80" spans="1:7">
      <c r="A80">
        <v>217</v>
      </c>
      <c r="B80" t="s">
        <v>1153</v>
      </c>
      <c r="C80" t="s">
        <v>1153</v>
      </c>
      <c r="D80" t="s">
        <v>1590</v>
      </c>
      <c r="E80" t="s">
        <v>1653</v>
      </c>
      <c r="F80" t="s">
        <v>1592</v>
      </c>
      <c r="G80" t="s">
        <v>868</v>
      </c>
    </row>
    <row r="81" spans="1:7">
      <c r="A81">
        <v>220</v>
      </c>
      <c r="B81" t="s">
        <v>1154</v>
      </c>
      <c r="C81" t="s">
        <v>1155</v>
      </c>
      <c r="D81" t="s">
        <v>1590</v>
      </c>
      <c r="E81" t="s">
        <v>1657</v>
      </c>
      <c r="F81" t="s">
        <v>1592</v>
      </c>
      <c r="G81" t="s">
        <v>868</v>
      </c>
    </row>
    <row r="82" spans="1:7">
      <c r="A82">
        <v>222</v>
      </c>
      <c r="B82" t="s">
        <v>1157</v>
      </c>
      <c r="C82" t="s">
        <v>1157</v>
      </c>
      <c r="D82" t="s">
        <v>1590</v>
      </c>
      <c r="E82" t="s">
        <v>1663</v>
      </c>
      <c r="F82" t="s">
        <v>1592</v>
      </c>
      <c r="G82" t="s">
        <v>868</v>
      </c>
    </row>
    <row r="83" spans="1:7">
      <c r="A83">
        <v>223</v>
      </c>
      <c r="B83" t="s">
        <v>1158</v>
      </c>
      <c r="C83" t="s">
        <v>1158</v>
      </c>
      <c r="D83" t="s">
        <v>1590</v>
      </c>
      <c r="E83" t="s">
        <v>1664</v>
      </c>
      <c r="F83" t="s">
        <v>1604</v>
      </c>
      <c r="G83" t="s">
        <v>868</v>
      </c>
    </row>
    <row r="84" spans="1:7">
      <c r="A84">
        <v>227</v>
      </c>
      <c r="B84" t="s">
        <v>859</v>
      </c>
      <c r="C84" t="s">
        <v>859</v>
      </c>
      <c r="D84" t="s">
        <v>1590</v>
      </c>
      <c r="E84" t="s">
        <v>1665</v>
      </c>
      <c r="F84" t="s">
        <v>1606</v>
      </c>
      <c r="G84" t="s">
        <v>868</v>
      </c>
    </row>
    <row r="85" spans="1:7">
      <c r="A85">
        <v>233</v>
      </c>
      <c r="B85" t="s">
        <v>936</v>
      </c>
      <c r="C85" t="s">
        <v>937</v>
      </c>
      <c r="D85" t="s">
        <v>1590</v>
      </c>
      <c r="E85" t="s">
        <v>1607</v>
      </c>
      <c r="F85" t="s">
        <v>1592</v>
      </c>
      <c r="G85" t="s">
        <v>868</v>
      </c>
    </row>
    <row r="86" spans="1:7">
      <c r="A86">
        <v>234</v>
      </c>
      <c r="B86" t="s">
        <v>939</v>
      </c>
      <c r="C86" t="s">
        <v>939</v>
      </c>
      <c r="D86" t="s">
        <v>1593</v>
      </c>
      <c r="E86" t="s">
        <v>1639</v>
      </c>
      <c r="G86" t="s">
        <v>863</v>
      </c>
    </row>
    <row r="87" spans="1:7">
      <c r="A87">
        <v>240</v>
      </c>
      <c r="B87" t="s">
        <v>1160</v>
      </c>
      <c r="C87" t="s">
        <v>1160</v>
      </c>
      <c r="D87" t="s">
        <v>1590</v>
      </c>
      <c r="E87" t="s">
        <v>1666</v>
      </c>
      <c r="F87" t="s">
        <v>1592</v>
      </c>
      <c r="G87" t="s">
        <v>868</v>
      </c>
    </row>
    <row r="88" spans="1:7">
      <c r="A88">
        <v>242</v>
      </c>
      <c r="B88" t="s">
        <v>1161</v>
      </c>
      <c r="C88" t="s">
        <v>1161</v>
      </c>
      <c r="D88" t="s">
        <v>1590</v>
      </c>
      <c r="E88" t="s">
        <v>1667</v>
      </c>
      <c r="F88" t="s">
        <v>1592</v>
      </c>
      <c r="G88" t="s">
        <v>868</v>
      </c>
    </row>
    <row r="89" spans="1:7">
      <c r="A89">
        <v>243</v>
      </c>
      <c r="B89" t="s">
        <v>1164</v>
      </c>
      <c r="C89" t="s">
        <v>1164</v>
      </c>
      <c r="D89" t="s">
        <v>1590</v>
      </c>
      <c r="E89" t="s">
        <v>1622</v>
      </c>
      <c r="F89" t="s">
        <v>1592</v>
      </c>
      <c r="G89" t="s">
        <v>868</v>
      </c>
    </row>
    <row r="90" spans="1:7">
      <c r="A90">
        <v>247</v>
      </c>
      <c r="B90" t="s">
        <v>1168</v>
      </c>
      <c r="C90" t="s">
        <v>1168</v>
      </c>
      <c r="D90" t="s">
        <v>1590</v>
      </c>
      <c r="E90" t="s">
        <v>1644</v>
      </c>
      <c r="F90" t="s">
        <v>1592</v>
      </c>
      <c r="G90" t="s">
        <v>868</v>
      </c>
    </row>
    <row r="91" spans="1:7">
      <c r="A91">
        <v>248</v>
      </c>
      <c r="B91" t="s">
        <v>1169</v>
      </c>
      <c r="C91" t="s">
        <v>1169</v>
      </c>
      <c r="D91" t="s">
        <v>1590</v>
      </c>
      <c r="E91" t="s">
        <v>1668</v>
      </c>
      <c r="F91" t="s">
        <v>1592</v>
      </c>
      <c r="G91" t="s">
        <v>868</v>
      </c>
    </row>
    <row r="92" spans="1:7">
      <c r="A92">
        <v>249</v>
      </c>
      <c r="B92" t="s">
        <v>1171</v>
      </c>
      <c r="C92" t="s">
        <v>1172</v>
      </c>
      <c r="D92" t="s">
        <v>1593</v>
      </c>
      <c r="E92" t="s">
        <v>1669</v>
      </c>
      <c r="G92" t="s">
        <v>863</v>
      </c>
    </row>
    <row r="93" spans="1:7">
      <c r="A93">
        <v>250</v>
      </c>
      <c r="B93" t="s">
        <v>1177</v>
      </c>
      <c r="C93" t="s">
        <v>1178</v>
      </c>
      <c r="D93" t="s">
        <v>1593</v>
      </c>
      <c r="E93" t="s">
        <v>1670</v>
      </c>
      <c r="G93" t="s">
        <v>863</v>
      </c>
    </row>
    <row r="94" spans="1:7">
      <c r="A94">
        <v>251</v>
      </c>
      <c r="B94" t="s">
        <v>912</v>
      </c>
      <c r="C94" t="s">
        <v>912</v>
      </c>
      <c r="D94" t="s">
        <v>1593</v>
      </c>
      <c r="E94" t="s">
        <v>1671</v>
      </c>
      <c r="G94" t="s">
        <v>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S1_26_JUIL</vt:lpstr>
      <vt:lpstr>S2_27_JUIL-02_AOUT</vt:lpstr>
      <vt:lpstr>S3_03-09_AOUT</vt:lpstr>
      <vt:lpstr>S4_10-16_AOUT</vt:lpstr>
      <vt:lpstr>S5_17-23_AOUT</vt:lpstr>
      <vt:lpstr>S6_24-25_AOUT</vt:lpstr>
      <vt:lpstr>TOTAL_MOIS</vt:lpstr>
      <vt:lpstr>Paye Saber MOI</vt:lpstr>
      <vt:lpstr>Paye Saber MOD</vt:lpstr>
      <vt:lpstr>PARAMETRES_REGIMES</vt:lpstr>
      <vt:lpstr>SOURCE_POINTAGE</vt:lpstr>
      <vt:lpstr>CONTROLE_26_29</vt:lpstr>
      <vt:lpstr>CONTROLE_30_07</vt:lpstr>
      <vt:lpstr>CONTROLE_31_07</vt:lpstr>
      <vt:lpstr>CONTROLE_31_07_CALCUL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lakhal mohamed</cp:lastModifiedBy>
  <dcterms:modified xsi:type="dcterms:W3CDTF">2026-08-03T07:58:47Z</dcterms:modified>
</cp:coreProperties>
</file>